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https://netorg567312.sharepoint.com/sites/GreenSpoon2/Data  Reporting/Distributor Reporting/Par &amp; AOM Reporting/"/>
    </mc:Choice>
  </mc:AlternateContent>
  <xr:revisionPtr revIDLastSave="64" documentId="8_{75B2E1B1-BB2C-4E21-826F-FB01CF0B5831}" xr6:coauthVersionLast="47" xr6:coauthVersionMax="47" xr10:uidLastSave="{3980C8AD-C1CA-4FB6-8C21-E7C0E6FF848D}"/>
  <bookViews>
    <workbookView xWindow="-28920" yWindow="-120" windowWidth="29040" windowHeight="15720" firstSheet="1" activeTab="1" xr2:uid="{00000000-000D-0000-FFFF-FFFF00000000}"/>
  </bookViews>
  <sheets>
    <sheet name="VLOOKUP" sheetId="3" state="veryHidden" r:id="rId1"/>
    <sheet name="Classic Pivot" sheetId="4" r:id="rId2"/>
    <sheet name="KeHEPARDataFlowSource" sheetId="7" r:id="rId3"/>
  </sheets>
  <definedNames>
    <definedName name="ExternalData_2" localSheetId="2" hidden="1">KeHEPARDataFlowSource!$A$1:$BQ$48</definedName>
    <definedName name="Slicer_Event_Type">#N/A</definedName>
    <definedName name="Slicer_Item_Status_Key">#N/A</definedName>
    <definedName name="Slicer_Status">#N/A</definedName>
  </definedNames>
  <calcPr calcId="191028" calcMode="manual"/>
  <pivotCaches>
    <pivotCache cacheId="170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2" i="7" l="1"/>
  <c r="BR3" i="7"/>
  <c r="BR4" i="7"/>
  <c r="BR5" i="7"/>
  <c r="BR6" i="7"/>
  <c r="BR7" i="7"/>
  <c r="BR8" i="7"/>
  <c r="BR9" i="7"/>
  <c r="BR10" i="7"/>
  <c r="BR11" i="7"/>
  <c r="BR12" i="7"/>
  <c r="BR13" i="7"/>
  <c r="BR14" i="7"/>
  <c r="BR15" i="7"/>
  <c r="BR16" i="7"/>
  <c r="BR17" i="7"/>
  <c r="BR18" i="7"/>
  <c r="BR19" i="7"/>
  <c r="BR20" i="7"/>
  <c r="BR21" i="7"/>
  <c r="BR22" i="7"/>
  <c r="BR23" i="7"/>
  <c r="BR24" i="7"/>
  <c r="BR25" i="7"/>
  <c r="BR26" i="7"/>
  <c r="BR27" i="7"/>
  <c r="BR28" i="7"/>
  <c r="BR29" i="7"/>
  <c r="BR30" i="7"/>
  <c r="BR31" i="7"/>
  <c r="BR32" i="7"/>
  <c r="BR33" i="7"/>
  <c r="BR34" i="7"/>
  <c r="BR35" i="7"/>
  <c r="BR36" i="7"/>
  <c r="BR37" i="7"/>
  <c r="BR38" i="7"/>
  <c r="BR39" i="7"/>
  <c r="BR40" i="7"/>
  <c r="BR41" i="7"/>
  <c r="BR42" i="7"/>
  <c r="BR43" i="7"/>
  <c r="BR44" i="7"/>
  <c r="BR45" i="7"/>
  <c r="BR46" i="7"/>
  <c r="BR47" i="7"/>
  <c r="BR48" i="7"/>
  <c r="N6" i="4"/>
  <c r="N4" i="4"/>
  <c r="B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FE2069-C634-4270-86A4-48CB5D72F92F}" keepAlive="1" name="Query - KeHEPARDataFlowSource" description="Connection to the 'KeHEPARDataFlowSource' query in the workbook." type="5" refreshedVersion="8" saveData="1">
    <dbPr connection="Provider=Microsoft.Mashup.OleDb.1;Data Source=$Workbook$;Location=KeHEPARDataFlowSource;Extended Properties=&quot;&quot;" command="SELECT * FROM [KeHEPARDataFlowSource]"/>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<sst xmlns="http://schemas.openxmlformats.org/spreadsheetml/2006/main" count="3136" uniqueCount="365">
  <si>
    <t>Item Status</t>
  </si>
  <si>
    <t>Key</t>
  </si>
  <si>
    <t>S</t>
  </si>
  <si>
    <t>Seasonal</t>
  </si>
  <si>
    <t>L</t>
  </si>
  <si>
    <t>Disco'd by KeHE</t>
  </si>
  <si>
    <t>D</t>
  </si>
  <si>
    <t>Disco'd by Supplier</t>
  </si>
  <si>
    <t>T</t>
  </si>
  <si>
    <t>Temporarily OOS due to Manuf</t>
  </si>
  <si>
    <t>N</t>
  </si>
  <si>
    <t>Normal, Active item</t>
  </si>
  <si>
    <t>Grand Total</t>
  </si>
  <si>
    <t>Event Type</t>
  </si>
  <si>
    <t>(All)</t>
  </si>
  <si>
    <t>Item Status Key</t>
  </si>
  <si>
    <t>Values</t>
  </si>
  <si>
    <t>Brand</t>
  </si>
  <si>
    <t>Account</t>
  </si>
  <si>
    <t>Event Start Dt</t>
  </si>
  <si>
    <t>Event End Dt</t>
  </si>
  <si>
    <t>PO #</t>
  </si>
  <si>
    <t>DC</t>
  </si>
  <si>
    <t>UPC</t>
  </si>
  <si>
    <t>Description</t>
  </si>
  <si>
    <t xml:space="preserve">Req $ </t>
  </si>
  <si>
    <t xml:space="preserve">Req Qty </t>
  </si>
  <si>
    <t>(blank)</t>
  </si>
  <si>
    <t>Master ID</t>
  </si>
  <si>
    <t>Status</t>
  </si>
  <si>
    <t>Note</t>
  </si>
  <si>
    <t>UOM</t>
  </si>
  <si>
    <t>Size</t>
  </si>
  <si>
    <t>Units / Case</t>
  </si>
  <si>
    <t>AOM Inventory Status</t>
  </si>
  <si>
    <t>RYG</t>
  </si>
  <si>
    <t>AWM</t>
  </si>
  <si>
    <t>On Ship Order Qty</t>
  </si>
  <si>
    <t>Reserve Qty</t>
  </si>
  <si>
    <t>Req $</t>
  </si>
  <si>
    <t>Req Qty</t>
  </si>
  <si>
    <t>Shipped Qty</t>
  </si>
  <si>
    <t>Est. % Cover</t>
  </si>
  <si>
    <t>Est. Qty Short</t>
  </si>
  <si>
    <t>On PO ?</t>
  </si>
  <si>
    <t>Calculated PO Est. Arrival</t>
  </si>
  <si>
    <t>Original PO Est. Arrival</t>
  </si>
  <si>
    <t>PO Revised Est. Arrival</t>
  </si>
  <si>
    <t>PO Appoint Dt</t>
  </si>
  <si>
    <t>FOB/Prepaid</t>
  </si>
  <si>
    <t>Qty OH</t>
  </si>
  <si>
    <t>Qty OO</t>
  </si>
  <si>
    <t>Days to Start</t>
  </si>
  <si>
    <t>AOM Create Dt</t>
  </si>
  <si>
    <t>PO Req By Dt (Future Events)</t>
  </si>
  <si>
    <t>Is Compliant</t>
  </si>
  <si>
    <t>Submitted By</t>
  </si>
  <si>
    <t>Email</t>
  </si>
  <si>
    <t>Broker Name</t>
  </si>
  <si>
    <t>Comments</t>
  </si>
  <si>
    <t>MDA #</t>
  </si>
  <si>
    <t>Buyer Group</t>
  </si>
  <si>
    <t>Buyer ID</t>
  </si>
  <si>
    <t>Buyer</t>
  </si>
  <si>
    <t>Vendor #</t>
  </si>
  <si>
    <t>Vendor Name</t>
  </si>
  <si>
    <t>Shelf Life Days</t>
  </si>
  <si>
    <t>Category Mgr</t>
  </si>
  <si>
    <t>DC Item #</t>
  </si>
  <si>
    <t>Temp Code</t>
  </si>
  <si>
    <t>Temp Desc</t>
  </si>
  <si>
    <t>IsNewItem</t>
  </si>
  <si>
    <t>IsSeasonal</t>
  </si>
  <si>
    <t>ItemIsDeleted</t>
  </si>
  <si>
    <t>Lead Time</t>
  </si>
  <si>
    <t>Item Setup Date</t>
  </si>
  <si>
    <t>Due Order</t>
  </si>
  <si>
    <t>Delay Units</t>
  </si>
  <si>
    <t>Delay Currency</t>
  </si>
  <si>
    <t>Sub-Vendor</t>
  </si>
  <si>
    <t>Order Due Policy</t>
  </si>
  <si>
    <t>Review Frequency Type</t>
  </si>
  <si>
    <t>Final Sug Ord Qty</t>
  </si>
  <si>
    <t>DCUPC</t>
  </si>
  <si>
    <t>Order Days</t>
  </si>
  <si>
    <t>ROQ</t>
  </si>
  <si>
    <t>Review Frequency</t>
  </si>
  <si>
    <t>TRUE SEA MOSS</t>
  </si>
  <si>
    <t>FO</t>
  </si>
  <si>
    <t>0</t>
  </si>
  <si>
    <t>GREEN SPOON SALES</t>
  </si>
  <si>
    <t>CENTER</t>
  </si>
  <si>
    <t>214030</t>
  </si>
  <si>
    <t>DIVA FAM INC</t>
  </si>
  <si>
    <t>540</t>
  </si>
  <si>
    <t>Christine Casey</t>
  </si>
  <si>
    <t>DRY</t>
  </si>
  <si>
    <t>true</t>
  </si>
  <si>
    <t>false</t>
  </si>
  <si>
    <t>22</t>
  </si>
  <si>
    <t>CURR_UNIT_STKOUT</t>
  </si>
  <si>
    <t>12345</t>
  </si>
  <si>
    <t>1</t>
  </si>
  <si>
    <t>DAY</t>
  </si>
  <si>
    <t>27</t>
  </si>
  <si>
    <t>44</t>
  </si>
  <si>
    <t>BRYAN BURKLIN</t>
  </si>
  <si>
    <t>888025186387</t>
  </si>
  <si>
    <t>SEA MOSS BLEND 5IN1</t>
  </si>
  <si>
    <t>16</t>
  </si>
  <si>
    <t>6</t>
  </si>
  <si>
    <t>270</t>
  </si>
  <si>
    <t>12/11/2025</t>
  </si>
  <si>
    <t>27888025186387</t>
  </si>
  <si>
    <t>180</t>
  </si>
  <si>
    <t>2702518638</t>
  </si>
  <si>
    <t>Current</t>
  </si>
  <si>
    <t>Collect</t>
  </si>
  <si>
    <t>1080</t>
  </si>
  <si>
    <t>GREEN</t>
  </si>
  <si>
    <t>Y</t>
  </si>
  <si>
    <t/>
  </si>
  <si>
    <t>33</t>
  </si>
  <si>
    <t>SPROUTS</t>
  </si>
  <si>
    <t>593804</t>
  </si>
  <si>
    <t>ADVERTISING</t>
  </si>
  <si>
    <t>Future</t>
  </si>
  <si>
    <t>33888025186387</t>
  </si>
  <si>
    <t>FUTURE EVENT - PO REQUIRED BY 8/4/2026</t>
  </si>
  <si>
    <t>1182</t>
  </si>
  <si>
    <t>39</t>
  </si>
  <si>
    <t>7/9/2026</t>
  </si>
  <si>
    <t>8/21/2026</t>
  </si>
  <si>
    <t>9/4/2026</t>
  </si>
  <si>
    <t>8/4/2026</t>
  </si>
  <si>
    <t>KeHE\LMRamirez</t>
  </si>
  <si>
    <t>LUIS.RAMIREZ@KEHE.COM</t>
  </si>
  <si>
    <t>8 26 VITAHBA SEPTEMBER AD</t>
  </si>
  <si>
    <t>84</t>
  </si>
  <si>
    <t>EWELINA WISZOWATA</t>
  </si>
  <si>
    <t>3302518638</t>
  </si>
  <si>
    <t>17</t>
  </si>
  <si>
    <t>5</t>
  </si>
  <si>
    <t>52</t>
  </si>
  <si>
    <t>41</t>
  </si>
  <si>
    <t>41888025187780</t>
  </si>
  <si>
    <t>888025187780</t>
  </si>
  <si>
    <t>SEA MOSS SOURSOP</t>
  </si>
  <si>
    <t>FUTURE EVENT - PO REQUIRED BY 8/2/2026</t>
  </si>
  <si>
    <t>1860</t>
  </si>
  <si>
    <t>8/2/2026</t>
  </si>
  <si>
    <t>4102518778</t>
  </si>
  <si>
    <t>19</t>
  </si>
  <si>
    <t>360</t>
  </si>
  <si>
    <t>185</t>
  </si>
  <si>
    <t>12</t>
  </si>
  <si>
    <t>12850077732485</t>
  </si>
  <si>
    <t>850077732485</t>
  </si>
  <si>
    <t>SEA MOSS WATERMELON RASP</t>
  </si>
  <si>
    <t>FUTURE EVENT - PO REQUIRED BY 8/1/2026</t>
  </si>
  <si>
    <t>1002</t>
  </si>
  <si>
    <t>8/1/2026</t>
  </si>
  <si>
    <t>1202607905</t>
  </si>
  <si>
    <t>20</t>
  </si>
  <si>
    <t>5/9/2026</t>
  </si>
  <si>
    <t>13</t>
  </si>
  <si>
    <t>41888025186387</t>
  </si>
  <si>
    <t>3794780</t>
  </si>
  <si>
    <t>7/27/2026</t>
  </si>
  <si>
    <t>1566</t>
  </si>
  <si>
    <t>720</t>
  </si>
  <si>
    <t>4102518638</t>
  </si>
  <si>
    <t>684</t>
  </si>
  <si>
    <t>41850077732485</t>
  </si>
  <si>
    <t>1296</t>
  </si>
  <si>
    <t>4102607905</t>
  </si>
  <si>
    <t>272</t>
  </si>
  <si>
    <t>19888025186387</t>
  </si>
  <si>
    <t>FUTURE EVENT - PO REQUIRED BY 7/31/2026</t>
  </si>
  <si>
    <t>3777684</t>
  </si>
  <si>
    <t>7/20/2026</t>
  </si>
  <si>
    <t>1224</t>
  </si>
  <si>
    <t>1440</t>
  </si>
  <si>
    <t>7/31/2026</t>
  </si>
  <si>
    <t>1902518638</t>
  </si>
  <si>
    <t>21</t>
  </si>
  <si>
    <t>3</t>
  </si>
  <si>
    <t>262</t>
  </si>
  <si>
    <t>19850077732485</t>
  </si>
  <si>
    <t>3781335</t>
  </si>
  <si>
    <t>7/22/2026</t>
  </si>
  <si>
    <t>516</t>
  </si>
  <si>
    <t>1902607905</t>
  </si>
  <si>
    <t>206</t>
  </si>
  <si>
    <t>55</t>
  </si>
  <si>
    <t>55888025186387</t>
  </si>
  <si>
    <t>3782352</t>
  </si>
  <si>
    <t>150</t>
  </si>
  <si>
    <t>5502518638</t>
  </si>
  <si>
    <t>4</t>
  </si>
  <si>
    <t>250</t>
  </si>
  <si>
    <t>55888025187780</t>
  </si>
  <si>
    <t>138</t>
  </si>
  <si>
    <t>5502518778</t>
  </si>
  <si>
    <t>220</t>
  </si>
  <si>
    <t>55850077732256</t>
  </si>
  <si>
    <t>850077732256</t>
  </si>
  <si>
    <t>SEA MOSS RTD MANGO</t>
  </si>
  <si>
    <t>3777418</t>
  </si>
  <si>
    <t>456</t>
  </si>
  <si>
    <t>2448</t>
  </si>
  <si>
    <t>5502519175</t>
  </si>
  <si>
    <t>1/13/2026</t>
  </si>
  <si>
    <t>408</t>
  </si>
  <si>
    <t>347</t>
  </si>
  <si>
    <t>55850077732485</t>
  </si>
  <si>
    <t>3789615</t>
  </si>
  <si>
    <t>504</t>
  </si>
  <si>
    <t>900</t>
  </si>
  <si>
    <t>5502607905</t>
  </si>
  <si>
    <t>135</t>
  </si>
  <si>
    <t>FUTURE EVENT - PO REQUIRED BY 7/30/2026</t>
  </si>
  <si>
    <t>3762904</t>
  </si>
  <si>
    <t>7/21/2026</t>
  </si>
  <si>
    <t>7/14/2026</t>
  </si>
  <si>
    <t>7/12/2026</t>
  </si>
  <si>
    <t>918</t>
  </si>
  <si>
    <t>7/30/2026</t>
  </si>
  <si>
    <t>225</t>
  </si>
  <si>
    <t>27888025187780</t>
  </si>
  <si>
    <t>384</t>
  </si>
  <si>
    <t>2702518778</t>
  </si>
  <si>
    <t>168</t>
  </si>
  <si>
    <t>27850077732256</t>
  </si>
  <si>
    <t>888</t>
  </si>
  <si>
    <t>1020</t>
  </si>
  <si>
    <t>2702519175</t>
  </si>
  <si>
    <t>204</t>
  </si>
  <si>
    <t>128</t>
  </si>
  <si>
    <t>27850077732249</t>
  </si>
  <si>
    <t>850077732249</t>
  </si>
  <si>
    <t>SEA MOSS RTD LEMON</t>
  </si>
  <si>
    <t>648</t>
  </si>
  <si>
    <t>612</t>
  </si>
  <si>
    <t>2702600122</t>
  </si>
  <si>
    <t>221</t>
  </si>
  <si>
    <t>27850077732485</t>
  </si>
  <si>
    <t>3789579</t>
  </si>
  <si>
    <t>7/28/2026</t>
  </si>
  <si>
    <t>2702607905</t>
  </si>
  <si>
    <t>163</t>
  </si>
  <si>
    <t>31</t>
  </si>
  <si>
    <t>31850077732485</t>
  </si>
  <si>
    <t>3785693</t>
  </si>
  <si>
    <t>7/24/2026</t>
  </si>
  <si>
    <t>822</t>
  </si>
  <si>
    <t>3102607905</t>
  </si>
  <si>
    <t>173</t>
  </si>
  <si>
    <t>594174</t>
  </si>
  <si>
    <t>SPROUTS DISTRO</t>
  </si>
  <si>
    <t>AOM SHIPPED</t>
  </si>
  <si>
    <t>24</t>
  </si>
  <si>
    <t>7/10/2026</t>
  </si>
  <si>
    <t>7/18/2026</t>
  </si>
  <si>
    <t>7 10 JUNE RESET CLEANUP DISTRO</t>
  </si>
  <si>
    <t>33850077732485</t>
  </si>
  <si>
    <t>3786799</t>
  </si>
  <si>
    <t>7/13/2026</t>
  </si>
  <si>
    <t>306</t>
  </si>
  <si>
    <t>3302607905</t>
  </si>
  <si>
    <t>14</t>
  </si>
  <si>
    <t>14888025186387</t>
  </si>
  <si>
    <t>3799636</t>
  </si>
  <si>
    <t>1308</t>
  </si>
  <si>
    <t>1402518638</t>
  </si>
  <si>
    <t>7</t>
  </si>
  <si>
    <t>14850077732485</t>
  </si>
  <si>
    <t>1068</t>
  </si>
  <si>
    <t>1402607905</t>
  </si>
  <si>
    <t>19888025187780</t>
  </si>
  <si>
    <t>1428</t>
  </si>
  <si>
    <t>1902518778</t>
  </si>
  <si>
    <t>31888025186387</t>
  </si>
  <si>
    <t>3786639</t>
  </si>
  <si>
    <t>420</t>
  </si>
  <si>
    <t>1800</t>
  </si>
  <si>
    <t>3102518638</t>
  </si>
  <si>
    <t>31888025187780</t>
  </si>
  <si>
    <t>600</t>
  </si>
  <si>
    <t>1980</t>
  </si>
  <si>
    <t>3102518778</t>
  </si>
  <si>
    <t>33850077732256</t>
  </si>
  <si>
    <t>1896</t>
  </si>
  <si>
    <t>3302519175</t>
  </si>
  <si>
    <t>33850077732249</t>
  </si>
  <si>
    <t>3799853</t>
  </si>
  <si>
    <t>1572</t>
  </si>
  <si>
    <t>3302600122</t>
  </si>
  <si>
    <t>19850077732256</t>
  </si>
  <si>
    <t>3480</t>
  </si>
  <si>
    <t>816</t>
  </si>
  <si>
    <t>1902519175</t>
  </si>
  <si>
    <t>19850077732249</t>
  </si>
  <si>
    <t>3036</t>
  </si>
  <si>
    <t>1902600122</t>
  </si>
  <si>
    <t>19850077732096</t>
  </si>
  <si>
    <t>850077732096</t>
  </si>
  <si>
    <t>SEA MOSS RTD CHRY ARONIA</t>
  </si>
  <si>
    <t>4860</t>
  </si>
  <si>
    <t>1902600123</t>
  </si>
  <si>
    <t>55850077732249</t>
  </si>
  <si>
    <t>960</t>
  </si>
  <si>
    <t>5502600122</t>
  </si>
  <si>
    <t>55850077732096</t>
  </si>
  <si>
    <t>1032</t>
  </si>
  <si>
    <t>5502600123</t>
  </si>
  <si>
    <t>27850077732096</t>
  </si>
  <si>
    <t>1776</t>
  </si>
  <si>
    <t>2702600123</t>
  </si>
  <si>
    <t>31850077732256</t>
  </si>
  <si>
    <t>1620</t>
  </si>
  <si>
    <t>1632</t>
  </si>
  <si>
    <t>3102519175</t>
  </si>
  <si>
    <t>31850077732249</t>
  </si>
  <si>
    <t>2184</t>
  </si>
  <si>
    <t>3102600122</t>
  </si>
  <si>
    <t>31850077732096</t>
  </si>
  <si>
    <t>3120</t>
  </si>
  <si>
    <t>3102600123</t>
  </si>
  <si>
    <t>41850077732256</t>
  </si>
  <si>
    <t>3876</t>
  </si>
  <si>
    <t>4102519175</t>
  </si>
  <si>
    <t>41850077732249</t>
  </si>
  <si>
    <t>3912</t>
  </si>
  <si>
    <t>4102600122</t>
  </si>
  <si>
    <t>41850077732096</t>
  </si>
  <si>
    <t>4788</t>
  </si>
  <si>
    <t>4102600123</t>
  </si>
  <si>
    <t>12888025186387</t>
  </si>
  <si>
    <t>1410</t>
  </si>
  <si>
    <t>1202518638</t>
  </si>
  <si>
    <t>12888025187780</t>
  </si>
  <si>
    <t>1524</t>
  </si>
  <si>
    <t>1202518778</t>
  </si>
  <si>
    <t>12850077732256</t>
  </si>
  <si>
    <t>2364</t>
  </si>
  <si>
    <t>1202519175</t>
  </si>
  <si>
    <t>12850077732249</t>
  </si>
  <si>
    <t>1728</t>
  </si>
  <si>
    <t>1202600122</t>
  </si>
  <si>
    <t>14888025187780</t>
  </si>
  <si>
    <t>1476</t>
  </si>
  <si>
    <t>1402518778</t>
  </si>
  <si>
    <t>14850077732256</t>
  </si>
  <si>
    <t>2892</t>
  </si>
  <si>
    <t>1402519175</t>
  </si>
  <si>
    <t>14850077732249</t>
  </si>
  <si>
    <t>2436</t>
  </si>
  <si>
    <t>1402600122</t>
  </si>
  <si>
    <t>33888025187780</t>
  </si>
  <si>
    <t>1500</t>
  </si>
  <si>
    <t>3302518778</t>
  </si>
  <si>
    <t>14850077732096</t>
  </si>
  <si>
    <t>3720</t>
  </si>
  <si>
    <t>1402600123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</si>
</sst>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164" formatCode="\$#,##0;\(\$#,##0\);\$#,##0"/>
    <numFmt numFmtId="165" formatCode="0.0%;\-0.0%;0.0%"/>
    <numFmt numFmtId="166" formatCode="yyyy\-mm\-dd"/>
  </numFmts>
  <fonts count="10" x14ac:knownFonts="1">
    <font>
      <sz val="10"/>
      <name val="Century Gothic"/>
    </font>
    <font>
      <sz val="11"/>
      <color theme="1"/>
      <name val="Aptos Narrow"/>
      <family val="2"/>
      <scheme val="minor"/>
    </font>
    <font>
      <sz val="10"/>
      <name val="Century Gothic"/>
      <family val="2"/>
    </font>
    <font>
      <b/>
      <sz val="16"/>
      <name val="Century Gothic"/>
      <family val="2"/>
    </font>
    <font>
      <sz val="10"/>
      <color theme="0"/>
      <name val="Century Gothic"/>
      <family val="2"/>
    </font>
    <font>
      <sz val="11"/>
      <name val="Aptos Narrow"/>
      <family val="2"/>
    </font>
    <font>
      <sz val="11"/>
      <name val="Aptos Narrow"/>
      <family val="2"/>
    </font>
    <font>
      <sz val="10"/>
      <color rgb="FFFF0000"/>
      <name val="Century Gothic"/>
      <family val="2"/>
    </font>
    <font>
      <b/>
      <sz val="18"/>
      <name val="Century Gothic"/>
      <family val="2"/>
    </font>
    <font>
      <sz val="18"/>
      <name val="Century Gothic"/>
      <family val="2"/>
    </font>
  </fonts>
  <fills count="2">
    <fill>
      <patternFill patternType="none"/>
    </fill>
    <fill>
      <patternFill patternType="gray125"/>
    </fill>
  </fills>
  <borders count="1">
    <border>
      <left/>
      <right/>
      <top/>
      <bottom/>
      <diagonal/>
    </border>
  </borders>
  <cellStyleXfs count="4">
    <xf numFmtId="0" fontId="0" fillId="0" borderId="0"/>
    <xf numFmtId="0" fontId="5" fillId="0" borderId="0"/>
    <xf numFmtId="0" fontId="1" fillId="0" borderId="0"/>
    <xf numFmtId="0" fontId="6" fillId="0" borderId="0"/>
  </cellStyleXfs>
  <cellXfs count="16">
    <xf numFmtId="0" fontId="0" fillId="0" borderId="0" xfId="0"/>
    <xf numFmtId="3" fontId="0" fillId="0" borderId="0" xfId="0" applyNumberFormat="1"/>
    <xf numFmtId="166" fontId="0" fillId="0" borderId="0" xfId="0" applyNumberFormat="1"/>
    <xf numFmtId="0" fontId="0" fillId="0" borderId="0" xfId="0" pivotButton="1"/>
    <xf numFmtId="0" fontId="2" fillId="0" borderId="0" xfId="0" applyFont="1"/>
    <xf numFmtId="42" fontId="0" fillId="0" borderId="0" xfId="0" applyNumberFormat="1"/>
    <xf numFmtId="0" fontId="3" fillId="0" borderId="0" xfId="0" applyFont="1"/>
    <xf numFmtId="0" fontId="0" fillId="0" borderId="0" xfId="0" applyAlignment="1">
      <alignment vertical="top"/>
    </xf>
    <xf numFmtId="0" fontId="4" fillId="0" borderId="0" xfId="0" applyFont="1"/>
    <xf numFmtId="44" fontId="4" fillId="0" borderId="0" xfId="0" applyNumberFormat="1" applyFont="1"/>
    <xf numFmtId="37" fontId="4" fillId="0" borderId="0" xfId="0" applyNumberFormat="1" applyFont="1"/>
    <xf numFmtId="0" fontId="7" fillId="0" borderId="0" xfId="0" applyFont="1"/>
    <xf numFmtId="1" fontId="0" fillId="0" borderId="0" xfId="0" applyNumberFormat="1"/>
    <xf numFmtId="0" fontId="8" fillId="0" borderId="0" xfId="0" applyFont="1"/>
    <xf numFmtId="0" fontId="9" fillId="0" borderId="0" xfId="0" applyFont="1"/>
    <xf numFmtId="0" fontId="0" fillId="0" borderId="0" xfId="0" applyAlignment="1">
      <alignment vertical="center"/>
    </xf>
  </cellXfs>
  <cellStyles count="4">
    <cellStyle name="Normal" xfId="0" builtinId="0"/>
    <cellStyle name="Normal 2" xfId="1" xr:uid="{8917A04F-5030-47F8-9FB5-39EBE9515E69}"/>
    <cellStyle name="Normal 2 2" xfId="3" xr:uid="{B7D9030B-B399-4609-902E-76D6634E153A}"/>
    <cellStyle name="Normal 3" xfId="2" xr:uid="{573D5778-0A7B-4AC0-8693-D07B38AA1D3B}"/>
  </cellStyles>
  <dxfs count="3">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editAs="absolute">
    <xdr:from>
      <xdr:col>1</xdr:col>
      <xdr:colOff>15877</xdr:colOff>
      <xdr:row>3</xdr:row>
      <xdr:rowOff>73025</xdr:rowOff>
    </xdr:from>
    <xdr:to>
      <xdr:col>3</xdr:col>
      <xdr:colOff>2305050</xdr:colOff>
      <xdr:row>11</xdr:row>
      <xdr:rowOff>19050</xdr:rowOff>
    </xdr:to>
    <xdr:sp macro="" textlink="">
      <xdr:nvSpPr>
        <xdr:cNvPr id="6" name="Rectangle 5">
          <a:extLst>
            <a:ext uri="{FF2B5EF4-FFF2-40B4-BE49-F238E27FC236}">
              <a16:creationId xmlns:a16="http://schemas.microsoft.com/office/drawing/2014/main" id="{0731BB49-76EE-4C67-8E46-4B6D8910D629}"/>
            </a:ext>
          </a:extLst>
        </xdr:cNvPr>
        <xdr:cNvSpPr/>
      </xdr:nvSpPr>
      <xdr:spPr>
        <a:xfrm>
          <a:off x="114302" y="673100"/>
          <a:ext cx="5762623" cy="17557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15877</xdr:colOff>
      <xdr:row>3</xdr:row>
      <xdr:rowOff>132078</xdr:rowOff>
    </xdr:from>
    <xdr:to>
      <xdr:col>3</xdr:col>
      <xdr:colOff>2268220</xdr:colOff>
      <xdr:row>10</xdr:row>
      <xdr:rowOff>77341</xdr:rowOff>
    </xdr:to>
    <mc:AlternateContent xmlns:mc="http://schemas.openxmlformats.org/markup-compatibility/2006" xmlns:a14="http://schemas.microsoft.com/office/drawing/2010/main">
      <mc:Choice Requires="a14">
        <xdr:graphicFrame macro="">
          <xdr:nvGraphicFramePr>
            <xdr:cNvPr id="2" name="Item Status Key">
              <a:extLst>
                <a:ext uri="{FF2B5EF4-FFF2-40B4-BE49-F238E27FC236}">
                  <a16:creationId xmlns:a16="http://schemas.microsoft.com/office/drawing/2014/main" id="{CC52AE5A-5245-4A55-87BF-BF95D99B60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Status Key"/>
            </a:graphicData>
          </a:graphic>
        </xdr:graphicFrame>
      </mc:Choice>
      <mc:Fallback xmlns="">
        <xdr:sp macro="" textlink="">
          <xdr:nvSpPr>
            <xdr:cNvPr id="0" name=""/>
            <xdr:cNvSpPr>
              <a:spLocks noTextEdit="1"/>
            </xdr:cNvSpPr>
          </xdr:nvSpPr>
          <xdr:spPr>
            <a:xfrm>
              <a:off x="3587752" y="746123"/>
              <a:ext cx="2238373"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1597025</xdr:colOff>
      <xdr:row>3</xdr:row>
      <xdr:rowOff>132078</xdr:rowOff>
    </xdr:from>
    <xdr:to>
      <xdr:col>2</xdr:col>
      <xdr:colOff>1008380</xdr:colOff>
      <xdr:row>10</xdr:row>
      <xdr:rowOff>76960</xdr:rowOff>
    </xdr:to>
    <mc:AlternateContent xmlns:mc="http://schemas.openxmlformats.org/markup-compatibility/2006" xmlns:a14="http://schemas.microsoft.com/office/drawing/2010/main">
      <mc:Choice Requires="a14">
        <xdr:graphicFrame macro="">
          <xdr:nvGraphicFramePr>
            <xdr:cNvPr id="3" name="Event Type">
              <a:extLst>
                <a:ext uri="{FF2B5EF4-FFF2-40B4-BE49-F238E27FC236}">
                  <a16:creationId xmlns:a16="http://schemas.microsoft.com/office/drawing/2014/main" id="{1091E5DF-F7A6-6E2C-7872-A15C6E5134E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vent Type"/>
            </a:graphicData>
          </a:graphic>
        </xdr:graphicFrame>
      </mc:Choice>
      <mc:Fallback xmlns="">
        <xdr:sp macro="" textlink="">
          <xdr:nvSpPr>
            <xdr:cNvPr id="0" name=""/>
            <xdr:cNvSpPr>
              <a:spLocks noTextEdit="1"/>
            </xdr:cNvSpPr>
          </xdr:nvSpPr>
          <xdr:spPr>
            <a:xfrm>
              <a:off x="1701800" y="746123"/>
              <a:ext cx="1831975" cy="1578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73025</xdr:colOff>
      <xdr:row>3</xdr:row>
      <xdr:rowOff>132078</xdr:rowOff>
    </xdr:from>
    <xdr:to>
      <xdr:col>1</xdr:col>
      <xdr:colOff>1539876</xdr:colOff>
      <xdr:row>10</xdr:row>
      <xdr:rowOff>77341</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0C7F064E-403E-D688-7592-532D306A825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7800" y="746123"/>
              <a:ext cx="1460501"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conya Bagby" refreshedDate="46216.661991319444" missingItemsLimit="0" createdVersion="8" refreshedVersion="8" minRefreshableVersion="3" recordCount="47" xr:uid="{12517E42-1DE3-4A22-AB43-DBB99D8A8347}">
  <cacheSource type="worksheet">
    <worksheetSource name="KeHEPARDataFlowSource"/>
  </cacheSource>
  <cacheFields count="70">
    <cacheField name="DC" numFmtId="0">
      <sharedItems count="8">
        <s v="33"/>
        <s v="41"/>
        <s v="12"/>
        <s v="19"/>
        <s v="55"/>
        <s v="27"/>
        <s v="31"/>
        <s v="14"/>
      </sharedItems>
    </cacheField>
    <cacheField name="Account" numFmtId="0">
      <sharedItems count="1">
        <s v="SPROUTS"/>
      </sharedItems>
    </cacheField>
    <cacheField name="Master ID" numFmtId="0">
      <sharedItems/>
    </cacheField>
    <cacheField name="Event Type" numFmtId="0">
      <sharedItems count="2">
        <s v="ADVERTISING"/>
        <s v="SPROUTS DISTRO"/>
      </sharedItems>
    </cacheField>
    <cacheField name="Status" numFmtId="0">
      <sharedItems count="2">
        <s v="Future"/>
        <s v="Current"/>
      </sharedItems>
    </cacheField>
    <cacheField name="DCUPC" numFmtId="0">
      <sharedItems/>
    </cacheField>
    <cacheField name="UPC" numFmtId="0">
      <sharedItems count="6">
        <s v="888025186387"/>
        <s v="888025187780"/>
        <s v="850077732485"/>
        <s v="850077732256"/>
        <s v="850077732249"/>
        <s v="850077732096"/>
      </sharedItems>
    </cacheField>
    <cacheField name="Brand" numFmtId="0">
      <sharedItems count="1">
        <s v="TRUE SEA MOSS"/>
      </sharedItems>
    </cacheField>
    <cacheField name="Description" numFmtId="0">
      <sharedItems count="6">
        <s v="SEA MOSS BLEND 5IN1"/>
        <s v="SEA MOSS SOURSOP"/>
        <s v="SEA MOSS WATERMELON RASP"/>
        <s v="SEA MOSS RTD MANGO"/>
        <s v="SEA MOSS RTD LEMON"/>
        <s v="SEA MOSS RTD CHRY ARONIA"/>
      </sharedItems>
    </cacheField>
    <cacheField name="Item Status" numFmtId="0">
      <sharedItems/>
    </cacheField>
    <cacheField name="Note" numFmtId="0">
      <sharedItems/>
    </cacheField>
    <cacheField name="UOM" numFmtId="0">
      <sharedItems/>
    </cacheField>
    <cacheField name="Size" numFmtId="0">
      <sharedItems/>
    </cacheField>
    <cacheField name="Units / Case" numFmtId="0">
      <sharedItems/>
    </cacheField>
    <cacheField name="AOM Inventory Status" numFmtId="0">
      <sharedItems/>
    </cacheField>
    <cacheField name="RYG" numFmtId="0">
      <sharedItems/>
    </cacheField>
    <cacheField name="AWM" numFmtId="0">
      <sharedItems/>
    </cacheField>
    <cacheField name="On Ship Order Qty" numFmtId="0">
      <sharedItems/>
    </cacheField>
    <cacheField name="Reserve Qty" numFmtId="0">
      <sharedItems/>
    </cacheField>
    <cacheField name="Req $" numFmtId="0">
      <sharedItems containsSemiMixedTypes="0" containsString="0" containsNumber="1" minValue="383.76" maxValue="10745.28"/>
    </cacheField>
    <cacheField name="Req Qty" numFmtId="0">
      <sharedItems containsSemiMixedTypes="0" containsString="0" containsNumber="1" containsInteger="1" minValue="24" maxValue="900"/>
    </cacheField>
    <cacheField name="Shipped Qty" numFmtId="0">
      <sharedItems/>
    </cacheField>
    <cacheField name="Est. % Cover" numFmtId="0">
      <sharedItems/>
    </cacheField>
    <cacheField name="Est. Qty Short" numFmtId="0">
      <sharedItems/>
    </cacheField>
    <cacheField name="On PO ?" numFmtId="0">
      <sharedItems/>
    </cacheField>
    <cacheField name="PO #" numFmtId="0">
      <sharedItems containsBlank="1" count="14">
        <m/>
        <s v="3794780"/>
        <s v="3777684"/>
        <s v="3781335"/>
        <s v="3782352"/>
        <s v="3777418"/>
        <s v="3789615"/>
        <s v="3762904"/>
        <s v="3789579"/>
        <s v="3785693"/>
        <s v="3786799"/>
        <s v="3799636"/>
        <s v="3786639"/>
        <s v="3799853"/>
      </sharedItems>
    </cacheField>
    <cacheField name="Calculated PO Est. Arrival" numFmtId="0">
      <sharedItems containsBlank="1"/>
    </cacheField>
    <cacheField name="Original PO Est. Arrival" numFmtId="0">
      <sharedItems containsBlank="1"/>
    </cacheField>
    <cacheField name="PO Revised Est. Arrival" numFmtId="0">
      <sharedItems containsNonDate="0" containsString="0" containsBlank="1"/>
    </cacheField>
    <cacheField name="PO Appoint Dt" numFmtId="0">
      <sharedItems containsBlank="1"/>
    </cacheField>
    <cacheField name="FOB/Prepaid" numFmtId="0">
      <sharedItems containsBlank="1"/>
    </cacheField>
    <cacheField name="Qty OH" numFmtId="0">
      <sharedItems/>
    </cacheField>
    <cacheField name="Qty OO" numFmtId="0">
      <sharedItems containsBlank="1"/>
    </cacheField>
    <cacheField name="Days to Start" numFmtId="0">
      <sharedItems containsBlank="1"/>
    </cacheField>
    <cacheField name="AOM Create Dt" numFmtId="0">
      <sharedItems/>
    </cacheField>
    <cacheField name="Event Start Dt" numFmtId="0">
      <sharedItems count="2">
        <s v="8/21/2026"/>
        <s v="7/12/2026"/>
      </sharedItems>
    </cacheField>
    <cacheField name="Event End Dt" numFmtId="0">
      <sharedItems count="2">
        <s v="9/4/2026"/>
        <s v="7/18/2026"/>
      </sharedItems>
    </cacheField>
    <cacheField name="PO Req By Dt (Future Events)" numFmtId="0">
      <sharedItems containsBlank="1"/>
    </cacheField>
    <cacheField name="Is Compliant" numFmtId="0">
      <sharedItems/>
    </cacheField>
    <cacheField name="Submitted By" numFmtId="0">
      <sharedItems/>
    </cacheField>
    <cacheField name="Email" numFmtId="0">
      <sharedItems count="1">
        <s v="LUIS.RAMIREZ@KEHE.COM"/>
      </sharedItems>
    </cacheField>
    <cacheField name="Broker Name" numFmtId="0">
      <sharedItems/>
    </cacheField>
    <cacheField name="Comments" numFmtId="0">
      <sharedItems/>
    </cacheField>
    <cacheField name="MDA #" numFmtId="0">
      <sharedItems containsNonDate="0" containsString="0" containsBlank="1"/>
    </cacheField>
    <cacheField name="Buyer Group" numFmtId="0">
      <sharedItems/>
    </cacheField>
    <cacheField name="Buyer ID" numFmtId="0">
      <sharedItems/>
    </cacheField>
    <cacheField name="Buyer" numFmtId="0">
      <sharedItems/>
    </cacheField>
    <cacheField name="Vendor #" numFmtId="0">
      <sharedItems/>
    </cacheField>
    <cacheField name="Vendor Name" numFmtId="0">
      <sharedItems/>
    </cacheField>
    <cacheField name="Shelf Life Days" numFmtId="0">
      <sharedItems/>
    </cacheField>
    <cacheField name="Category Mgr" numFmtId="0">
      <sharedItems/>
    </cacheField>
    <cacheField name="DC Item #" numFmtId="0">
      <sharedItems/>
    </cacheField>
    <cacheField name="Temp Code" numFmtId="0">
      <sharedItems/>
    </cacheField>
    <cacheField name="Temp Desc" numFmtId="0">
      <sharedItems/>
    </cacheField>
    <cacheField name="IsNewItem" numFmtId="0">
      <sharedItems/>
    </cacheField>
    <cacheField name="IsSeasonal" numFmtId="0">
      <sharedItems/>
    </cacheField>
    <cacheField name="ItemIsDeleted" numFmtId="0">
      <sharedItems/>
    </cacheField>
    <cacheField name="Lead Time" numFmtId="0">
      <sharedItems/>
    </cacheField>
    <cacheField name="Item Setup Date" numFmtId="0">
      <sharedItems/>
    </cacheField>
    <cacheField name="Due Order" numFmtId="0">
      <sharedItems/>
    </cacheField>
    <cacheField name="Delay Units" numFmtId="0">
      <sharedItems/>
    </cacheField>
    <cacheField name="Delay Currency" numFmtId="0">
      <sharedItems/>
    </cacheField>
    <cacheField name="Sub-Vendor" numFmtId="0">
      <sharedItems containsNonDate="0" containsString="0" containsBlank="1"/>
    </cacheField>
    <cacheField name="Order Due Policy" numFmtId="0">
      <sharedItems/>
    </cacheField>
    <cacheField name="Order Days" numFmtId="0">
      <sharedItems/>
    </cacheField>
    <cacheField name="Review Frequency" numFmtId="0">
      <sharedItems/>
    </cacheField>
    <cacheField name="Review Frequency Type" numFmtId="0">
      <sharedItems/>
    </cacheField>
    <cacheField name="Final Sug Ord Qty" numFmtId="0">
      <sharedItems/>
    </cacheField>
    <cacheField name="ROQ" numFmtId="0">
      <sharedItems/>
    </cacheField>
    <cacheField name="Item Status Key" numFmtId="0">
      <sharedItems count="2">
        <s v="Temporarily OOS due to Manuf"/>
        <s v="Normal, Active item"/>
      </sharedItems>
    </cacheField>
  </cacheFields>
  <extLst>
    <ext xmlns:x14="http://schemas.microsoft.com/office/spreadsheetml/2009/9/main" uri="{725AE2AE-9491-48be-B2B4-4EB974FC3084}">
      <x14:pivotCacheDefinition pivotCacheId="621861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x v="0"/>
    <s v="593804"/>
    <x v="0"/>
    <x v="0"/>
    <s v="33888025186387"/>
    <x v="0"/>
    <x v="0"/>
    <x v="0"/>
    <s v="T"/>
    <s v=""/>
    <s v="FO"/>
    <s v="16"/>
    <s v="6"/>
    <s v="FUTURE EVENT - PO REQUIRED BY 8/4/2026"/>
    <s v="GREEN"/>
    <s v="0"/>
    <s v="0"/>
    <s v="0"/>
    <n v="3837.6"/>
    <n v="240"/>
    <s v="0"/>
    <s v="1"/>
    <s v="0"/>
    <s v="0"/>
    <x v="0"/>
    <m/>
    <m/>
    <m/>
    <m/>
    <m/>
    <s v="1182"/>
    <s v="0"/>
    <s v="39"/>
    <s v="7/9/2026"/>
    <x v="0"/>
    <x v="0"/>
    <s v="8/4/2026"/>
    <s v="Y"/>
    <s v="KeHE\LMRamirez"/>
    <x v="0"/>
    <s v="GREEN SPOON SALES"/>
    <s v="8 26 VITAHBA SEPTEMBER AD"/>
    <m/>
    <s v="CENTER"/>
    <s v="84"/>
    <s v="EWELINA WISZOWATA"/>
    <s v="214030"/>
    <s v="DIVA FAM INC"/>
    <s v="270"/>
    <s v="Christine Casey"/>
    <s v="3302518638"/>
    <s v="D"/>
    <s v="DRY"/>
    <s v="false"/>
    <s v="false"/>
    <s v="false"/>
    <s v="17"/>
    <s v="12/11/2025"/>
    <s v="false"/>
    <s v="6"/>
    <s v="5"/>
    <m/>
    <s v="CURR_UNIT_STKOUT"/>
    <s v="12345"/>
    <s v="1"/>
    <s v="DAY"/>
    <s v="180"/>
    <s v="52"/>
    <x v="0"/>
  </r>
  <r>
    <x v="1"/>
    <x v="0"/>
    <s v="593804"/>
    <x v="0"/>
    <x v="0"/>
    <s v="41888025187780"/>
    <x v="1"/>
    <x v="0"/>
    <x v="1"/>
    <s v="N"/>
    <s v=""/>
    <s v="FO"/>
    <s v="16"/>
    <s v="6"/>
    <s v="FUTURE EVENT - PO REQUIRED BY 8/2/2026"/>
    <s v="GREEN"/>
    <s v="0"/>
    <s v="0"/>
    <s v="0"/>
    <n v="7195.5"/>
    <n v="450"/>
    <s v="0"/>
    <s v="1"/>
    <s v="0"/>
    <s v="0"/>
    <x v="0"/>
    <m/>
    <m/>
    <m/>
    <m/>
    <m/>
    <s v="1860"/>
    <s v="0"/>
    <s v="39"/>
    <s v="7/9/2026"/>
    <x v="0"/>
    <x v="0"/>
    <s v="8/2/2026"/>
    <s v="Y"/>
    <s v="KeHE\LMRamirez"/>
    <x v="0"/>
    <s v="GREEN SPOON SALES"/>
    <s v="8 26 VITAHBA SEPTEMBER AD"/>
    <m/>
    <s v="CENTER"/>
    <s v="84"/>
    <s v="EWELINA WISZOWATA"/>
    <s v="214030"/>
    <s v="DIVA FAM INC"/>
    <s v="270"/>
    <s v="Christine Casey"/>
    <s v="4102518778"/>
    <s v="D"/>
    <s v="DRY"/>
    <s v="false"/>
    <s v="false"/>
    <s v="false"/>
    <s v="19"/>
    <s v="12/11/2025"/>
    <s v="true"/>
    <s v="0"/>
    <s v="0"/>
    <m/>
    <s v="CURR_UNIT_STKOUT"/>
    <s v="12345"/>
    <s v="1"/>
    <s v="DAY"/>
    <s v="360"/>
    <s v="185"/>
    <x v="1"/>
  </r>
  <r>
    <x v="2"/>
    <x v="0"/>
    <s v="593804"/>
    <x v="0"/>
    <x v="0"/>
    <s v="12850077732485"/>
    <x v="2"/>
    <x v="0"/>
    <x v="2"/>
    <s v="N"/>
    <s v=""/>
    <s v="FO"/>
    <s v="16"/>
    <s v="6"/>
    <s v="FUTURE EVENT - PO REQUIRED BY 8/1/2026"/>
    <s v="GREEN"/>
    <s v="0"/>
    <s v="0"/>
    <s v="0"/>
    <n v="3837.6"/>
    <n v="240"/>
    <s v="0"/>
    <s v="1"/>
    <s v="0"/>
    <s v="0"/>
    <x v="0"/>
    <m/>
    <m/>
    <m/>
    <m/>
    <m/>
    <s v="1002"/>
    <s v="0"/>
    <s v="39"/>
    <s v="7/9/2026"/>
    <x v="0"/>
    <x v="0"/>
    <s v="8/1/2026"/>
    <s v="Y"/>
    <s v="KeHE\LMRamirez"/>
    <x v="0"/>
    <s v="GREEN SPOON SALES"/>
    <s v="8 26 VITAHBA SEPTEMBER AD"/>
    <m/>
    <s v="CENTER"/>
    <s v="84"/>
    <s v="EWELINA WISZOWATA"/>
    <s v="214030"/>
    <s v="DIVA FAM INC"/>
    <s v="270"/>
    <s v="Christine Casey"/>
    <s v="1202607905"/>
    <s v="D"/>
    <s v="DRY"/>
    <s v="false"/>
    <s v="false"/>
    <s v="false"/>
    <s v="20"/>
    <s v="5/9/2026"/>
    <s v="false"/>
    <s v="6"/>
    <s v="6"/>
    <m/>
    <s v="CURR_UNIT_STKOUT"/>
    <s v="12345"/>
    <s v="1"/>
    <s v="DAY"/>
    <s v="180"/>
    <s v="13"/>
    <x v="1"/>
  </r>
  <r>
    <x v="1"/>
    <x v="0"/>
    <s v="593804"/>
    <x v="0"/>
    <x v="0"/>
    <s v="41888025186387"/>
    <x v="0"/>
    <x v="0"/>
    <x v="0"/>
    <s v="N"/>
    <s v=""/>
    <s v="FO"/>
    <s v="16"/>
    <s v="6"/>
    <s v="FUTURE EVENT - PO REQUIRED BY 8/2/2026"/>
    <s v="GREEN"/>
    <s v="0"/>
    <s v="0"/>
    <s v="0"/>
    <n v="8634.6"/>
    <n v="540"/>
    <s v="0"/>
    <s v="1"/>
    <s v="0"/>
    <s v="1"/>
    <x v="1"/>
    <s v="7/27/2026"/>
    <s v="7/27/2026"/>
    <m/>
    <m/>
    <s v="Collect"/>
    <s v="1566"/>
    <s v="720"/>
    <s v="39"/>
    <s v="7/9/2026"/>
    <x v="0"/>
    <x v="0"/>
    <s v="8/2/2026"/>
    <s v="Y"/>
    <s v="KeHE\LMRamirez"/>
    <x v="0"/>
    <s v="GREEN SPOON SALES"/>
    <s v="8 26 VITAHBA SEPTEMBER AD"/>
    <m/>
    <s v="CENTER"/>
    <s v="84"/>
    <s v="EWELINA WISZOWATA"/>
    <s v="214030"/>
    <s v="DIVA FAM INC"/>
    <s v="270"/>
    <s v="Christine Casey"/>
    <s v="4102518638"/>
    <s v="D"/>
    <s v="DRY"/>
    <s v="false"/>
    <s v="false"/>
    <s v="false"/>
    <s v="19"/>
    <s v="12/11/2025"/>
    <s v="true"/>
    <s v="0"/>
    <s v="0"/>
    <m/>
    <s v="CURR_UNIT_STKOUT"/>
    <s v="12345"/>
    <s v="1"/>
    <s v="DAY"/>
    <s v="720"/>
    <s v="684"/>
    <x v="1"/>
  </r>
  <r>
    <x v="1"/>
    <x v="0"/>
    <s v="593804"/>
    <x v="0"/>
    <x v="0"/>
    <s v="41850077732485"/>
    <x v="2"/>
    <x v="0"/>
    <x v="2"/>
    <s v="N"/>
    <s v=""/>
    <s v="FO"/>
    <s v="16"/>
    <s v="6"/>
    <s v="FUTURE EVENT - PO REQUIRED BY 8/2/2026"/>
    <s v="GREEN"/>
    <s v="0"/>
    <s v="0"/>
    <s v="0"/>
    <n v="10745.28"/>
    <n v="672"/>
    <s v="0"/>
    <s v="1"/>
    <s v="0"/>
    <s v="1"/>
    <x v="1"/>
    <s v="7/27/2026"/>
    <s v="7/27/2026"/>
    <m/>
    <m/>
    <s v="Collect"/>
    <s v="1296"/>
    <s v="360"/>
    <s v="39"/>
    <s v="7/9/2026"/>
    <x v="0"/>
    <x v="0"/>
    <s v="8/2/2026"/>
    <s v="Y"/>
    <s v="KeHE\LMRamirez"/>
    <x v="0"/>
    <s v="GREEN SPOON SALES"/>
    <s v="8 26 VITAHBA SEPTEMBER AD"/>
    <m/>
    <s v="CENTER"/>
    <s v="84"/>
    <s v="EWELINA WISZOWATA"/>
    <s v="214030"/>
    <s v="DIVA FAM INC"/>
    <s v="270"/>
    <s v="Christine Casey"/>
    <s v="4102607905"/>
    <s v="D"/>
    <s v="DRY"/>
    <s v="false"/>
    <s v="false"/>
    <s v="false"/>
    <s v="19"/>
    <s v="5/9/2026"/>
    <s v="true"/>
    <s v="0"/>
    <s v="0"/>
    <m/>
    <s v="CURR_UNIT_STKOUT"/>
    <s v="12345"/>
    <s v="1"/>
    <s v="DAY"/>
    <s v="360"/>
    <s v="272"/>
    <x v="1"/>
  </r>
  <r>
    <x v="3"/>
    <x v="0"/>
    <s v="593804"/>
    <x v="0"/>
    <x v="0"/>
    <s v="19888025186387"/>
    <x v="0"/>
    <x v="0"/>
    <x v="0"/>
    <s v="N"/>
    <s v=""/>
    <s v="FO"/>
    <s v="16"/>
    <s v="6"/>
    <s v="FUTURE EVENT - PO REQUIRED BY 7/31/2026"/>
    <s v="GREEN"/>
    <s v="0"/>
    <s v="0"/>
    <s v="0"/>
    <n v="5948.28"/>
    <n v="372"/>
    <s v="0"/>
    <s v="1"/>
    <s v="0"/>
    <s v="1"/>
    <x v="2"/>
    <s v="7/20/2026"/>
    <s v="7/20/2026"/>
    <m/>
    <m/>
    <s v="Collect"/>
    <s v="1224"/>
    <s v="1440"/>
    <s v="39"/>
    <s v="7/9/2026"/>
    <x v="0"/>
    <x v="0"/>
    <s v="7/31/2026"/>
    <s v="Y"/>
    <s v="KeHE\LMRamirez"/>
    <x v="0"/>
    <s v="GREEN SPOON SALES"/>
    <s v="8 26 VITAHBA SEPTEMBER AD"/>
    <m/>
    <s v="CENTER"/>
    <s v="84"/>
    <s v="EWELINA WISZOWATA"/>
    <s v="214030"/>
    <s v="DIVA FAM INC"/>
    <s v="270"/>
    <s v="Christine Casey"/>
    <s v="1902518638"/>
    <s v="D"/>
    <s v="DRY"/>
    <s v="false"/>
    <s v="false"/>
    <s v="false"/>
    <s v="21"/>
    <s v="12/11/2025"/>
    <s v="false"/>
    <s v="3"/>
    <s v="3"/>
    <m/>
    <s v="CURR_UNIT_STKOUT"/>
    <s v="12345"/>
    <s v="1"/>
    <s v="DAY"/>
    <s v="360"/>
    <s v="262"/>
    <x v="1"/>
  </r>
  <r>
    <x v="3"/>
    <x v="0"/>
    <s v="593804"/>
    <x v="0"/>
    <x v="0"/>
    <s v="19850077732485"/>
    <x v="2"/>
    <x v="0"/>
    <x v="2"/>
    <s v="T"/>
    <s v=""/>
    <s v="FO"/>
    <s v="16"/>
    <s v="6"/>
    <s v="FUTURE EVENT - PO REQUIRED BY 7/31/2026"/>
    <s v="GREEN"/>
    <s v="0"/>
    <s v="0"/>
    <s v="0"/>
    <n v="9210.24"/>
    <n v="576"/>
    <s v="0"/>
    <s v="1"/>
    <s v="0"/>
    <s v="1"/>
    <x v="3"/>
    <s v="7/22/2026"/>
    <s v="7/22/2026"/>
    <m/>
    <m/>
    <s v="Collect"/>
    <s v="516"/>
    <s v="1440"/>
    <s v="39"/>
    <s v="7/9/2026"/>
    <x v="0"/>
    <x v="0"/>
    <s v="7/31/2026"/>
    <s v="Y"/>
    <s v="KeHE\LMRamirez"/>
    <x v="0"/>
    <s v="GREEN SPOON SALES"/>
    <s v="8 26 VITAHBA SEPTEMBER AD"/>
    <m/>
    <s v="CENTER"/>
    <s v="84"/>
    <s v="EWELINA WISZOWATA"/>
    <s v="214030"/>
    <s v="DIVA FAM INC"/>
    <s v="270"/>
    <s v="Christine Casey"/>
    <s v="1902607905"/>
    <s v="D"/>
    <s v="DRY"/>
    <s v="false"/>
    <s v="false"/>
    <s v="false"/>
    <s v="21"/>
    <s v="5/9/2026"/>
    <s v="false"/>
    <s v="3"/>
    <s v="3"/>
    <m/>
    <s v="CURR_UNIT_STKOUT"/>
    <s v="12345"/>
    <s v="1"/>
    <s v="DAY"/>
    <s v="360"/>
    <s v="206"/>
    <x v="0"/>
  </r>
  <r>
    <x v="4"/>
    <x v="0"/>
    <s v="593804"/>
    <x v="0"/>
    <x v="0"/>
    <s v="55888025186387"/>
    <x v="0"/>
    <x v="0"/>
    <x v="0"/>
    <s v="N"/>
    <s v=""/>
    <s v="FO"/>
    <s v="16"/>
    <s v="6"/>
    <s v="FUTURE EVENT - PO REQUIRED BY 7/31/2026"/>
    <s v="GREEN"/>
    <s v="0"/>
    <s v="0"/>
    <s v="0"/>
    <n v="2782.26"/>
    <n v="174"/>
    <s v="0"/>
    <s v="1"/>
    <s v="0"/>
    <s v="1"/>
    <x v="4"/>
    <s v="7/22/2026"/>
    <s v="7/22/2026"/>
    <m/>
    <m/>
    <s v="Collect"/>
    <s v="150"/>
    <s v="1440"/>
    <s v="39"/>
    <s v="7/9/2026"/>
    <x v="0"/>
    <x v="0"/>
    <s v="7/31/2026"/>
    <s v="Y"/>
    <s v="KeHE\LMRamirez"/>
    <x v="0"/>
    <s v="GREEN SPOON SALES"/>
    <s v="8 26 VITAHBA SEPTEMBER AD"/>
    <m/>
    <s v="CENTER"/>
    <s v="44"/>
    <s v="BRYAN BURKLIN"/>
    <s v="214030"/>
    <s v="DIVA FAM INC"/>
    <s v="270"/>
    <s v="Christine Casey"/>
    <s v="5502518638"/>
    <s v="D"/>
    <s v="DRY"/>
    <s v="false"/>
    <s v="false"/>
    <s v="false"/>
    <s v="21"/>
    <s v="12/11/2025"/>
    <s v="false"/>
    <s v="4"/>
    <s v="4"/>
    <m/>
    <s v="CURR_UNIT_STKOUT"/>
    <s v="12345"/>
    <s v="1"/>
    <s v="DAY"/>
    <s v="360"/>
    <s v="250"/>
    <x v="1"/>
  </r>
  <r>
    <x v="4"/>
    <x v="0"/>
    <s v="593804"/>
    <x v="0"/>
    <x v="0"/>
    <s v="55888025187780"/>
    <x v="1"/>
    <x v="0"/>
    <x v="1"/>
    <s v="N"/>
    <s v=""/>
    <s v="FO"/>
    <s v="16"/>
    <s v="6"/>
    <s v="FUTURE EVENT - PO REQUIRED BY 7/31/2026"/>
    <s v="GREEN"/>
    <s v="0"/>
    <s v="0"/>
    <s v="0"/>
    <n v="2398.5"/>
    <n v="150"/>
    <s v="0"/>
    <s v="1"/>
    <s v="0"/>
    <s v="1"/>
    <x v="4"/>
    <s v="7/22/2026"/>
    <s v="7/22/2026"/>
    <m/>
    <m/>
    <s v="Collect"/>
    <s v="138"/>
    <s v="1080"/>
    <s v="39"/>
    <s v="7/9/2026"/>
    <x v="0"/>
    <x v="0"/>
    <s v="7/31/2026"/>
    <s v="Y"/>
    <s v="KeHE\LMRamirez"/>
    <x v="0"/>
    <s v="GREEN SPOON SALES"/>
    <s v="8 26 VITAHBA SEPTEMBER AD"/>
    <m/>
    <s v="CENTER"/>
    <s v="44"/>
    <s v="BRYAN BURKLIN"/>
    <s v="214030"/>
    <s v="DIVA FAM INC"/>
    <s v="270"/>
    <s v="Christine Casey"/>
    <s v="5502518778"/>
    <s v="D"/>
    <s v="DRY"/>
    <s v="false"/>
    <s v="false"/>
    <s v="false"/>
    <s v="21"/>
    <s v="12/11/2025"/>
    <s v="false"/>
    <s v="4"/>
    <s v="4"/>
    <m/>
    <s v="CURR_UNIT_STKOUT"/>
    <s v="12345"/>
    <s v="1"/>
    <s v="DAY"/>
    <s v="360"/>
    <s v="220"/>
    <x v="1"/>
  </r>
  <r>
    <x v="4"/>
    <x v="0"/>
    <s v="593804"/>
    <x v="0"/>
    <x v="0"/>
    <s v="55850077732256"/>
    <x v="3"/>
    <x v="0"/>
    <x v="3"/>
    <s v="N"/>
    <s v=""/>
    <s v="FO"/>
    <s v="12"/>
    <s v="12"/>
    <s v="FUTURE EVENT - PO REQUIRED BY 7/31/2026"/>
    <s v="GREEN"/>
    <s v="0"/>
    <s v="0"/>
    <s v="0"/>
    <n v="897"/>
    <n v="300"/>
    <s v="0"/>
    <s v="1"/>
    <s v="0"/>
    <s v="1"/>
    <x v="5"/>
    <s v="7/20/2026"/>
    <s v="7/20/2026"/>
    <m/>
    <m/>
    <s v="Collect"/>
    <s v="456"/>
    <s v="2448"/>
    <s v="39"/>
    <s v="7/9/2026"/>
    <x v="0"/>
    <x v="0"/>
    <s v="7/31/2026"/>
    <s v="Y"/>
    <s v="KeHE\LMRamirez"/>
    <x v="0"/>
    <s v="GREEN SPOON SALES"/>
    <s v="8 26 VITAHBA SEPTEMBER AD"/>
    <m/>
    <s v="CENTER"/>
    <s v="44"/>
    <s v="BRYAN BURKLIN"/>
    <s v="214030"/>
    <s v="DIVA FAM INC"/>
    <s v="540"/>
    <s v="Christine Casey"/>
    <s v="5502519175"/>
    <s v="D"/>
    <s v="DRY"/>
    <s v="false"/>
    <s v="false"/>
    <s v="false"/>
    <s v="21"/>
    <s v="1/13/2026"/>
    <s v="false"/>
    <s v="4"/>
    <s v="4"/>
    <m/>
    <s v="CURR_UNIT_STKOUT"/>
    <s v="12345"/>
    <s v="1"/>
    <s v="DAY"/>
    <s v="408"/>
    <s v="347"/>
    <x v="1"/>
  </r>
  <r>
    <x v="4"/>
    <x v="0"/>
    <s v="593804"/>
    <x v="0"/>
    <x v="0"/>
    <s v="55850077732485"/>
    <x v="2"/>
    <x v="0"/>
    <x v="2"/>
    <s v="N"/>
    <s v=""/>
    <s v="FO"/>
    <s v="16"/>
    <s v="6"/>
    <s v="FUTURE EVENT - PO REQUIRED BY 7/31/2026"/>
    <s v="GREEN"/>
    <s v="0"/>
    <s v="0"/>
    <s v="0"/>
    <n v="4797"/>
    <n v="300"/>
    <s v="0"/>
    <s v="1"/>
    <s v="0"/>
    <s v="1"/>
    <x v="6"/>
    <s v="7/27/2026"/>
    <s v="7/27/2026"/>
    <m/>
    <m/>
    <s v="Collect"/>
    <s v="504"/>
    <s v="900"/>
    <s v="39"/>
    <s v="7/9/2026"/>
    <x v="0"/>
    <x v="0"/>
    <s v="7/31/2026"/>
    <s v="Y"/>
    <s v="KeHE\LMRamirez"/>
    <x v="0"/>
    <s v="GREEN SPOON SALES"/>
    <s v="8 26 VITAHBA SEPTEMBER AD"/>
    <m/>
    <s v="CENTER"/>
    <s v="44"/>
    <s v="BRYAN BURKLIN"/>
    <s v="214030"/>
    <s v="DIVA FAM INC"/>
    <s v="270"/>
    <s v="Christine Casey"/>
    <s v="5502607905"/>
    <s v="D"/>
    <s v="DRY"/>
    <s v="false"/>
    <s v="false"/>
    <s v="false"/>
    <s v="21"/>
    <s v="5/9/2026"/>
    <s v="false"/>
    <s v="4"/>
    <s v="4"/>
    <m/>
    <s v="CURR_UNIT_STKOUT"/>
    <s v="12345"/>
    <s v="1"/>
    <s v="DAY"/>
    <s v="180"/>
    <s v="135"/>
    <x v="1"/>
  </r>
  <r>
    <x v="5"/>
    <x v="0"/>
    <s v="593804"/>
    <x v="0"/>
    <x v="0"/>
    <s v="27888025186387"/>
    <x v="0"/>
    <x v="0"/>
    <x v="0"/>
    <s v="N"/>
    <s v=""/>
    <s v="FO"/>
    <s v="16"/>
    <s v="6"/>
    <s v="FUTURE EVENT - PO REQUIRED BY 7/30/2026"/>
    <s v="GREEN"/>
    <s v="0"/>
    <s v="0"/>
    <s v="0"/>
    <n v="2302.56"/>
    <n v="144"/>
    <s v="0"/>
    <s v="1"/>
    <s v="0"/>
    <s v="1"/>
    <x v="7"/>
    <s v="7/21/2026"/>
    <s v="7/14/2026"/>
    <m/>
    <s v="7/12/2026"/>
    <s v="Collect"/>
    <s v="918"/>
    <s v="360"/>
    <s v="39"/>
    <s v="7/9/2026"/>
    <x v="0"/>
    <x v="0"/>
    <s v="7/30/2026"/>
    <s v="Y"/>
    <s v="KeHE\LMRamirez"/>
    <x v="0"/>
    <s v="GREEN SPOON SALES"/>
    <s v="8 26 VITAHBA SEPTEMBER AD"/>
    <m/>
    <s v="CENTER"/>
    <s v="44"/>
    <s v="BRYAN BURKLIN"/>
    <s v="214030"/>
    <s v="DIVA FAM INC"/>
    <s v="270"/>
    <s v="Christine Casey"/>
    <s v="2702518638"/>
    <s v="D"/>
    <s v="DRY"/>
    <s v="false"/>
    <s v="false"/>
    <s v="false"/>
    <s v="22"/>
    <s v="12/11/2025"/>
    <s v="false"/>
    <s v="3"/>
    <s v="3"/>
    <m/>
    <s v="CURR_UNIT_STKOUT"/>
    <s v="12345"/>
    <s v="1"/>
    <s v="DAY"/>
    <s v="360"/>
    <s v="225"/>
    <x v="1"/>
  </r>
  <r>
    <x v="5"/>
    <x v="0"/>
    <s v="593804"/>
    <x v="0"/>
    <x v="0"/>
    <s v="27888025187780"/>
    <x v="1"/>
    <x v="0"/>
    <x v="1"/>
    <s v="N"/>
    <s v=""/>
    <s v="FO"/>
    <s v="16"/>
    <s v="6"/>
    <s v="FUTURE EVENT - PO REQUIRED BY 7/30/2026"/>
    <s v="GREEN"/>
    <s v="0"/>
    <s v="0"/>
    <s v="0"/>
    <n v="1918.8"/>
    <n v="120"/>
    <s v="0"/>
    <s v="1"/>
    <s v="0"/>
    <s v="1"/>
    <x v="7"/>
    <s v="7/21/2026"/>
    <s v="7/14/2026"/>
    <m/>
    <s v="7/12/2026"/>
    <s v="Collect"/>
    <s v="384"/>
    <s v="720"/>
    <s v="39"/>
    <s v="7/9/2026"/>
    <x v="0"/>
    <x v="0"/>
    <s v="7/30/2026"/>
    <s v="Y"/>
    <s v="KeHE\LMRamirez"/>
    <x v="0"/>
    <s v="GREEN SPOON SALES"/>
    <s v="8 26 VITAHBA SEPTEMBER AD"/>
    <m/>
    <s v="CENTER"/>
    <s v="44"/>
    <s v="BRYAN BURKLIN"/>
    <s v="214030"/>
    <s v="DIVA FAM INC"/>
    <s v="270"/>
    <s v="Christine Casey"/>
    <s v="2702518778"/>
    <s v="D"/>
    <s v="DRY"/>
    <s v="false"/>
    <s v="false"/>
    <s v="false"/>
    <s v="22"/>
    <s v="12/11/2025"/>
    <s v="false"/>
    <s v="3"/>
    <s v="3"/>
    <m/>
    <s v="CURR_UNIT_STKOUT"/>
    <s v="12345"/>
    <s v="1"/>
    <s v="DAY"/>
    <s v="180"/>
    <s v="168"/>
    <x v="1"/>
  </r>
  <r>
    <x v="5"/>
    <x v="0"/>
    <s v="593804"/>
    <x v="0"/>
    <x v="0"/>
    <s v="27850077732256"/>
    <x v="3"/>
    <x v="0"/>
    <x v="3"/>
    <s v="N"/>
    <s v=""/>
    <s v="FO"/>
    <s v="12"/>
    <s v="12"/>
    <s v="FUTURE EVENT - PO REQUIRED BY 7/30/2026"/>
    <s v="GREEN"/>
    <s v="0"/>
    <s v="0"/>
    <s v="0"/>
    <n v="717.6"/>
    <n v="240"/>
    <s v="0"/>
    <s v="1"/>
    <s v="0"/>
    <s v="1"/>
    <x v="7"/>
    <s v="7/21/2026"/>
    <s v="7/14/2026"/>
    <m/>
    <s v="7/12/2026"/>
    <s v="Collect"/>
    <s v="888"/>
    <s v="1020"/>
    <s v="39"/>
    <s v="7/9/2026"/>
    <x v="0"/>
    <x v="0"/>
    <s v="7/30/2026"/>
    <s v="Y"/>
    <s v="KeHE\LMRamirez"/>
    <x v="0"/>
    <s v="GREEN SPOON SALES"/>
    <s v="8 26 VITAHBA SEPTEMBER AD"/>
    <m/>
    <s v="CENTER"/>
    <s v="44"/>
    <s v="BRYAN BURKLIN"/>
    <s v="214030"/>
    <s v="DIVA FAM INC"/>
    <s v="540"/>
    <s v="Christine Casey"/>
    <s v="2702519175"/>
    <s v="D"/>
    <s v="DRY"/>
    <s v="false"/>
    <s v="false"/>
    <s v="false"/>
    <s v="22"/>
    <s v="1/13/2026"/>
    <s v="false"/>
    <s v="3"/>
    <s v="3"/>
    <m/>
    <s v="CURR_UNIT_STKOUT"/>
    <s v="12345"/>
    <s v="1"/>
    <s v="DAY"/>
    <s v="204"/>
    <s v="128"/>
    <x v="1"/>
  </r>
  <r>
    <x v="5"/>
    <x v="0"/>
    <s v="593804"/>
    <x v="0"/>
    <x v="0"/>
    <s v="27850077732249"/>
    <x v="4"/>
    <x v="0"/>
    <x v="4"/>
    <s v="N"/>
    <s v=""/>
    <s v="FO"/>
    <s v="12"/>
    <s v="12"/>
    <s v="FUTURE EVENT - PO REQUIRED BY 7/30/2026"/>
    <s v="GREEN"/>
    <s v="0"/>
    <s v="0"/>
    <s v="0"/>
    <n v="574.08000000000004"/>
    <n v="192"/>
    <s v="0"/>
    <s v="1"/>
    <s v="0"/>
    <s v="1"/>
    <x v="7"/>
    <s v="7/21/2026"/>
    <s v="7/14/2026"/>
    <m/>
    <s v="7/12/2026"/>
    <s v="Collect"/>
    <s v="648"/>
    <s v="612"/>
    <s v="39"/>
    <s v="7/9/2026"/>
    <x v="0"/>
    <x v="0"/>
    <s v="7/30/2026"/>
    <s v="Y"/>
    <s v="KeHE\LMRamirez"/>
    <x v="0"/>
    <s v="GREEN SPOON SALES"/>
    <s v="8 26 VITAHBA SEPTEMBER AD"/>
    <m/>
    <s v="CENTER"/>
    <s v="44"/>
    <s v="BRYAN BURKLIN"/>
    <s v="214030"/>
    <s v="DIVA FAM INC"/>
    <s v="540"/>
    <s v="Christine Casey"/>
    <s v="2702600122"/>
    <s v="D"/>
    <s v="DRY"/>
    <s v="false"/>
    <s v="false"/>
    <s v="false"/>
    <s v="22"/>
    <s v="1/13/2026"/>
    <s v="false"/>
    <s v="3"/>
    <s v="3"/>
    <m/>
    <s v="CURR_UNIT_STKOUT"/>
    <s v="12345"/>
    <s v="1"/>
    <s v="DAY"/>
    <s v="408"/>
    <s v="221"/>
    <x v="1"/>
  </r>
  <r>
    <x v="5"/>
    <x v="0"/>
    <s v="593804"/>
    <x v="0"/>
    <x v="0"/>
    <s v="27850077732485"/>
    <x v="2"/>
    <x v="0"/>
    <x v="2"/>
    <s v="N"/>
    <s v=""/>
    <s v="FO"/>
    <s v="16"/>
    <s v="6"/>
    <s v="FUTURE EVENT - PO REQUIRED BY 7/30/2026"/>
    <s v="GREEN"/>
    <s v="0"/>
    <s v="0"/>
    <s v="0"/>
    <n v="1535.04"/>
    <n v="96"/>
    <s v="0"/>
    <s v="1"/>
    <s v="0"/>
    <s v="1"/>
    <x v="8"/>
    <s v="7/28/2026"/>
    <s v="7/28/2026"/>
    <m/>
    <m/>
    <s v="Collect"/>
    <s v="270"/>
    <s v="540"/>
    <s v="39"/>
    <s v="7/9/2026"/>
    <x v="0"/>
    <x v="0"/>
    <s v="7/30/2026"/>
    <s v="Y"/>
    <s v="KeHE\LMRamirez"/>
    <x v="0"/>
    <s v="GREEN SPOON SALES"/>
    <s v="8 26 VITAHBA SEPTEMBER AD"/>
    <m/>
    <s v="CENTER"/>
    <s v="44"/>
    <s v="BRYAN BURKLIN"/>
    <s v="214030"/>
    <s v="DIVA FAM INC"/>
    <s v="270"/>
    <s v="Christine Casey"/>
    <s v="2702607905"/>
    <s v="D"/>
    <s v="DRY"/>
    <s v="false"/>
    <s v="false"/>
    <s v="false"/>
    <s v="22"/>
    <s v="5/9/2026"/>
    <s v="false"/>
    <s v="3"/>
    <s v="3"/>
    <m/>
    <s v="CURR_UNIT_STKOUT"/>
    <s v="12345"/>
    <s v="1"/>
    <s v="DAY"/>
    <s v="180"/>
    <s v="163"/>
    <x v="1"/>
  </r>
  <r>
    <x v="6"/>
    <x v="0"/>
    <s v="593804"/>
    <x v="0"/>
    <x v="0"/>
    <s v="31850077732485"/>
    <x v="2"/>
    <x v="0"/>
    <x v="2"/>
    <s v="N"/>
    <s v=""/>
    <s v="FO"/>
    <s v="16"/>
    <s v="6"/>
    <s v="FUTURE EVENT - PO REQUIRED BY 7/30/2026"/>
    <s v="GREEN"/>
    <s v="0"/>
    <s v="0"/>
    <s v="0"/>
    <n v="3453.84"/>
    <n v="216"/>
    <s v="0"/>
    <s v="1"/>
    <s v="0"/>
    <s v="1"/>
    <x v="9"/>
    <s v="7/24/2026"/>
    <s v="7/24/2026"/>
    <m/>
    <m/>
    <s v="Collect"/>
    <s v="822"/>
    <s v="540"/>
    <s v="39"/>
    <s v="7/9/2026"/>
    <x v="0"/>
    <x v="0"/>
    <s v="7/30/2026"/>
    <s v="Y"/>
    <s v="KeHE\LMRamirez"/>
    <x v="0"/>
    <s v="GREEN SPOON SALES"/>
    <s v="8 26 VITAHBA SEPTEMBER AD"/>
    <m/>
    <s v="CENTER"/>
    <s v="44"/>
    <s v="BRYAN BURKLIN"/>
    <s v="214030"/>
    <s v="DIVA FAM INC"/>
    <s v="270"/>
    <s v="Christine Casey"/>
    <s v="3102607905"/>
    <s v="D"/>
    <s v="DRY"/>
    <s v="false"/>
    <s v="false"/>
    <s v="false"/>
    <s v="22"/>
    <s v="5/9/2026"/>
    <s v="false"/>
    <s v="6"/>
    <s v="6"/>
    <m/>
    <s v="CURR_UNIT_STKOUT"/>
    <s v="12345"/>
    <s v="1"/>
    <s v="DAY"/>
    <s v="180"/>
    <s v="173"/>
    <x v="1"/>
  </r>
  <r>
    <x v="3"/>
    <x v="0"/>
    <s v="594174"/>
    <x v="1"/>
    <x v="1"/>
    <s v="19850077732485"/>
    <x v="2"/>
    <x v="0"/>
    <x v="2"/>
    <s v="T"/>
    <s v=""/>
    <s v="FO"/>
    <s v="16"/>
    <s v="6"/>
    <s v="AOM SHIPPED"/>
    <s v="GREEN"/>
    <s v="0"/>
    <s v="24"/>
    <s v="0"/>
    <n v="383.76"/>
    <n v="24"/>
    <s v="24"/>
    <s v="1"/>
    <s v="0"/>
    <s v="0"/>
    <x v="0"/>
    <m/>
    <m/>
    <m/>
    <m/>
    <m/>
    <s v="516"/>
    <m/>
    <m/>
    <s v="7/10/2026"/>
    <x v="1"/>
    <x v="1"/>
    <m/>
    <s v="N"/>
    <s v="KeHE\LMRamirez"/>
    <x v="0"/>
    <s v="GREEN SPOON SALES"/>
    <s v="7 10 JUNE RESET CLEANUP DISTRO"/>
    <m/>
    <s v="CENTER"/>
    <s v="84"/>
    <s v="EWELINA WISZOWATA"/>
    <s v="214030"/>
    <s v="DIVA FAM INC"/>
    <s v="270"/>
    <s v="Christine Casey"/>
    <s v="1902607905"/>
    <s v="D"/>
    <s v="DRY"/>
    <s v="false"/>
    <s v="false"/>
    <s v="false"/>
    <s v="21"/>
    <s v="5/9/2026"/>
    <s v="false"/>
    <s v="3"/>
    <s v="3"/>
    <m/>
    <s v="CURR_UNIT_STKOUT"/>
    <s v="12345"/>
    <s v="1"/>
    <s v="DAY"/>
    <s v="360"/>
    <s v="206"/>
    <x v="0"/>
  </r>
  <r>
    <x v="0"/>
    <x v="0"/>
    <s v="593804"/>
    <x v="0"/>
    <x v="0"/>
    <s v="33850077732485"/>
    <x v="2"/>
    <x v="0"/>
    <x v="2"/>
    <s v="T"/>
    <s v=""/>
    <s v="FO"/>
    <s v="16"/>
    <s v="6"/>
    <s v="FUTURE EVENT - PO REQUIRED BY 8/4/2026"/>
    <s v="GREEN"/>
    <s v="0"/>
    <s v="0"/>
    <s v="0"/>
    <n v="4413.24"/>
    <n v="276"/>
    <s v="0"/>
    <s v="1"/>
    <s v="0"/>
    <s v="1"/>
    <x v="10"/>
    <s v="7/13/2026"/>
    <s v="7/20/2026"/>
    <m/>
    <s v="7/13/2026"/>
    <s v="Collect"/>
    <s v="306"/>
    <s v="540"/>
    <s v="39"/>
    <s v="7/9/2026"/>
    <x v="0"/>
    <x v="0"/>
    <s v="8/4/2026"/>
    <s v="Y"/>
    <s v="KeHE\LMRamirez"/>
    <x v="0"/>
    <s v="GREEN SPOON SALES"/>
    <s v="8 26 VITAHBA SEPTEMBER AD"/>
    <m/>
    <s v="CENTER"/>
    <s v="84"/>
    <s v="EWELINA WISZOWATA"/>
    <s v="214030"/>
    <s v="DIVA FAM INC"/>
    <s v="270"/>
    <s v="Christine Casey"/>
    <s v="3302607905"/>
    <s v="D"/>
    <s v="DRY"/>
    <s v="false"/>
    <s v="false"/>
    <s v="false"/>
    <s v="17"/>
    <s v="5/9/2026"/>
    <s v="false"/>
    <s v="6"/>
    <s v="5"/>
    <m/>
    <s v="CURR_UNIT_STKOUT"/>
    <s v="12345"/>
    <s v="1"/>
    <s v="DAY"/>
    <s v="0"/>
    <s v="0"/>
    <x v="0"/>
  </r>
  <r>
    <x v="7"/>
    <x v="0"/>
    <s v="593804"/>
    <x v="0"/>
    <x v="0"/>
    <s v="14888025186387"/>
    <x v="0"/>
    <x v="0"/>
    <x v="0"/>
    <s v="N"/>
    <s v=""/>
    <s v="FO"/>
    <s v="16"/>
    <s v="6"/>
    <s v="FUTURE EVENT - PO REQUIRED BY 7/31/2026"/>
    <s v="GREEN"/>
    <s v="0"/>
    <s v="0"/>
    <s v="0"/>
    <n v="5084.82"/>
    <n v="318"/>
    <s v="0"/>
    <s v="1"/>
    <s v="0"/>
    <s v="1"/>
    <x v="11"/>
    <s v="7/30/2026"/>
    <s v="7/30/2026"/>
    <m/>
    <m/>
    <s v="Collect"/>
    <s v="1308"/>
    <s v="360"/>
    <s v="39"/>
    <s v="7/9/2026"/>
    <x v="0"/>
    <x v="0"/>
    <s v="7/31/2026"/>
    <s v="Y"/>
    <s v="KeHE\LMRamirez"/>
    <x v="0"/>
    <s v="GREEN SPOON SALES"/>
    <s v="8 26 VITAHBA SEPTEMBER AD"/>
    <m/>
    <s v="CENTER"/>
    <s v="84"/>
    <s v="EWELINA WISZOWATA"/>
    <s v="214030"/>
    <s v="DIVA FAM INC"/>
    <s v="270"/>
    <s v="Christine Casey"/>
    <s v="1402518638"/>
    <s v="D"/>
    <s v="DRY"/>
    <s v="false"/>
    <s v="false"/>
    <s v="false"/>
    <s v="21"/>
    <s v="12/11/2025"/>
    <s v="false"/>
    <s v="7"/>
    <s v="7"/>
    <m/>
    <s v="CURR_UNIT_STKOUT"/>
    <s v="12345"/>
    <s v="1"/>
    <s v="DAY"/>
    <s v="0"/>
    <s v="0"/>
    <x v="1"/>
  </r>
  <r>
    <x v="7"/>
    <x v="0"/>
    <s v="593804"/>
    <x v="0"/>
    <x v="0"/>
    <s v="14850077732485"/>
    <x v="2"/>
    <x v="0"/>
    <x v="2"/>
    <s v="N"/>
    <s v=""/>
    <s v="FO"/>
    <s v="16"/>
    <s v="6"/>
    <s v="FUTURE EVENT - PO REQUIRED BY 7/31/2026"/>
    <s v="GREEN"/>
    <s v="0"/>
    <s v="0"/>
    <s v="0"/>
    <n v="7291.44"/>
    <n v="456"/>
    <s v="0"/>
    <s v="1"/>
    <s v="0"/>
    <s v="1"/>
    <x v="11"/>
    <s v="7/30/2026"/>
    <s v="7/30/2026"/>
    <m/>
    <m/>
    <s v="Collect"/>
    <s v="1068"/>
    <s v="180"/>
    <s v="39"/>
    <s v="7/9/2026"/>
    <x v="0"/>
    <x v="0"/>
    <s v="7/31/2026"/>
    <s v="Y"/>
    <s v="KeHE\LMRamirez"/>
    <x v="0"/>
    <s v="GREEN SPOON SALES"/>
    <s v="8 26 VITAHBA SEPTEMBER AD"/>
    <m/>
    <s v="CENTER"/>
    <s v="84"/>
    <s v="EWELINA WISZOWATA"/>
    <s v="214030"/>
    <s v="DIVA FAM INC"/>
    <s v="270"/>
    <s v="Christine Casey"/>
    <s v="1402607905"/>
    <s v="D"/>
    <s v="DRY"/>
    <s v="false"/>
    <s v="false"/>
    <s v="false"/>
    <s v="21"/>
    <s v="5/9/2026"/>
    <s v="false"/>
    <s v="7"/>
    <s v="7"/>
    <m/>
    <s v="CURR_UNIT_STKOUT"/>
    <s v="12345"/>
    <s v="1"/>
    <s v="DAY"/>
    <s v="0"/>
    <s v="0"/>
    <x v="1"/>
  </r>
  <r>
    <x v="3"/>
    <x v="0"/>
    <s v="593804"/>
    <x v="0"/>
    <x v="0"/>
    <s v="19888025187780"/>
    <x v="1"/>
    <x v="0"/>
    <x v="1"/>
    <s v="N"/>
    <s v=""/>
    <s v="FO"/>
    <s v="16"/>
    <s v="6"/>
    <s v="FUTURE EVENT - PO REQUIRED BY 7/31/2026"/>
    <s v="GREEN"/>
    <s v="0"/>
    <s v="0"/>
    <s v="0"/>
    <n v="4988.88"/>
    <n v="312"/>
    <s v="0"/>
    <s v="1"/>
    <s v="0"/>
    <s v="1"/>
    <x v="3"/>
    <s v="7/22/2026"/>
    <s v="7/22/2026"/>
    <m/>
    <m/>
    <s v="Collect"/>
    <s v="1428"/>
    <s v="720"/>
    <s v="39"/>
    <s v="7/9/2026"/>
    <x v="0"/>
    <x v="0"/>
    <s v="7/31/2026"/>
    <s v="Y"/>
    <s v="KeHE\LMRamirez"/>
    <x v="0"/>
    <s v="GREEN SPOON SALES"/>
    <s v="8 26 VITAHBA SEPTEMBER AD"/>
    <m/>
    <s v="CENTER"/>
    <s v="84"/>
    <s v="EWELINA WISZOWATA"/>
    <s v="214030"/>
    <s v="DIVA FAM INC"/>
    <s v="270"/>
    <s v="Christine Casey"/>
    <s v="1902518778"/>
    <s v="D"/>
    <s v="DRY"/>
    <s v="false"/>
    <s v="false"/>
    <s v="false"/>
    <s v="21"/>
    <s v="12/11/2025"/>
    <s v="false"/>
    <s v="3"/>
    <s v="3"/>
    <m/>
    <s v="CURR_UNIT_STKOUT"/>
    <s v="12345"/>
    <s v="1"/>
    <s v="DAY"/>
    <s v="0"/>
    <s v="0"/>
    <x v="1"/>
  </r>
  <r>
    <x v="6"/>
    <x v="0"/>
    <s v="593804"/>
    <x v="0"/>
    <x v="0"/>
    <s v="31888025186387"/>
    <x v="0"/>
    <x v="0"/>
    <x v="0"/>
    <s v="N"/>
    <s v=""/>
    <s v="FO"/>
    <s v="16"/>
    <s v="6"/>
    <s v="FUTURE EVENT - PO REQUIRED BY 7/30/2026"/>
    <s v="GREEN"/>
    <s v="0"/>
    <s v="0"/>
    <s v="0"/>
    <n v="4605.12"/>
    <n v="288"/>
    <s v="0"/>
    <s v="1"/>
    <s v="0"/>
    <s v="1"/>
    <x v="12"/>
    <s v="7/24/2026"/>
    <s v="7/24/2026"/>
    <m/>
    <m/>
    <s v="Collect"/>
    <s v="420"/>
    <s v="1800"/>
    <s v="39"/>
    <s v="7/9/2026"/>
    <x v="0"/>
    <x v="0"/>
    <s v="7/30/2026"/>
    <s v="Y"/>
    <s v="KeHE\LMRamirez"/>
    <x v="0"/>
    <s v="GREEN SPOON SALES"/>
    <s v="8 26 VITAHBA SEPTEMBER AD"/>
    <m/>
    <s v="CENTER"/>
    <s v="44"/>
    <s v="BRYAN BURKLIN"/>
    <s v="214030"/>
    <s v="DIVA FAM INC"/>
    <s v="270"/>
    <s v="Christine Casey"/>
    <s v="3102518638"/>
    <s v="D"/>
    <s v="DRY"/>
    <s v="false"/>
    <s v="false"/>
    <s v="false"/>
    <s v="22"/>
    <s v="12/11/2025"/>
    <s v="false"/>
    <s v="6"/>
    <s v="6"/>
    <m/>
    <s v="CURR_UNIT_STKOUT"/>
    <s v="12345"/>
    <s v="1"/>
    <s v="DAY"/>
    <s v="0"/>
    <s v="0"/>
    <x v="1"/>
  </r>
  <r>
    <x v="6"/>
    <x v="0"/>
    <s v="593804"/>
    <x v="0"/>
    <x v="0"/>
    <s v="31888025187780"/>
    <x v="1"/>
    <x v="0"/>
    <x v="1"/>
    <s v="T"/>
    <s v=""/>
    <s v="FO"/>
    <s v="16"/>
    <s v="6"/>
    <s v="FUTURE EVENT - PO REQUIRED BY 7/30/2026"/>
    <s v="GREEN"/>
    <s v="0"/>
    <s v="0"/>
    <s v="0"/>
    <n v="3837.6"/>
    <n v="240"/>
    <s v="0"/>
    <s v="1"/>
    <s v="0"/>
    <s v="1"/>
    <x v="12"/>
    <s v="7/24/2026"/>
    <s v="7/24/2026"/>
    <m/>
    <m/>
    <s v="Collect"/>
    <s v="600"/>
    <s v="1980"/>
    <s v="39"/>
    <s v="7/9/2026"/>
    <x v="0"/>
    <x v="0"/>
    <s v="7/30/2026"/>
    <s v="Y"/>
    <s v="KeHE\LMRamirez"/>
    <x v="0"/>
    <s v="GREEN SPOON SALES"/>
    <s v="8 26 VITAHBA SEPTEMBER AD"/>
    <m/>
    <s v="CENTER"/>
    <s v="44"/>
    <s v="BRYAN BURKLIN"/>
    <s v="214030"/>
    <s v="DIVA FAM INC"/>
    <s v="270"/>
    <s v="Christine Casey"/>
    <s v="3102518778"/>
    <s v="D"/>
    <s v="DRY"/>
    <s v="false"/>
    <s v="false"/>
    <s v="false"/>
    <s v="22"/>
    <s v="12/11/2025"/>
    <s v="false"/>
    <s v="6"/>
    <s v="6"/>
    <m/>
    <s v="CURR_UNIT_STKOUT"/>
    <s v="12345"/>
    <s v="1"/>
    <s v="DAY"/>
    <s v="0"/>
    <s v="0"/>
    <x v="0"/>
  </r>
  <r>
    <x v="0"/>
    <x v="0"/>
    <s v="593804"/>
    <x v="0"/>
    <x v="0"/>
    <s v="33850077732256"/>
    <x v="3"/>
    <x v="0"/>
    <x v="3"/>
    <s v="T"/>
    <s v=""/>
    <s v="FO"/>
    <s v="12"/>
    <s v="12"/>
    <s v="FUTURE EVENT - PO REQUIRED BY 8/4/2026"/>
    <s v="GREEN"/>
    <s v="0"/>
    <s v="0"/>
    <s v="0"/>
    <n v="1184.04"/>
    <n v="396"/>
    <s v="0"/>
    <s v="1"/>
    <s v="0"/>
    <s v="1"/>
    <x v="10"/>
    <s v="7/13/2026"/>
    <s v="7/20/2026"/>
    <m/>
    <s v="7/13/2026"/>
    <s v="Collect"/>
    <s v="1896"/>
    <s v="204"/>
    <s v="39"/>
    <s v="7/9/2026"/>
    <x v="0"/>
    <x v="0"/>
    <s v="8/4/2026"/>
    <s v="Y"/>
    <s v="KeHE\LMRamirez"/>
    <x v="0"/>
    <s v="GREEN SPOON SALES"/>
    <s v="8 26 VITAHBA SEPTEMBER AD"/>
    <m/>
    <s v="CENTER"/>
    <s v="84"/>
    <s v="EWELINA WISZOWATA"/>
    <s v="214030"/>
    <s v="DIVA FAM INC"/>
    <s v="540"/>
    <s v="Christine Casey"/>
    <s v="3302519175"/>
    <s v="D"/>
    <s v="DRY"/>
    <s v="false"/>
    <s v="false"/>
    <s v="false"/>
    <s v="17"/>
    <s v="1/13/2026"/>
    <s v="false"/>
    <s v="6"/>
    <s v="5"/>
    <m/>
    <s v="CURR_UNIT_STKOUT"/>
    <s v="12345"/>
    <s v="1"/>
    <s v="DAY"/>
    <s v="0"/>
    <s v="0"/>
    <x v="0"/>
  </r>
  <r>
    <x v="0"/>
    <x v="0"/>
    <s v="593804"/>
    <x v="0"/>
    <x v="0"/>
    <s v="33850077732249"/>
    <x v="4"/>
    <x v="0"/>
    <x v="4"/>
    <s v="N"/>
    <s v=""/>
    <s v="FO"/>
    <s v="12"/>
    <s v="12"/>
    <s v="FUTURE EVENT - PO REQUIRED BY 8/4/2026"/>
    <s v="GREEN"/>
    <s v="0"/>
    <s v="0"/>
    <s v="0"/>
    <n v="968.76"/>
    <n v="324"/>
    <s v="0"/>
    <s v="1"/>
    <s v="0"/>
    <s v="1"/>
    <x v="13"/>
    <s v="7/27/2026"/>
    <s v="7/27/2026"/>
    <m/>
    <m/>
    <s v="Collect"/>
    <s v="1572"/>
    <s v="204"/>
    <s v="39"/>
    <s v="7/9/2026"/>
    <x v="0"/>
    <x v="0"/>
    <s v="8/4/2026"/>
    <s v="Y"/>
    <s v="KeHE\LMRamirez"/>
    <x v="0"/>
    <s v="GREEN SPOON SALES"/>
    <s v="8 26 VITAHBA SEPTEMBER AD"/>
    <m/>
    <s v="CENTER"/>
    <s v="84"/>
    <s v="EWELINA WISZOWATA"/>
    <s v="214030"/>
    <s v="DIVA FAM INC"/>
    <s v="540"/>
    <s v="Christine Casey"/>
    <s v="3302600122"/>
    <s v="D"/>
    <s v="DRY"/>
    <s v="false"/>
    <s v="false"/>
    <s v="false"/>
    <s v="17"/>
    <s v="1/13/2026"/>
    <s v="false"/>
    <s v="6"/>
    <s v="5"/>
    <m/>
    <s v="CURR_UNIT_STKOUT"/>
    <s v="12345"/>
    <s v="1"/>
    <s v="DAY"/>
    <s v="0"/>
    <s v="0"/>
    <x v="1"/>
  </r>
  <r>
    <x v="3"/>
    <x v="0"/>
    <s v="593804"/>
    <x v="0"/>
    <x v="0"/>
    <s v="19850077732256"/>
    <x v="3"/>
    <x v="0"/>
    <x v="3"/>
    <s v="N"/>
    <s v=""/>
    <s v="FO"/>
    <s v="12"/>
    <s v="12"/>
    <s v="FUTURE EVENT - PO REQUIRED BY 7/31/2026"/>
    <s v="GREEN"/>
    <s v="0"/>
    <s v="0"/>
    <s v="0"/>
    <n v="1865.76"/>
    <n v="624"/>
    <s v="0"/>
    <s v="1"/>
    <s v="0"/>
    <s v="1"/>
    <x v="3"/>
    <s v="7/22/2026"/>
    <s v="7/22/2026"/>
    <m/>
    <m/>
    <s v="Collect"/>
    <s v="3480"/>
    <s v="816"/>
    <s v="39"/>
    <s v="7/9/2026"/>
    <x v="0"/>
    <x v="0"/>
    <s v="7/31/2026"/>
    <s v="Y"/>
    <s v="KeHE\LMRamirez"/>
    <x v="0"/>
    <s v="GREEN SPOON SALES"/>
    <s v="8 26 VITAHBA SEPTEMBER AD"/>
    <m/>
    <s v="CENTER"/>
    <s v="84"/>
    <s v="EWELINA WISZOWATA"/>
    <s v="214030"/>
    <s v="DIVA FAM INC"/>
    <s v="540"/>
    <s v="Christine Casey"/>
    <s v="1902519175"/>
    <s v="D"/>
    <s v="DRY"/>
    <s v="false"/>
    <s v="false"/>
    <s v="false"/>
    <s v="21"/>
    <s v="1/13/2026"/>
    <s v="false"/>
    <s v="3"/>
    <s v="3"/>
    <m/>
    <s v="CURR_UNIT_STKOUT"/>
    <s v="12345"/>
    <s v="1"/>
    <s v="DAY"/>
    <s v="0"/>
    <s v="0"/>
    <x v="1"/>
  </r>
  <r>
    <x v="3"/>
    <x v="0"/>
    <s v="593804"/>
    <x v="0"/>
    <x v="0"/>
    <s v="19850077732249"/>
    <x v="4"/>
    <x v="0"/>
    <x v="4"/>
    <s v="N"/>
    <s v=""/>
    <s v="FO"/>
    <s v="12"/>
    <s v="12"/>
    <s v="FUTURE EVENT - PO REQUIRED BY 7/31/2026"/>
    <s v="GREEN"/>
    <s v="0"/>
    <s v="0"/>
    <s v="0"/>
    <n v="1722.24"/>
    <n v="576"/>
    <s v="0"/>
    <s v="1"/>
    <s v="0"/>
    <s v="1"/>
    <x v="3"/>
    <s v="7/22/2026"/>
    <s v="7/22/2026"/>
    <m/>
    <m/>
    <s v="Collect"/>
    <s v="3036"/>
    <s v="204"/>
    <s v="39"/>
    <s v="7/9/2026"/>
    <x v="0"/>
    <x v="0"/>
    <s v="7/31/2026"/>
    <s v="Y"/>
    <s v="KeHE\LMRamirez"/>
    <x v="0"/>
    <s v="GREEN SPOON SALES"/>
    <s v="8 26 VITAHBA SEPTEMBER AD"/>
    <m/>
    <s v="CENTER"/>
    <s v="84"/>
    <s v="EWELINA WISZOWATA"/>
    <s v="214030"/>
    <s v="DIVA FAM INC"/>
    <s v="540"/>
    <s v="Christine Casey"/>
    <s v="1902600122"/>
    <s v="D"/>
    <s v="DRY"/>
    <s v="false"/>
    <s v="false"/>
    <s v="false"/>
    <s v="21"/>
    <s v="1/13/2026"/>
    <s v="false"/>
    <s v="3"/>
    <s v="3"/>
    <m/>
    <s v="CURR_UNIT_STKOUT"/>
    <s v="12345"/>
    <s v="1"/>
    <s v="DAY"/>
    <s v="0"/>
    <s v="0"/>
    <x v="1"/>
  </r>
  <r>
    <x v="3"/>
    <x v="0"/>
    <s v="593804"/>
    <x v="0"/>
    <x v="0"/>
    <s v="19850077732096"/>
    <x v="5"/>
    <x v="0"/>
    <x v="5"/>
    <s v="T"/>
    <s v=""/>
    <s v="FO"/>
    <s v="12"/>
    <s v="12"/>
    <s v="FUTURE EVENT - PO REQUIRED BY 7/31/2026"/>
    <s v="GREEN"/>
    <s v="0"/>
    <s v="0"/>
    <s v="0"/>
    <n v="1722.24"/>
    <n v="576"/>
    <s v="0"/>
    <s v="1"/>
    <s v="0"/>
    <s v="1"/>
    <x v="2"/>
    <s v="7/20/2026"/>
    <s v="7/20/2026"/>
    <m/>
    <m/>
    <s v="Collect"/>
    <s v="4860"/>
    <s v="1020"/>
    <s v="39"/>
    <s v="7/9/2026"/>
    <x v="0"/>
    <x v="0"/>
    <s v="7/31/2026"/>
    <s v="Y"/>
    <s v="KeHE\LMRamirez"/>
    <x v="0"/>
    <s v="GREEN SPOON SALES"/>
    <s v="8 26 VITAHBA SEPTEMBER AD"/>
    <m/>
    <s v="CENTER"/>
    <s v="84"/>
    <s v="EWELINA WISZOWATA"/>
    <s v="214030"/>
    <s v="DIVA FAM INC"/>
    <s v="540"/>
    <s v="Christine Casey"/>
    <s v="1902600123"/>
    <s v="D"/>
    <s v="DRY"/>
    <s v="false"/>
    <s v="false"/>
    <s v="false"/>
    <s v="21"/>
    <s v="1/13/2026"/>
    <s v="false"/>
    <s v="3"/>
    <s v="3"/>
    <m/>
    <s v="CURR_UNIT_STKOUT"/>
    <s v="12345"/>
    <s v="1"/>
    <s v="DAY"/>
    <s v="0"/>
    <s v="0"/>
    <x v="0"/>
  </r>
  <r>
    <x v="4"/>
    <x v="0"/>
    <s v="593804"/>
    <x v="0"/>
    <x v="0"/>
    <s v="55850077732249"/>
    <x v="4"/>
    <x v="0"/>
    <x v="4"/>
    <s v="N"/>
    <s v=""/>
    <s v="FO"/>
    <s v="12"/>
    <s v="12"/>
    <s v="FUTURE EVENT - PO REQUIRED BY 7/31/2026"/>
    <s v="GREEN"/>
    <s v="0"/>
    <s v="0"/>
    <s v="0"/>
    <n v="897"/>
    <n v="300"/>
    <s v="0"/>
    <s v="1"/>
    <s v="0"/>
    <s v="1"/>
    <x v="5"/>
    <s v="7/20/2026"/>
    <s v="7/20/2026"/>
    <m/>
    <m/>
    <s v="Collect"/>
    <s v="960"/>
    <s v="1428"/>
    <s v="39"/>
    <s v="7/9/2026"/>
    <x v="0"/>
    <x v="0"/>
    <s v="7/31/2026"/>
    <s v="Y"/>
    <s v="KeHE\LMRamirez"/>
    <x v="0"/>
    <s v="GREEN SPOON SALES"/>
    <s v="8 26 VITAHBA SEPTEMBER AD"/>
    <m/>
    <s v="CENTER"/>
    <s v="44"/>
    <s v="BRYAN BURKLIN"/>
    <s v="214030"/>
    <s v="DIVA FAM INC"/>
    <s v="540"/>
    <s v="Christine Casey"/>
    <s v="5502600122"/>
    <s v="D"/>
    <s v="DRY"/>
    <s v="false"/>
    <s v="false"/>
    <s v="false"/>
    <s v="21"/>
    <s v="1/13/2026"/>
    <s v="false"/>
    <s v="4"/>
    <s v="4"/>
    <m/>
    <s v="CURR_UNIT_STKOUT"/>
    <s v="12345"/>
    <s v="1"/>
    <s v="DAY"/>
    <s v="0"/>
    <s v="0"/>
    <x v="1"/>
  </r>
  <r>
    <x v="4"/>
    <x v="0"/>
    <s v="593804"/>
    <x v="0"/>
    <x v="0"/>
    <s v="55850077732096"/>
    <x v="5"/>
    <x v="0"/>
    <x v="5"/>
    <s v="N"/>
    <s v=""/>
    <s v="FO"/>
    <s v="12"/>
    <s v="12"/>
    <s v="FUTURE EVENT - PO REQUIRED BY 7/31/2026"/>
    <s v="GREEN"/>
    <s v="0"/>
    <s v="0"/>
    <s v="0"/>
    <n v="897"/>
    <n v="300"/>
    <s v="0"/>
    <s v="1"/>
    <s v="0"/>
    <s v="1"/>
    <x v="5"/>
    <s v="7/20/2026"/>
    <s v="7/20/2026"/>
    <m/>
    <m/>
    <s v="Collect"/>
    <s v="1032"/>
    <s v="1428"/>
    <s v="39"/>
    <s v="7/9/2026"/>
    <x v="0"/>
    <x v="0"/>
    <s v="7/31/2026"/>
    <s v="Y"/>
    <s v="KeHE\LMRamirez"/>
    <x v="0"/>
    <s v="GREEN SPOON SALES"/>
    <s v="8 26 VITAHBA SEPTEMBER AD"/>
    <m/>
    <s v="CENTER"/>
    <s v="44"/>
    <s v="BRYAN BURKLIN"/>
    <s v="214030"/>
    <s v="DIVA FAM INC"/>
    <s v="540"/>
    <s v="Christine Casey"/>
    <s v="5502600123"/>
    <s v="D"/>
    <s v="DRY"/>
    <s v="false"/>
    <s v="false"/>
    <s v="false"/>
    <s v="21"/>
    <s v="1/13/2026"/>
    <s v="false"/>
    <s v="4"/>
    <s v="4"/>
    <m/>
    <s v="CURR_UNIT_STKOUT"/>
    <s v="12345"/>
    <s v="1"/>
    <s v="DAY"/>
    <s v="0"/>
    <s v="0"/>
    <x v="1"/>
  </r>
  <r>
    <x v="5"/>
    <x v="0"/>
    <s v="593804"/>
    <x v="0"/>
    <x v="0"/>
    <s v="27850077732096"/>
    <x v="5"/>
    <x v="0"/>
    <x v="5"/>
    <s v="T"/>
    <s v=""/>
    <s v="FO"/>
    <s v="12"/>
    <s v="12"/>
    <s v="FUTURE EVENT - PO REQUIRED BY 7/30/2026"/>
    <s v="GREEN"/>
    <s v="0"/>
    <s v="0"/>
    <s v="0"/>
    <n v="574.08000000000004"/>
    <n v="192"/>
    <s v="0"/>
    <s v="1"/>
    <s v="0"/>
    <s v="1"/>
    <x v="7"/>
    <s v="7/21/2026"/>
    <s v="7/14/2026"/>
    <m/>
    <s v="7/12/2026"/>
    <s v="Collect"/>
    <s v="1776"/>
    <s v="816"/>
    <s v="39"/>
    <s v="7/9/2026"/>
    <x v="0"/>
    <x v="0"/>
    <s v="7/30/2026"/>
    <s v="Y"/>
    <s v="KeHE\LMRamirez"/>
    <x v="0"/>
    <s v="GREEN SPOON SALES"/>
    <s v="8 26 VITAHBA SEPTEMBER AD"/>
    <m/>
    <s v="CENTER"/>
    <s v="44"/>
    <s v="BRYAN BURKLIN"/>
    <s v="214030"/>
    <s v="DIVA FAM INC"/>
    <s v="540"/>
    <s v="Christine Casey"/>
    <s v="2702600123"/>
    <s v="D"/>
    <s v="DRY"/>
    <s v="false"/>
    <s v="false"/>
    <s v="false"/>
    <s v="22"/>
    <s v="1/13/2026"/>
    <s v="false"/>
    <s v="3"/>
    <s v="3"/>
    <m/>
    <s v="CURR_UNIT_STKOUT"/>
    <s v="12345"/>
    <s v="1"/>
    <s v="DAY"/>
    <s v="0"/>
    <s v="0"/>
    <x v="0"/>
  </r>
  <r>
    <x v="6"/>
    <x v="0"/>
    <s v="593804"/>
    <x v="0"/>
    <x v="0"/>
    <s v="31850077732256"/>
    <x v="3"/>
    <x v="0"/>
    <x v="3"/>
    <s v="N"/>
    <s v=""/>
    <s v="FO"/>
    <s v="12"/>
    <s v="12"/>
    <s v="FUTURE EVENT - PO REQUIRED BY 7/30/2026"/>
    <s v="GREEN"/>
    <s v="0"/>
    <s v="0"/>
    <s v="0"/>
    <n v="1435.2"/>
    <n v="480"/>
    <s v="0"/>
    <s v="1"/>
    <s v="0"/>
    <s v="1"/>
    <x v="12"/>
    <s v="7/24/2026"/>
    <s v="7/24/2026"/>
    <m/>
    <m/>
    <s v="Collect"/>
    <s v="1620"/>
    <s v="1632"/>
    <s v="39"/>
    <s v="7/9/2026"/>
    <x v="0"/>
    <x v="0"/>
    <s v="7/30/2026"/>
    <s v="Y"/>
    <s v="KeHE\LMRamirez"/>
    <x v="0"/>
    <s v="GREEN SPOON SALES"/>
    <s v="8 26 VITAHBA SEPTEMBER AD"/>
    <m/>
    <s v="CENTER"/>
    <s v="44"/>
    <s v="BRYAN BURKLIN"/>
    <s v="214030"/>
    <s v="DIVA FAM INC"/>
    <s v="540"/>
    <s v="Christine Casey"/>
    <s v="3102519175"/>
    <s v="D"/>
    <s v="DRY"/>
    <s v="false"/>
    <s v="false"/>
    <s v="false"/>
    <s v="22"/>
    <s v="1/13/2026"/>
    <s v="false"/>
    <s v="6"/>
    <s v="6"/>
    <m/>
    <s v="CURR_UNIT_STKOUT"/>
    <s v="12345"/>
    <s v="1"/>
    <s v="DAY"/>
    <s v="0"/>
    <s v="0"/>
    <x v="1"/>
  </r>
  <r>
    <x v="6"/>
    <x v="0"/>
    <s v="593804"/>
    <x v="0"/>
    <x v="0"/>
    <s v="31850077732249"/>
    <x v="4"/>
    <x v="0"/>
    <x v="4"/>
    <s v="N"/>
    <s v=""/>
    <s v="FO"/>
    <s v="12"/>
    <s v="12"/>
    <s v="FUTURE EVENT - PO REQUIRED BY 7/30/2026"/>
    <s v="GREEN"/>
    <s v="0"/>
    <s v="0"/>
    <s v="0"/>
    <n v="1148.1600000000001"/>
    <n v="384"/>
    <s v="0"/>
    <s v="1"/>
    <s v="0"/>
    <s v="1"/>
    <x v="12"/>
    <s v="7/24/2026"/>
    <s v="7/24/2026"/>
    <m/>
    <m/>
    <s v="Collect"/>
    <s v="2184"/>
    <s v="408"/>
    <s v="39"/>
    <s v="7/9/2026"/>
    <x v="0"/>
    <x v="0"/>
    <s v="7/30/2026"/>
    <s v="Y"/>
    <s v="KeHE\LMRamirez"/>
    <x v="0"/>
    <s v="GREEN SPOON SALES"/>
    <s v="8 26 VITAHBA SEPTEMBER AD"/>
    <m/>
    <s v="CENTER"/>
    <s v="44"/>
    <s v="BRYAN BURKLIN"/>
    <s v="214030"/>
    <s v="DIVA FAM INC"/>
    <s v="540"/>
    <s v="Christine Casey"/>
    <s v="3102600122"/>
    <s v="D"/>
    <s v="DRY"/>
    <s v="false"/>
    <s v="false"/>
    <s v="false"/>
    <s v="22"/>
    <s v="1/13/2026"/>
    <s v="false"/>
    <s v="6"/>
    <s v="6"/>
    <m/>
    <s v="CURR_UNIT_STKOUT"/>
    <s v="12345"/>
    <s v="1"/>
    <s v="DAY"/>
    <s v="0"/>
    <s v="0"/>
    <x v="1"/>
  </r>
  <r>
    <x v="6"/>
    <x v="0"/>
    <s v="593804"/>
    <x v="0"/>
    <x v="0"/>
    <s v="31850077732096"/>
    <x v="5"/>
    <x v="0"/>
    <x v="5"/>
    <s v="N"/>
    <s v=""/>
    <s v="FO"/>
    <s v="12"/>
    <s v="12"/>
    <s v="FUTURE EVENT - PO REQUIRED BY 7/30/2026"/>
    <s v="GREEN"/>
    <s v="0"/>
    <s v="0"/>
    <s v="0"/>
    <n v="1148.1600000000001"/>
    <n v="384"/>
    <s v="0"/>
    <s v="1"/>
    <s v="0"/>
    <s v="1"/>
    <x v="12"/>
    <s v="7/24/2026"/>
    <s v="7/24/2026"/>
    <m/>
    <m/>
    <s v="Collect"/>
    <s v="3120"/>
    <s v="816"/>
    <s v="39"/>
    <s v="7/9/2026"/>
    <x v="0"/>
    <x v="0"/>
    <s v="7/30/2026"/>
    <s v="Y"/>
    <s v="KeHE\LMRamirez"/>
    <x v="0"/>
    <s v="GREEN SPOON SALES"/>
    <s v="8 26 VITAHBA SEPTEMBER AD"/>
    <m/>
    <s v="CENTER"/>
    <s v="44"/>
    <s v="BRYAN BURKLIN"/>
    <s v="214030"/>
    <s v="DIVA FAM INC"/>
    <s v="540"/>
    <s v="Christine Casey"/>
    <s v="3102600123"/>
    <s v="D"/>
    <s v="DRY"/>
    <s v="false"/>
    <s v="false"/>
    <s v="false"/>
    <s v="22"/>
    <s v="1/13/2026"/>
    <s v="false"/>
    <s v="6"/>
    <s v="6"/>
    <m/>
    <s v="CURR_UNIT_STKOUT"/>
    <s v="12345"/>
    <s v="1"/>
    <s v="DAY"/>
    <s v="0"/>
    <s v="0"/>
    <x v="1"/>
  </r>
  <r>
    <x v="1"/>
    <x v="0"/>
    <s v="593804"/>
    <x v="0"/>
    <x v="0"/>
    <s v="41850077732256"/>
    <x v="3"/>
    <x v="0"/>
    <x v="3"/>
    <s v="N"/>
    <s v=""/>
    <s v="FO"/>
    <s v="12"/>
    <s v="12"/>
    <s v="FUTURE EVENT - PO REQUIRED BY 8/2/2026"/>
    <s v="GREEN"/>
    <s v="0"/>
    <s v="0"/>
    <s v="0"/>
    <n v="2691"/>
    <n v="900"/>
    <s v="0"/>
    <s v="1"/>
    <s v="0"/>
    <s v="0"/>
    <x v="0"/>
    <m/>
    <m/>
    <m/>
    <m/>
    <m/>
    <s v="3876"/>
    <s v="0"/>
    <s v="39"/>
    <s v="7/9/2026"/>
    <x v="0"/>
    <x v="0"/>
    <s v="8/2/2026"/>
    <s v="Y"/>
    <s v="KeHE\LMRamirez"/>
    <x v="0"/>
    <s v="GREEN SPOON SALES"/>
    <s v="8 26 VITAHBA SEPTEMBER AD"/>
    <m/>
    <s v="CENTER"/>
    <s v="84"/>
    <s v="EWELINA WISZOWATA"/>
    <s v="214030"/>
    <s v="DIVA FAM INC"/>
    <s v="540"/>
    <s v="Christine Casey"/>
    <s v="4102519175"/>
    <s v="D"/>
    <s v="DRY"/>
    <s v="false"/>
    <s v="false"/>
    <s v="false"/>
    <s v="19"/>
    <s v="1/13/2026"/>
    <s v="true"/>
    <s v="0"/>
    <s v="0"/>
    <m/>
    <s v="CURR_UNIT_STKOUT"/>
    <s v="12345"/>
    <s v="1"/>
    <s v="DAY"/>
    <s v="0"/>
    <s v="0"/>
    <x v="1"/>
  </r>
  <r>
    <x v="1"/>
    <x v="0"/>
    <s v="593804"/>
    <x v="0"/>
    <x v="0"/>
    <s v="41850077732249"/>
    <x v="4"/>
    <x v="0"/>
    <x v="4"/>
    <s v="N"/>
    <s v=""/>
    <s v="FO"/>
    <s v="12"/>
    <s v="12"/>
    <s v="FUTURE EVENT - PO REQUIRED BY 8/2/2026"/>
    <s v="GREEN"/>
    <s v="0"/>
    <s v="0"/>
    <s v="0"/>
    <n v="2152.8000000000002"/>
    <n v="720"/>
    <s v="0"/>
    <s v="1"/>
    <s v="0"/>
    <s v="0"/>
    <x v="0"/>
    <m/>
    <m/>
    <m/>
    <m/>
    <m/>
    <s v="3912"/>
    <s v="0"/>
    <s v="39"/>
    <s v="7/9/2026"/>
    <x v="0"/>
    <x v="0"/>
    <s v="8/2/2026"/>
    <s v="Y"/>
    <s v="KeHE\LMRamirez"/>
    <x v="0"/>
    <s v="GREEN SPOON SALES"/>
    <s v="8 26 VITAHBA SEPTEMBER AD"/>
    <m/>
    <s v="CENTER"/>
    <s v="84"/>
    <s v="EWELINA WISZOWATA"/>
    <s v="214030"/>
    <s v="DIVA FAM INC"/>
    <s v="540"/>
    <s v="Christine Casey"/>
    <s v="4102600122"/>
    <s v="D"/>
    <s v="DRY"/>
    <s v="false"/>
    <s v="false"/>
    <s v="false"/>
    <s v="19"/>
    <s v="1/13/2026"/>
    <s v="true"/>
    <s v="0"/>
    <s v="0"/>
    <m/>
    <s v="CURR_UNIT_STKOUT"/>
    <s v="12345"/>
    <s v="1"/>
    <s v="DAY"/>
    <s v="0"/>
    <s v="0"/>
    <x v="1"/>
  </r>
  <r>
    <x v="1"/>
    <x v="0"/>
    <s v="593804"/>
    <x v="0"/>
    <x v="0"/>
    <s v="41850077732096"/>
    <x v="5"/>
    <x v="0"/>
    <x v="5"/>
    <s v="N"/>
    <s v=""/>
    <s v="FO"/>
    <s v="12"/>
    <s v="12"/>
    <s v="FUTURE EVENT - PO REQUIRED BY 8/2/2026"/>
    <s v="GREEN"/>
    <s v="0"/>
    <s v="0"/>
    <s v="0"/>
    <n v="2152.8000000000002"/>
    <n v="720"/>
    <s v="0"/>
    <s v="1"/>
    <s v="0"/>
    <s v="0"/>
    <x v="0"/>
    <m/>
    <m/>
    <m/>
    <m/>
    <m/>
    <s v="4788"/>
    <s v="0"/>
    <s v="39"/>
    <s v="7/9/2026"/>
    <x v="0"/>
    <x v="0"/>
    <s v="8/2/2026"/>
    <s v="Y"/>
    <s v="KeHE\LMRamirez"/>
    <x v="0"/>
    <s v="GREEN SPOON SALES"/>
    <s v="8 26 VITAHBA SEPTEMBER AD"/>
    <m/>
    <s v="CENTER"/>
    <s v="84"/>
    <s v="EWELINA WISZOWATA"/>
    <s v="214030"/>
    <s v="DIVA FAM INC"/>
    <s v="540"/>
    <s v="Christine Casey"/>
    <s v="4102600123"/>
    <s v="D"/>
    <s v="DRY"/>
    <s v="false"/>
    <s v="false"/>
    <s v="false"/>
    <s v="19"/>
    <s v="1/13/2026"/>
    <s v="true"/>
    <s v="0"/>
    <s v="0"/>
    <m/>
    <s v="CURR_UNIT_STKOUT"/>
    <s v="12345"/>
    <s v="1"/>
    <s v="DAY"/>
    <s v="0"/>
    <s v="0"/>
    <x v="1"/>
  </r>
  <r>
    <x v="2"/>
    <x v="0"/>
    <s v="593804"/>
    <x v="0"/>
    <x v="0"/>
    <s v="12888025186387"/>
    <x v="0"/>
    <x v="0"/>
    <x v="0"/>
    <s v="N"/>
    <s v=""/>
    <s v="FO"/>
    <s v="16"/>
    <s v="6"/>
    <s v="FUTURE EVENT - PO REQUIRED BY 8/1/2026"/>
    <s v="GREEN"/>
    <s v="0"/>
    <s v="0"/>
    <s v="0"/>
    <n v="3837.6"/>
    <n v="240"/>
    <s v="0"/>
    <s v="1"/>
    <s v="0"/>
    <s v="0"/>
    <x v="0"/>
    <m/>
    <m/>
    <m/>
    <m/>
    <m/>
    <s v="1410"/>
    <s v="0"/>
    <s v="39"/>
    <s v="7/9/2026"/>
    <x v="0"/>
    <x v="0"/>
    <s v="8/1/2026"/>
    <s v="Y"/>
    <s v="KeHE\LMRamirez"/>
    <x v="0"/>
    <s v="GREEN SPOON SALES"/>
    <s v="8 26 VITAHBA SEPTEMBER AD"/>
    <m/>
    <s v="CENTER"/>
    <s v="84"/>
    <s v="EWELINA WISZOWATA"/>
    <s v="214030"/>
    <s v="DIVA FAM INC"/>
    <s v="270"/>
    <s v="Christine Casey"/>
    <s v="1202518638"/>
    <s v="D"/>
    <s v="DRY"/>
    <s v="false"/>
    <s v="false"/>
    <s v="false"/>
    <s v="20"/>
    <s v="12/11/2025"/>
    <s v="false"/>
    <s v="6"/>
    <s v="6"/>
    <m/>
    <s v="CURR_UNIT_STKOUT"/>
    <s v="12345"/>
    <s v="1"/>
    <s v="DAY"/>
    <s v="0"/>
    <s v="0"/>
    <x v="1"/>
  </r>
  <r>
    <x v="2"/>
    <x v="0"/>
    <s v="593804"/>
    <x v="0"/>
    <x v="0"/>
    <s v="12888025187780"/>
    <x v="1"/>
    <x v="0"/>
    <x v="1"/>
    <s v="N"/>
    <s v=""/>
    <s v="FO"/>
    <s v="16"/>
    <s v="6"/>
    <s v="FUTURE EVENT - PO REQUIRED BY 8/1/2026"/>
    <s v="GREEN"/>
    <s v="0"/>
    <s v="0"/>
    <s v="0"/>
    <n v="3166.02"/>
    <n v="198"/>
    <s v="0"/>
    <s v="1"/>
    <s v="0"/>
    <s v="0"/>
    <x v="0"/>
    <m/>
    <m/>
    <m/>
    <m/>
    <m/>
    <s v="1524"/>
    <s v="0"/>
    <s v="39"/>
    <s v="7/9/2026"/>
    <x v="0"/>
    <x v="0"/>
    <s v="8/1/2026"/>
    <s v="Y"/>
    <s v="KeHE\LMRamirez"/>
    <x v="0"/>
    <s v="GREEN SPOON SALES"/>
    <s v="8 26 VITAHBA SEPTEMBER AD"/>
    <m/>
    <s v="CENTER"/>
    <s v="84"/>
    <s v="EWELINA WISZOWATA"/>
    <s v="214030"/>
    <s v="DIVA FAM INC"/>
    <s v="270"/>
    <s v="Christine Casey"/>
    <s v="1202518778"/>
    <s v="D"/>
    <s v="DRY"/>
    <s v="false"/>
    <s v="false"/>
    <s v="false"/>
    <s v="20"/>
    <s v="12/11/2025"/>
    <s v="false"/>
    <s v="6"/>
    <s v="6"/>
    <m/>
    <s v="CURR_UNIT_STKOUT"/>
    <s v="12345"/>
    <s v="1"/>
    <s v="DAY"/>
    <s v="0"/>
    <s v="0"/>
    <x v="1"/>
  </r>
  <r>
    <x v="2"/>
    <x v="0"/>
    <s v="593804"/>
    <x v="0"/>
    <x v="0"/>
    <s v="12850077732256"/>
    <x v="3"/>
    <x v="0"/>
    <x v="3"/>
    <s v="N"/>
    <s v=""/>
    <s v="FO"/>
    <s v="12"/>
    <s v="12"/>
    <s v="FUTURE EVENT - PO REQUIRED BY 8/1/2026"/>
    <s v="GREEN"/>
    <s v="0"/>
    <s v="0"/>
    <s v="0"/>
    <n v="1184.04"/>
    <n v="396"/>
    <s v="0"/>
    <s v="1"/>
    <s v="0"/>
    <s v="0"/>
    <x v="0"/>
    <m/>
    <m/>
    <m/>
    <m/>
    <m/>
    <s v="2364"/>
    <s v="0"/>
    <s v="39"/>
    <s v="7/9/2026"/>
    <x v="0"/>
    <x v="0"/>
    <s v="8/1/2026"/>
    <s v="Y"/>
    <s v="KeHE\LMRamirez"/>
    <x v="0"/>
    <s v="GREEN SPOON SALES"/>
    <s v="8 26 VITAHBA SEPTEMBER AD"/>
    <m/>
    <s v="CENTER"/>
    <s v="84"/>
    <s v="EWELINA WISZOWATA"/>
    <s v="214030"/>
    <s v="DIVA FAM INC"/>
    <s v="540"/>
    <s v="Christine Casey"/>
    <s v="1202519175"/>
    <s v="D"/>
    <s v="DRY"/>
    <s v="false"/>
    <s v="false"/>
    <s v="false"/>
    <s v="20"/>
    <s v="1/13/2026"/>
    <s v="false"/>
    <s v="6"/>
    <s v="6"/>
    <m/>
    <s v="CURR_UNIT_STKOUT"/>
    <s v="12345"/>
    <s v="1"/>
    <s v="DAY"/>
    <s v="0"/>
    <s v="0"/>
    <x v="1"/>
  </r>
  <r>
    <x v="2"/>
    <x v="0"/>
    <s v="593804"/>
    <x v="0"/>
    <x v="0"/>
    <s v="12850077732249"/>
    <x v="4"/>
    <x v="0"/>
    <x v="4"/>
    <s v="N"/>
    <s v=""/>
    <s v="FO"/>
    <s v="12"/>
    <s v="12"/>
    <s v="FUTURE EVENT - PO REQUIRED BY 8/1/2026"/>
    <s v="GREEN"/>
    <s v="0"/>
    <s v="0"/>
    <s v="0"/>
    <n v="968.76"/>
    <n v="324"/>
    <s v="0"/>
    <s v="1"/>
    <s v="0"/>
    <s v="0"/>
    <x v="0"/>
    <m/>
    <m/>
    <m/>
    <m/>
    <m/>
    <s v="1728"/>
    <s v="0"/>
    <s v="39"/>
    <s v="7/9/2026"/>
    <x v="0"/>
    <x v="0"/>
    <s v="8/1/2026"/>
    <s v="Y"/>
    <s v="KeHE\LMRamirez"/>
    <x v="0"/>
    <s v="GREEN SPOON SALES"/>
    <s v="8 26 VITAHBA SEPTEMBER AD"/>
    <m/>
    <s v="CENTER"/>
    <s v="84"/>
    <s v="EWELINA WISZOWATA"/>
    <s v="214030"/>
    <s v="DIVA FAM INC"/>
    <s v="540"/>
    <s v="Christine Casey"/>
    <s v="1202600122"/>
    <s v="D"/>
    <s v="DRY"/>
    <s v="false"/>
    <s v="false"/>
    <s v="false"/>
    <s v="20"/>
    <s v="1/13/2026"/>
    <s v="false"/>
    <s v="6"/>
    <s v="6"/>
    <m/>
    <s v="CURR_UNIT_STKOUT"/>
    <s v="12345"/>
    <s v="1"/>
    <s v="DAY"/>
    <s v="0"/>
    <s v="0"/>
    <x v="1"/>
  </r>
  <r>
    <x v="7"/>
    <x v="0"/>
    <s v="593804"/>
    <x v="0"/>
    <x v="0"/>
    <s v="14888025187780"/>
    <x v="1"/>
    <x v="0"/>
    <x v="1"/>
    <s v="N"/>
    <s v=""/>
    <s v="FO"/>
    <s v="16"/>
    <s v="6"/>
    <s v="FUTURE EVENT - PO REQUIRED BY 7/31/2026"/>
    <s v="GREEN"/>
    <s v="0"/>
    <s v="0"/>
    <s v="0"/>
    <n v="4221.3599999999997"/>
    <n v="264"/>
    <s v="0"/>
    <s v="1"/>
    <s v="0"/>
    <s v="0"/>
    <x v="0"/>
    <m/>
    <m/>
    <m/>
    <m/>
    <m/>
    <s v="1476"/>
    <s v="0"/>
    <s v="39"/>
    <s v="7/9/2026"/>
    <x v="0"/>
    <x v="0"/>
    <s v="7/31/2026"/>
    <s v="Y"/>
    <s v="KeHE\LMRamirez"/>
    <x v="0"/>
    <s v="GREEN SPOON SALES"/>
    <s v="8 26 VITAHBA SEPTEMBER AD"/>
    <m/>
    <s v="CENTER"/>
    <s v="84"/>
    <s v="EWELINA WISZOWATA"/>
    <s v="214030"/>
    <s v="DIVA FAM INC"/>
    <s v="270"/>
    <s v="Christine Casey"/>
    <s v="1402518778"/>
    <s v="D"/>
    <s v="DRY"/>
    <s v="false"/>
    <s v="false"/>
    <s v="false"/>
    <s v="21"/>
    <s v="12/11/2025"/>
    <s v="false"/>
    <s v="7"/>
    <s v="7"/>
    <m/>
    <s v="CURR_UNIT_STKOUT"/>
    <s v="12345"/>
    <s v="1"/>
    <s v="DAY"/>
    <s v="0"/>
    <s v="0"/>
    <x v="1"/>
  </r>
  <r>
    <x v="7"/>
    <x v="0"/>
    <s v="593804"/>
    <x v="0"/>
    <x v="0"/>
    <s v="14850077732256"/>
    <x v="3"/>
    <x v="0"/>
    <x v="3"/>
    <s v="N"/>
    <s v=""/>
    <s v="FO"/>
    <s v="12"/>
    <s v="12"/>
    <s v="FUTURE EVENT - PO REQUIRED BY 7/31/2026"/>
    <s v="GREEN"/>
    <s v="0"/>
    <s v="0"/>
    <s v="0"/>
    <n v="1578.72"/>
    <n v="528"/>
    <s v="0"/>
    <s v="1"/>
    <s v="0"/>
    <s v="0"/>
    <x v="0"/>
    <m/>
    <m/>
    <m/>
    <m/>
    <m/>
    <s v="2892"/>
    <s v="0"/>
    <s v="39"/>
    <s v="7/9/2026"/>
    <x v="0"/>
    <x v="0"/>
    <s v="7/31/2026"/>
    <s v="Y"/>
    <s v="KeHE\LMRamirez"/>
    <x v="0"/>
    <s v="GREEN SPOON SALES"/>
    <s v="8 26 VITAHBA SEPTEMBER AD"/>
    <m/>
    <s v="CENTER"/>
    <s v="84"/>
    <s v="EWELINA WISZOWATA"/>
    <s v="214030"/>
    <s v="DIVA FAM INC"/>
    <s v="540"/>
    <s v="Christine Casey"/>
    <s v="1402519175"/>
    <s v="D"/>
    <s v="DRY"/>
    <s v="false"/>
    <s v="false"/>
    <s v="false"/>
    <s v="21"/>
    <s v="1/13/2026"/>
    <s v="false"/>
    <s v="7"/>
    <s v="7"/>
    <m/>
    <s v="CURR_UNIT_STKOUT"/>
    <s v="12345"/>
    <s v="1"/>
    <s v="DAY"/>
    <s v="0"/>
    <s v="0"/>
    <x v="1"/>
  </r>
  <r>
    <x v="7"/>
    <x v="0"/>
    <s v="593804"/>
    <x v="0"/>
    <x v="0"/>
    <s v="14850077732249"/>
    <x v="4"/>
    <x v="0"/>
    <x v="4"/>
    <s v="N"/>
    <s v=""/>
    <s v="FO"/>
    <s v="12"/>
    <s v="12"/>
    <s v="FUTURE EVENT - PO REQUIRED BY 7/31/2026"/>
    <s v="GREEN"/>
    <s v="0"/>
    <s v="0"/>
    <s v="0"/>
    <n v="1363.44"/>
    <n v="456"/>
    <s v="0"/>
    <s v="1"/>
    <s v="0"/>
    <s v="0"/>
    <x v="0"/>
    <m/>
    <m/>
    <m/>
    <m/>
    <m/>
    <s v="2436"/>
    <s v="0"/>
    <s v="39"/>
    <s v="7/9/2026"/>
    <x v="0"/>
    <x v="0"/>
    <s v="7/31/2026"/>
    <s v="Y"/>
    <s v="KeHE\LMRamirez"/>
    <x v="0"/>
    <s v="GREEN SPOON SALES"/>
    <s v="8 26 VITAHBA SEPTEMBER AD"/>
    <m/>
    <s v="CENTER"/>
    <s v="84"/>
    <s v="EWELINA WISZOWATA"/>
    <s v="214030"/>
    <s v="DIVA FAM INC"/>
    <s v="540"/>
    <s v="Christine Casey"/>
    <s v="1402600122"/>
    <s v="D"/>
    <s v="DRY"/>
    <s v="false"/>
    <s v="false"/>
    <s v="false"/>
    <s v="21"/>
    <s v="1/13/2026"/>
    <s v="false"/>
    <s v="7"/>
    <s v="7"/>
    <m/>
    <s v="CURR_UNIT_STKOUT"/>
    <s v="12345"/>
    <s v="1"/>
    <s v="DAY"/>
    <s v="0"/>
    <s v="0"/>
    <x v="1"/>
  </r>
  <r>
    <x v="0"/>
    <x v="0"/>
    <s v="593804"/>
    <x v="0"/>
    <x v="0"/>
    <s v="33888025187780"/>
    <x v="1"/>
    <x v="0"/>
    <x v="1"/>
    <s v="T"/>
    <s v=""/>
    <s v="FO"/>
    <s v="16"/>
    <s v="6"/>
    <s v="FUTURE EVENT - PO REQUIRED BY 8/4/2026"/>
    <s v="GREEN"/>
    <s v="0"/>
    <s v="0"/>
    <s v="0"/>
    <n v="3166.02"/>
    <n v="198"/>
    <s v="0"/>
    <s v="1"/>
    <s v="0"/>
    <s v="0"/>
    <x v="0"/>
    <m/>
    <m/>
    <m/>
    <m/>
    <m/>
    <s v="1500"/>
    <s v="0"/>
    <s v="39"/>
    <s v="7/9/2026"/>
    <x v="0"/>
    <x v="0"/>
    <s v="8/4/2026"/>
    <s v="Y"/>
    <s v="KeHE\LMRamirez"/>
    <x v="0"/>
    <s v="GREEN SPOON SALES"/>
    <s v="8 26 VITAHBA SEPTEMBER AD"/>
    <m/>
    <s v="CENTER"/>
    <s v="84"/>
    <s v="EWELINA WISZOWATA"/>
    <s v="214030"/>
    <s v="DIVA FAM INC"/>
    <s v="270"/>
    <s v="Christine Casey"/>
    <s v="3302518778"/>
    <s v="D"/>
    <s v="DRY"/>
    <s v="false"/>
    <s v="false"/>
    <s v="false"/>
    <s v="17"/>
    <s v="12/11/2025"/>
    <s v="false"/>
    <s v="6"/>
    <s v="5"/>
    <m/>
    <s v="CURR_UNIT_STKOUT"/>
    <s v="12345"/>
    <s v="1"/>
    <s v="DAY"/>
    <s v="0"/>
    <s v="0"/>
    <x v="0"/>
  </r>
  <r>
    <x v="7"/>
    <x v="0"/>
    <s v="593804"/>
    <x v="0"/>
    <x v="0"/>
    <s v="14850077732096"/>
    <x v="5"/>
    <x v="0"/>
    <x v="5"/>
    <s v="T"/>
    <s v=""/>
    <s v="FO"/>
    <s v="12"/>
    <s v="12"/>
    <s v="FUTURE EVENT - PO REQUIRED BY 7/31/2026"/>
    <s v="GREEN"/>
    <s v="0"/>
    <s v="0"/>
    <s v="0"/>
    <n v="1363.44"/>
    <n v="456"/>
    <s v="0"/>
    <s v="1"/>
    <s v="0"/>
    <s v="0"/>
    <x v="0"/>
    <m/>
    <m/>
    <m/>
    <m/>
    <m/>
    <s v="3720"/>
    <s v="0"/>
    <s v="39"/>
    <s v="7/9/2026"/>
    <x v="0"/>
    <x v="0"/>
    <s v="7/31/2026"/>
    <s v="Y"/>
    <s v="KeHE\LMRamirez"/>
    <x v="0"/>
    <s v="GREEN SPOON SALES"/>
    <s v="8 26 VITAHBA SEPTEMBER AD"/>
    <m/>
    <s v="CENTER"/>
    <s v="84"/>
    <s v="EWELINA WISZOWATA"/>
    <s v="214030"/>
    <s v="DIVA FAM INC"/>
    <s v="540"/>
    <s v="Christine Casey"/>
    <s v="1402600123"/>
    <s v="D"/>
    <s v="DRY"/>
    <s v="false"/>
    <s v="false"/>
    <s v="false"/>
    <s v="21"/>
    <s v="1/13/2026"/>
    <s v="false"/>
    <s v="7"/>
    <s v="7"/>
    <m/>
    <s v="CURR_UNIT_STKOUT"/>
    <s v="12345"/>
    <s v="1"/>
    <s v="DAY"/>
    <s v="0"/>
    <s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C5C00E-6CB5-4D5C-9C24-17783900BFB6}" name="PivotTable1" cacheId="170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13:M62" firstHeaderRow="1" firstDataRow="2" firstDataCol="10" rowPageCount="1" colPageCount="1"/>
  <pivotFields count="70">
    <pivotField axis="axisRow" compact="0" outline="0" showAll="0" defaultSubtotal="0">
      <items count="8">
        <item x="5"/>
        <item x="0"/>
        <item x="1"/>
        <item x="2"/>
        <item x="3"/>
        <item x="4"/>
        <item x="6"/>
        <item x="7"/>
      </items>
    </pivotField>
    <pivotField axis="axisRow" compact="0" outline="0" showAll="0" defaultSubtotal="0">
      <items count="1">
        <item x="0"/>
      </items>
    </pivotField>
    <pivotField compact="0" outline="0" showAll="0"/>
    <pivotField axis="axisRow" compact="0" outline="0" showAll="0" defaultSubtotal="0">
      <items count="2">
        <item x="0"/>
        <item x="1"/>
      </items>
    </pivotField>
    <pivotField compact="0" outline="0" showAll="0">
      <items count="3">
        <item x="1"/>
        <item x="0"/>
        <item t="default"/>
      </items>
    </pivotField>
    <pivotField compact="0" outline="0" showAll="0"/>
    <pivotField axis="axisRow" compact="0" numFmtId="1" outline="0" showAll="0" defaultSubtotal="0">
      <items count="6">
        <item x="0"/>
        <item x="1"/>
        <item x="2"/>
        <item x="3"/>
        <item x="4"/>
        <item x="5"/>
      </items>
    </pivotField>
    <pivotField axis="axisRow" compact="0" outline="0" showAll="0" defaultSubtotal="0">
      <items count="1">
        <item x="0"/>
      </items>
    </pivotField>
    <pivotField axis="axisRow" compact="0" outline="0" showAll="0">
      <items count="7">
        <item x="0"/>
        <item x="1"/>
        <item x="2"/>
        <item x="3"/>
        <item x="4"/>
        <item x="5"/>
        <item t="default"/>
      </items>
    </pivotField>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numFmtId="1" outline="0" showAll="0"/>
    <pivotField compact="0" outline="0" showAll="0"/>
    <pivotField compact="0" numFmtId="3" outline="0" showAll="0"/>
    <pivotField dataField="1" compact="0" numFmtId="164" outline="0" showAll="0"/>
    <pivotField dataField="1" compact="0" numFmtId="3" outline="0" showAll="0"/>
    <pivotField compact="0" numFmtId="3" outline="0" showAll="0"/>
    <pivotField compact="0" numFmtId="165" outline="0" showAll="0"/>
    <pivotField compact="0" numFmtId="3" outline="0" showAll="0"/>
    <pivotField compact="0" numFmtId="1" outline="0" showAll="0"/>
    <pivotField axis="axisRow" compact="0" outline="0" showAll="0" defaultSubtotal="0">
      <items count="14">
        <item x="0"/>
        <item x="1"/>
        <item x="2"/>
        <item x="3"/>
        <item x="4"/>
        <item x="5"/>
        <item x="6"/>
        <item x="7"/>
        <item x="8"/>
        <item x="9"/>
        <item x="10"/>
        <item x="11"/>
        <item x="12"/>
        <item x="13"/>
      </items>
    </pivotField>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numFmtId="166" outline="0" showAll="0"/>
    <pivotField axis="axisRow" compact="0" numFmtId="166" outline="0" showAll="0" defaultSubtotal="0">
      <items count="2">
        <item x="0"/>
        <item x="1"/>
      </items>
    </pivotField>
    <pivotField axis="axisRow" compact="0" numFmtId="166" outline="0" showAll="0" defaultSubtotal="0">
      <items count="2">
        <item x="0"/>
        <item x="1"/>
      </items>
    </pivotField>
    <pivotField compact="0" outline="0" showAll="0"/>
    <pivotField compact="0" outline="0" showAll="0"/>
    <pivotField compact="0" outline="0" showAll="0"/>
    <pivotField axis="axisRow" compact="0" outline="0" showAll="0" defaultSubtotal="0">
      <items count="1">
        <item x="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axis="axisPage" compact="0" outline="0" showAll="0">
      <items count="3">
        <item x="1"/>
        <item x="0"/>
        <item t="default"/>
      </items>
    </pivotField>
  </pivotFields>
  <rowFields count="10">
    <field x="7"/>
    <field x="1"/>
    <field x="40"/>
    <field x="3"/>
    <field x="35"/>
    <field x="36"/>
    <field x="25"/>
    <field x="0"/>
    <field x="6"/>
    <field x="8"/>
  </rowFields>
  <rowItems count="48">
    <i>
      <x/>
      <x/>
      <x/>
      <x/>
      <x/>
      <x/>
      <x/>
      <x v="1"/>
      <x/>
      <x/>
    </i>
    <i r="8">
      <x v="1"/>
      <x v="1"/>
    </i>
    <i r="7">
      <x v="2"/>
      <x v="1"/>
      <x v="1"/>
    </i>
    <i r="8">
      <x v="3"/>
      <x v="3"/>
    </i>
    <i r="8">
      <x v="4"/>
      <x v="4"/>
    </i>
    <i r="8">
      <x v="5"/>
      <x v="5"/>
    </i>
    <i r="7">
      <x v="3"/>
      <x/>
      <x/>
    </i>
    <i r="8">
      <x v="1"/>
      <x v="1"/>
    </i>
    <i r="8">
      <x v="2"/>
      <x v="2"/>
    </i>
    <i r="8">
      <x v="3"/>
      <x v="3"/>
    </i>
    <i r="8">
      <x v="4"/>
      <x v="4"/>
    </i>
    <i r="7">
      <x v="7"/>
      <x v="1"/>
      <x v="1"/>
    </i>
    <i r="8">
      <x v="3"/>
      <x v="3"/>
    </i>
    <i r="8">
      <x v="4"/>
      <x v="4"/>
    </i>
    <i r="8">
      <x v="5"/>
      <x v="5"/>
    </i>
    <i r="6">
      <x v="1"/>
      <x v="2"/>
      <x/>
      <x/>
    </i>
    <i r="8">
      <x v="2"/>
      <x v="2"/>
    </i>
    <i r="6">
      <x v="2"/>
      <x v="4"/>
      <x/>
      <x/>
    </i>
    <i r="8">
      <x v="5"/>
      <x v="5"/>
    </i>
    <i r="6">
      <x v="3"/>
      <x v="4"/>
      <x v="1"/>
      <x v="1"/>
    </i>
    <i r="8">
      <x v="2"/>
      <x v="2"/>
    </i>
    <i r="8">
      <x v="3"/>
      <x v="3"/>
    </i>
    <i r="8">
      <x v="4"/>
      <x v="4"/>
    </i>
    <i r="6">
      <x v="4"/>
      <x v="5"/>
      <x/>
      <x/>
    </i>
    <i r="8">
      <x v="1"/>
      <x v="1"/>
    </i>
    <i r="6">
      <x v="5"/>
      <x v="5"/>
      <x v="3"/>
      <x v="3"/>
    </i>
    <i r="8">
      <x v="4"/>
      <x v="4"/>
    </i>
    <i r="8">
      <x v="5"/>
      <x v="5"/>
    </i>
    <i r="6">
      <x v="6"/>
      <x v="5"/>
      <x v="2"/>
      <x v="2"/>
    </i>
    <i r="6">
      <x v="7"/>
      <x/>
      <x/>
      <x/>
    </i>
    <i r="8">
      <x v="1"/>
      <x v="1"/>
    </i>
    <i r="8">
      <x v="3"/>
      <x v="3"/>
    </i>
    <i r="8">
      <x v="4"/>
      <x v="4"/>
    </i>
    <i r="8">
      <x v="5"/>
      <x v="5"/>
    </i>
    <i r="6">
      <x v="8"/>
      <x/>
      <x v="2"/>
      <x v="2"/>
    </i>
    <i r="6">
      <x v="9"/>
      <x v="6"/>
      <x v="2"/>
      <x v="2"/>
    </i>
    <i r="6">
      <x v="10"/>
      <x v="1"/>
      <x v="2"/>
      <x v="2"/>
    </i>
    <i r="8">
      <x v="3"/>
      <x v="3"/>
    </i>
    <i r="6">
      <x v="11"/>
      <x v="7"/>
      <x/>
      <x/>
    </i>
    <i r="8">
      <x v="2"/>
      <x v="2"/>
    </i>
    <i r="6">
      <x v="12"/>
      <x v="6"/>
      <x/>
      <x/>
    </i>
    <i r="8">
      <x v="1"/>
      <x v="1"/>
    </i>
    <i r="8">
      <x v="3"/>
      <x v="3"/>
    </i>
    <i r="8">
      <x v="4"/>
      <x v="4"/>
    </i>
    <i r="8">
      <x v="5"/>
      <x v="5"/>
    </i>
    <i r="6">
      <x v="13"/>
      <x v="1"/>
      <x v="4"/>
      <x v="4"/>
    </i>
    <i r="3">
      <x v="1"/>
      <x v="1"/>
      <x v="1"/>
      <x/>
      <x v="4"/>
      <x v="2"/>
      <x v="2"/>
    </i>
    <i t="grand">
      <x/>
    </i>
  </rowItems>
  <colFields count="1">
    <field x="-2"/>
  </colFields>
  <colItems count="2">
    <i>
      <x/>
    </i>
    <i i="1">
      <x v="1"/>
    </i>
  </colItems>
  <pageFields count="1">
    <pageField fld="69" hier="-1"/>
  </pageFields>
  <dataFields count="2">
    <dataField name="Req $ " fld="19" baseField="7" baseItem="1256" numFmtId="42"/>
    <dataField name="Req Qty " fld="20" baseField="7" baseItem="1256" numFmtId="3"/>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9738488-5248-42A5-BB51-3B86C1F094E2}" autoFormatId="16" applyNumberFormats="0" applyBorderFormats="0" applyFontFormats="0" applyPatternFormats="0" applyAlignmentFormats="0" applyWidthHeightFormats="0">
  <queryTableRefresh nextId="71" unboundColumnsRight="1">
    <queryTableFields count="70">
      <queryTableField id="1" name="DC" tableColumnId="1"/>
      <queryTableField id="2" name="Account" tableColumnId="2"/>
      <queryTableField id="3" name="Master ID" tableColumnId="3"/>
      <queryTableField id="4" name="Event Type" tableColumnId="4"/>
      <queryTableField id="5" name="Status" tableColumnId="5"/>
      <queryTableField id="6" name="DCUPC" tableColumnId="6"/>
      <queryTableField id="7" name="UPC" tableColumnId="7"/>
      <queryTableField id="8" name="Brand" tableColumnId="8"/>
      <queryTableField id="9" name="Description" tableColumnId="9"/>
      <queryTableField id="10" name="Item Status" tableColumnId="10"/>
      <queryTableField id="11" name="Note" tableColumnId="11"/>
      <queryTableField id="12" name="UOM" tableColumnId="12"/>
      <queryTableField id="13" name="Size" tableColumnId="13"/>
      <queryTableField id="14" name="Units / Case" tableColumnId="14"/>
      <queryTableField id="15" name="AOM Inventory Status" tableColumnId="15"/>
      <queryTableField id="16" name="RYG" tableColumnId="16"/>
      <queryTableField id="17" name="AWM" tableColumnId="17"/>
      <queryTableField id="18" name="On Ship Order Qty" tableColumnId="18"/>
      <queryTableField id="19" name="Reserve Qty" tableColumnId="19"/>
      <queryTableField id="20" name="Req $" tableColumnId="20"/>
      <queryTableField id="21" name="Req Qty" tableColumnId="21"/>
      <queryTableField id="22" name="Shipped Qty" tableColumnId="22"/>
      <queryTableField id="23" name="Est. % Cover" tableColumnId="23"/>
      <queryTableField id="24" name="Est. Qty Short" tableColumnId="24"/>
      <queryTableField id="25" name="On PO ?" tableColumnId="25"/>
      <queryTableField id="26" name="PO #" tableColumnId="26"/>
      <queryTableField id="27" name="Calculated PO Est. Arrival" tableColumnId="27"/>
      <queryTableField id="28" name="Original PO Est. Arrival" tableColumnId="28"/>
      <queryTableField id="29" name="PO Revised Est. Arrival" tableColumnId="29"/>
      <queryTableField id="30" name="PO Appoint Dt" tableColumnId="30"/>
      <queryTableField id="31" name="FOB/Prepaid" tableColumnId="31"/>
      <queryTableField id="32" name="Qty OH" tableColumnId="32"/>
      <queryTableField id="33" name="Qty OO" tableColumnId="33"/>
      <queryTableField id="34" name="Days to Start" tableColumnId="34"/>
      <queryTableField id="35" name="AOM Create Dt" tableColumnId="35"/>
      <queryTableField id="36" name="Event Start Dt" tableColumnId="36"/>
      <queryTableField id="37" name="Event End Dt" tableColumnId="37"/>
      <queryTableField id="38" name="PO Req By Dt (Future Events)" tableColumnId="38"/>
      <queryTableField id="39" name="Is Compliant" tableColumnId="39"/>
      <queryTableField id="40" name="Submitted By" tableColumnId="40"/>
      <queryTableField id="41" name="Email" tableColumnId="41"/>
      <queryTableField id="42" name="Broker Name" tableColumnId="42"/>
      <queryTableField id="43" name="Comments" tableColumnId="43"/>
      <queryTableField id="44" name="MDA #" tableColumnId="44"/>
      <queryTableField id="45" name="Buyer Group" tableColumnId="45"/>
      <queryTableField id="46" name="Buyer ID" tableColumnId="46"/>
      <queryTableField id="47" name="Buyer" tableColumnId="47"/>
      <queryTableField id="48" name="Vendor #" tableColumnId="48"/>
      <queryTableField id="49" name="Vendor Name" tableColumnId="49"/>
      <queryTableField id="50" name="Shelf Life Days" tableColumnId="50"/>
      <queryTableField id="51" name="Category Mgr" tableColumnId="51"/>
      <queryTableField id="52" name="DC Item #" tableColumnId="52"/>
      <queryTableField id="53" name="Temp Code" tableColumnId="53"/>
      <queryTableField id="54" name="Temp Desc" tableColumnId="54"/>
      <queryTableField id="55" name="IsNewItem" tableColumnId="55"/>
      <queryTableField id="56" name="IsSeasonal" tableColumnId="56"/>
      <queryTableField id="57" name="ItemIsDeleted" tableColumnId="57"/>
      <queryTableField id="58" name="Lead Time" tableColumnId="58"/>
      <queryTableField id="59" name="Item Setup Date" tableColumnId="59"/>
      <queryTableField id="60" name="Due Order" tableColumnId="60"/>
      <queryTableField id="61" name="Delay Units" tableColumnId="61"/>
      <queryTableField id="62" name="Delay Currency" tableColumnId="62"/>
      <queryTableField id="63" name="Sub-Vendor" tableColumnId="63"/>
      <queryTableField id="64" name="Order Due Policy" tableColumnId="64"/>
      <queryTableField id="65" name="Order Days" tableColumnId="65"/>
      <queryTableField id="66" name="Review Frequency" tableColumnId="66"/>
      <queryTableField id="67" name="Review Frequency Type" tableColumnId="67"/>
      <queryTableField id="68" name="Final Sug Ord Qty" tableColumnId="68"/>
      <queryTableField id="69" name="ROQ" tableColumnId="69"/>
      <queryTableField id="70" dataBound="0" tableColumnId="70"/>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Status_Key" xr10:uid="{556AD70F-4230-4614-B480-8BF7B8063430}" sourceName="Item Status Key">
  <pivotTables>
    <pivotTable tabId="4" name="PivotTable1"/>
  </pivotTables>
  <data>
    <tabular pivotCacheId="621861807">
      <items count="2">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8AF2B4A1-66A0-4067-A5B3-F6F487A4334A}" sourceName="Event Type">
  <pivotTables>
    <pivotTable tabId="4" name="PivotTable1"/>
  </pivotTables>
  <data>
    <tabular pivotCacheId="621861807">
      <items count="2">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8249969-EC6B-4FAF-8D9A-281535189131}" sourceName="Status">
  <pivotTables>
    <pivotTable tabId="4" name="PivotTable1"/>
  </pivotTables>
  <data>
    <tabular pivotCacheId="621861807">
      <items count="2">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Status Key" xr10:uid="{73F9833B-FB86-4978-B38B-9C841BE703D4}" cache="Slicer_Item_Status_Key" caption="Item Status Key" style="SlicerStyleLight6" lockedPosition="1" rowHeight="220133"/>
  <slicer name="Event Type" xr10:uid="{669D9F53-6FB4-4910-8DBE-294F0255543F}" cache="Slicer_Event_Type" caption="Event Type" style="SlicerStyleLight6" lockedPosition="1" rowHeight="220133"/>
  <slicer name="Status" xr10:uid="{9C20CA95-B726-4B51-9F0D-168CE5FB337C}" cache="Slicer_Status" caption="Status" style="SlicerStyleLight6" lockedPosition="1" rowHeight="22013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2903A1-3806-494F-8117-B8888F7AAF68}" name="Table2" displayName="Table2" ref="A1:B6" totalsRowShown="0" dataDxfId="2">
  <autoFilter ref="A1:B6" xr:uid="{C52903A1-3806-494F-8117-B8888F7AAF68}"/>
  <tableColumns count="2">
    <tableColumn id="1" xr3:uid="{D54E48D9-B209-45C4-A163-5EDD36B62589}" name="Item Status" dataDxfId="1"/>
    <tableColumn id="2" xr3:uid="{48295788-8A13-4EEA-98F0-27CB1F379159}" name="Key" dataDxfId="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CDA0C1-924B-4D53-A67F-D7B1F51B3EB3}" name="KeHEPARDataFlowSource" displayName="KeHEPARDataFlowSource" ref="A1:BR48" tableType="queryTable" totalsRowShown="0">
  <autoFilter ref="A1:BR48" xr:uid="{11CDA0C1-924B-4D53-A67F-D7B1F51B3EB3}"/>
  <tableColumns count="70">
    <tableColumn id="1" xr3:uid="{8BF7E385-35B2-42C5-B1C6-73B7024EB369}" uniqueName="1" name="DC" queryTableFieldId="1"/>
    <tableColumn id="2" xr3:uid="{C1EC7F96-0812-413A-9B60-E05F8311468F}" uniqueName="2" name="Account" queryTableFieldId="2"/>
    <tableColumn id="3" xr3:uid="{C4FBB8F2-168A-4725-B820-28382C5FDCC3}" uniqueName="3" name="Master ID" queryTableFieldId="3"/>
    <tableColumn id="4" xr3:uid="{CBE6FC7D-AE4A-451D-A7A6-1C62EC800448}" uniqueName="4" name="Event Type" queryTableFieldId="4"/>
    <tableColumn id="5" xr3:uid="{587305AE-117A-47B8-B891-4A58E1219202}" uniqueName="5" name="Status" queryTableFieldId="5"/>
    <tableColumn id="6" xr3:uid="{70344F56-75E0-49EE-BDBA-E2053A1C3A69}" uniqueName="6" name="DCUPC" queryTableFieldId="6"/>
    <tableColumn id="7" xr3:uid="{4FED7FFF-C779-4681-AFF4-04D8AF1CD4C8}" uniqueName="7" name="UPC" queryTableFieldId="7"/>
    <tableColumn id="8" xr3:uid="{A0E6B208-E7AC-4241-ACE0-11374990C688}" uniqueName="8" name="Brand" queryTableFieldId="8"/>
    <tableColumn id="9" xr3:uid="{82234362-FFAB-4A42-B1A5-2ADBD932E750}" uniqueName="9" name="Description" queryTableFieldId="9"/>
    <tableColumn id="10" xr3:uid="{38FC384E-286B-47DF-AB25-D504BF95C160}" uniqueName="10" name="Item Status" queryTableFieldId="10"/>
    <tableColumn id="11" xr3:uid="{B4228688-3CB9-40ED-964D-26E9EB8E9DF8}" uniqueName="11" name="Note" queryTableFieldId="11"/>
    <tableColumn id="12" xr3:uid="{6359F50A-89F8-4989-9016-B34740FA8DFF}" uniqueName="12" name="UOM" queryTableFieldId="12"/>
    <tableColumn id="13" xr3:uid="{6DD447C9-2802-456C-9460-2425424FF405}" uniqueName="13" name="Size" queryTableFieldId="13"/>
    <tableColumn id="14" xr3:uid="{4BAD2B9C-BF7E-4014-A5BF-EC6356D33F41}" uniqueName="14" name="Units / Case" queryTableFieldId="14"/>
    <tableColumn id="15" xr3:uid="{42470C61-F743-434F-9CCF-BFFE85353EF1}" uniqueName="15" name="AOM Inventory Status" queryTableFieldId="15"/>
    <tableColumn id="16" xr3:uid="{08B93152-BD59-479E-9A53-B99191E4708B}" uniqueName="16" name="RYG" queryTableFieldId="16"/>
    <tableColumn id="17" xr3:uid="{39BB3586-4428-471E-BB81-AAF150382CCE}" uniqueName="17" name="AWM" queryTableFieldId="17"/>
    <tableColumn id="18" xr3:uid="{2BC4B637-07AF-4BD3-AEA1-926C970332A0}" uniqueName="18" name="On Ship Order Qty" queryTableFieldId="18"/>
    <tableColumn id="19" xr3:uid="{65071777-8B07-41B9-8FFC-32F694308498}" uniqueName="19" name="Reserve Qty" queryTableFieldId="19"/>
    <tableColumn id="20" xr3:uid="{B5FCD038-E271-42A7-8009-365D4C4DFB20}" uniqueName="20" name="Req $" queryTableFieldId="20"/>
    <tableColumn id="21" xr3:uid="{036631CA-3B2E-4C72-A2BD-DBDFECAC1E55}" uniqueName="21" name="Req Qty" queryTableFieldId="21"/>
    <tableColumn id="22" xr3:uid="{29E7D025-906A-4E23-A14A-10B67FA12A74}" uniqueName="22" name="Shipped Qty" queryTableFieldId="22"/>
    <tableColumn id="23" xr3:uid="{E59FA8F1-CF2D-4DD5-AD2A-21BE2CAC0018}" uniqueName="23" name="Est. % Cover" queryTableFieldId="23"/>
    <tableColumn id="24" xr3:uid="{4A2E169D-6FA4-448A-95B9-0F0E4FFFFC27}" uniqueName="24" name="Est. Qty Short" queryTableFieldId="24"/>
    <tableColumn id="25" xr3:uid="{742DA617-F9BF-4AC1-8B42-A4B26D0F0C5E}" uniqueName="25" name="On PO ?" queryTableFieldId="25"/>
    <tableColumn id="26" xr3:uid="{6DF1D521-2AAA-4F00-9192-68FF00855322}" uniqueName="26" name="PO #" queryTableFieldId="26"/>
    <tableColumn id="27" xr3:uid="{AF69F92F-0313-4DD0-B010-F62C697E38C0}" uniqueName="27" name="Calculated PO Est. Arrival" queryTableFieldId="27"/>
    <tableColumn id="28" xr3:uid="{AE780FE6-1271-48FD-80F8-FEF6919A5FF4}" uniqueName="28" name="Original PO Est. Arrival" queryTableFieldId="28"/>
    <tableColumn id="29" xr3:uid="{15A1FB5C-9457-4590-985B-CB4E0DDFD54F}" uniqueName="29" name="PO Revised Est. Arrival" queryTableFieldId="29"/>
    <tableColumn id="30" xr3:uid="{9BAD963B-0397-4F01-94EA-2F556E5AD36C}" uniqueName="30" name="PO Appoint Dt" queryTableFieldId="30"/>
    <tableColumn id="31" xr3:uid="{A4788BB5-534A-4ED7-AEC5-404CFC3D29A2}" uniqueName="31" name="FOB/Prepaid" queryTableFieldId="31"/>
    <tableColumn id="32" xr3:uid="{D3CCBCEA-DD2F-4C4B-8CB2-AC7F96FA33BE}" uniqueName="32" name="Qty OH" queryTableFieldId="32"/>
    <tableColumn id="33" xr3:uid="{CEFA06BC-63F1-4430-A3FB-E060AC18904F}" uniqueName="33" name="Qty OO" queryTableFieldId="33"/>
    <tableColumn id="34" xr3:uid="{FBA6815B-3322-4972-9A14-8D52B07751E5}" uniqueName="34" name="Days to Start" queryTableFieldId="34"/>
    <tableColumn id="35" xr3:uid="{92119B17-FF7D-44E3-A905-099D08C117F8}" uniqueName="35" name="AOM Create Dt" queryTableFieldId="35"/>
    <tableColumn id="36" xr3:uid="{C6AD9596-6526-4954-8E39-A285A784E16B}" uniqueName="36" name="Event Start Dt" queryTableFieldId="36"/>
    <tableColumn id="37" xr3:uid="{58243925-8830-425F-B166-023BB3B04553}" uniqueName="37" name="Event End Dt" queryTableFieldId="37"/>
    <tableColumn id="38" xr3:uid="{76B2FF7A-BF7E-422D-830F-B84C42C94430}" uniqueName="38" name="PO Req By Dt (Future Events)" queryTableFieldId="38"/>
    <tableColumn id="39" xr3:uid="{C8F9B733-01F2-43F9-B28F-72C9C400B764}" uniqueName="39" name="Is Compliant" queryTableFieldId="39"/>
    <tableColumn id="40" xr3:uid="{A3B0D2EC-6BE7-442C-BF87-A99E9CF084D9}" uniqueName="40" name="Submitted By" queryTableFieldId="40"/>
    <tableColumn id="41" xr3:uid="{48F8B9B0-75FB-4CDB-8B7C-30115C17B077}" uniqueName="41" name="Email" queryTableFieldId="41"/>
    <tableColumn id="42" xr3:uid="{F27AC68E-BC31-4494-849D-E99FBEE0845F}" uniqueName="42" name="Broker Name" queryTableFieldId="42"/>
    <tableColumn id="43" xr3:uid="{C9984D0E-C635-45AC-B2B6-678B99336096}" uniqueName="43" name="Comments" queryTableFieldId="43"/>
    <tableColumn id="44" xr3:uid="{9A4BD28B-E5BD-4C66-B84B-6837D7E9E933}" uniqueName="44" name="MDA #" queryTableFieldId="44"/>
    <tableColumn id="45" xr3:uid="{D0D58D0F-A120-4DD4-9F83-2ED2B8C4E3C0}" uniqueName="45" name="Buyer Group" queryTableFieldId="45"/>
    <tableColumn id="46" xr3:uid="{C5D85EE0-ECDE-4CC0-940F-B90A717AC09C}" uniqueName="46" name="Buyer ID" queryTableFieldId="46"/>
    <tableColumn id="47" xr3:uid="{51468445-13C3-4231-B675-B3E5A083425E}" uniqueName="47" name="Buyer" queryTableFieldId="47"/>
    <tableColumn id="48" xr3:uid="{557804C3-04F0-43A4-A4F8-FF0010B80922}" uniqueName="48" name="Vendor #" queryTableFieldId="48"/>
    <tableColumn id="49" xr3:uid="{88B7179E-3603-428E-8299-21E83F5FD099}" uniqueName="49" name="Vendor Name" queryTableFieldId="49"/>
    <tableColumn id="50" xr3:uid="{A82AE870-67A9-471F-ADFF-D310A87E0881}" uniqueName="50" name="Shelf Life Days" queryTableFieldId="50"/>
    <tableColumn id="51" xr3:uid="{4FA11D92-3819-4FD2-A51D-66A2B1160335}" uniqueName="51" name="Category Mgr" queryTableFieldId="51"/>
    <tableColumn id="52" xr3:uid="{6C3B65F8-5DBC-4932-A20E-05FEF47EB881}" uniqueName="52" name="DC Item #" queryTableFieldId="52"/>
    <tableColumn id="53" xr3:uid="{6EF5DA9A-A767-462E-AC11-79EA955F9178}" uniqueName="53" name="Temp Code" queryTableFieldId="53"/>
    <tableColumn id="54" xr3:uid="{27EED70E-A734-4430-8210-ADE570D46286}" uniqueName="54" name="Temp Desc" queryTableFieldId="54"/>
    <tableColumn id="55" xr3:uid="{AC4D88B9-BFF3-4DB9-87E8-D094AD77AECB}" uniqueName="55" name="IsNewItem" queryTableFieldId="55"/>
    <tableColumn id="56" xr3:uid="{C93C5F94-1722-4D0A-AC2C-E72F40C74228}" uniqueName="56" name="IsSeasonal" queryTableFieldId="56"/>
    <tableColumn id="57" xr3:uid="{E1115AE8-7E82-43B7-B9CD-A50720115FF7}" uniqueName="57" name="ItemIsDeleted" queryTableFieldId="57"/>
    <tableColumn id="58" xr3:uid="{B6C4517A-A35C-45A9-97F4-D767984BBED2}" uniqueName="58" name="Lead Time" queryTableFieldId="58"/>
    <tableColumn id="59" xr3:uid="{D287AC4F-2623-4503-B27F-62A7366B82C1}" uniqueName="59" name="Item Setup Date" queryTableFieldId="59"/>
    <tableColumn id="60" xr3:uid="{8216C752-7B46-4A04-BDF1-5B98FD199465}" uniqueName="60" name="Due Order" queryTableFieldId="60"/>
    <tableColumn id="61" xr3:uid="{1DB56978-00D8-48C3-97C1-D945A5B4003C}" uniqueName="61" name="Delay Units" queryTableFieldId="61"/>
    <tableColumn id="62" xr3:uid="{7D35C246-9B8E-4D78-A140-BA98AC4F81BC}" uniqueName="62" name="Delay Currency" queryTableFieldId="62"/>
    <tableColumn id="63" xr3:uid="{BEFD93D2-C817-47F1-92A9-9A92A4F3778B}" uniqueName="63" name="Sub-Vendor" queryTableFieldId="63"/>
    <tableColumn id="64" xr3:uid="{7B30E0AE-318F-4C02-A181-55B76726A9B5}" uniqueName="64" name="Order Due Policy" queryTableFieldId="64"/>
    <tableColumn id="65" xr3:uid="{A281AB59-1ADC-41CB-A8D0-E6C9B8A5DA7C}" uniqueName="65" name="Order Days" queryTableFieldId="65"/>
    <tableColumn id="66" xr3:uid="{1053D674-E239-4A73-9AB9-CDFE01495829}" uniqueName="66" name="Review Frequency" queryTableFieldId="66"/>
    <tableColumn id="67" xr3:uid="{FF232716-9907-48AF-A4A3-A07C515E3557}" uniqueName="67" name="Review Frequency Type" queryTableFieldId="67"/>
    <tableColumn id="68" xr3:uid="{1FA21592-ED26-442C-AC9A-045A212174F7}" uniqueName="68" name="Final Sug Ord Qty" queryTableFieldId="68"/>
    <tableColumn id="69" xr3:uid="{31081829-D2A1-4FCA-AF42-60E6935D47E0}" uniqueName="69" name="ROQ" queryTableFieldId="69"/>
    <tableColumn id="70" xr3:uid="{A552E7A3-8849-493F-A065-397CE6DE7177}" uniqueName="70" name="Item Status Key" queryTableFieldId="70">
      <calculatedColumnFormula>VLOOKUP(KeHEPARDataFlowSource[[#This Row],[Item Status]],Table2[#All],2,FALSE)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2FA3F-795D-4759-BA58-020CCDC2D9B6}">
  <sheetPr codeName="Sheet1"/>
  <dimension ref="A1:B6"/>
  <sheetViews>
    <sheetView workbookViewId="0">
      <selection sqref="A1:B6"/>
    </sheetView>
  </sheetViews>
  <sheetFormatPr defaultRowHeight="13.2" x14ac:dyDescent="0.25"/>
  <cols>
    <col min="1" max="1" width="12.44140625" customWidth="1"/>
    <col min="2" max="2" width="28.6640625" bestFit="1" customWidth="1"/>
  </cols>
  <sheetData>
    <row r="1" spans="1:2" x14ac:dyDescent="0.25">
      <c r="A1" t="s">
        <v>0</v>
      </c>
      <c r="B1" t="s">
        <v>1</v>
      </c>
    </row>
    <row r="2" spans="1:2" x14ac:dyDescent="0.25">
      <c r="A2" s="4" t="s">
        <v>2</v>
      </c>
      <c r="B2" t="s">
        <v>3</v>
      </c>
    </row>
    <row r="3" spans="1:2" x14ac:dyDescent="0.25">
      <c r="A3" s="4" t="s">
        <v>4</v>
      </c>
      <c r="B3" s="4" t="s">
        <v>5</v>
      </c>
    </row>
    <row r="4" spans="1:2" x14ac:dyDescent="0.25">
      <c r="A4" s="4" t="s">
        <v>6</v>
      </c>
      <c r="B4" s="4" t="s">
        <v>7</v>
      </c>
    </row>
    <row r="5" spans="1:2" x14ac:dyDescent="0.25">
      <c r="A5" s="4" t="s">
        <v>8</v>
      </c>
      <c r="B5" s="4" t="s">
        <v>9</v>
      </c>
    </row>
    <row r="6" spans="1:2" x14ac:dyDescent="0.25">
      <c r="A6" t="s">
        <v>10</v>
      </c>
      <c r="B6" s="4"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ECFD-C243-4531-A045-FAF31560B4F8}">
  <sheetPr codeName="Sheet2"/>
  <dimension ref="B1:N20763"/>
  <sheetViews>
    <sheetView showGridLines="0" tabSelected="1" workbookViewId="0">
      <selection activeCell="B14" sqref="B14"/>
    </sheetView>
  </sheetViews>
  <sheetFormatPr defaultRowHeight="13.2" x14ac:dyDescent="0.25"/>
  <cols>
    <col min="1" max="1" width="1.5546875" customWidth="1"/>
    <col min="2" max="2" width="34.44140625" bestFit="1" customWidth="1"/>
    <col min="3" max="3" width="15.33203125" customWidth="1"/>
    <col min="4" max="4" width="50.33203125" bestFit="1" customWidth="1"/>
    <col min="5" max="5" width="14.6640625" style="4" bestFit="1" customWidth="1"/>
    <col min="6" max="7" width="14" bestFit="1" customWidth="1"/>
    <col min="8" max="8" width="9.44140625" bestFit="1" customWidth="1"/>
    <col min="9" max="9" width="5.6640625" bestFit="1" customWidth="1"/>
    <col min="10" max="10" width="14.6640625" customWidth="1"/>
    <col min="11" max="11" width="29.6640625" bestFit="1" customWidth="1"/>
    <col min="12" max="12" width="10.6640625" bestFit="1" customWidth="1"/>
    <col min="13" max="13" width="8.77734375" style="11" bestFit="1" customWidth="1"/>
    <col min="14" max="14" width="12" style="11" bestFit="1" customWidth="1"/>
  </cols>
  <sheetData>
    <row r="1" spans="2:14" x14ac:dyDescent="0.25">
      <c r="J1" s="15" t="e" vm="1">
        <v>#VALUE!</v>
      </c>
      <c r="K1" s="15"/>
      <c r="L1" s="15"/>
    </row>
    <row r="2" spans="2:14" ht="23.4" x14ac:dyDescent="0.4">
      <c r="B2" s="13" t="str">
        <f>_xlfn.CONCAT(B15," PAR Weekly"," - ",TEXT(N4,"$0,000.00")&amp;" and Qty: ",TEXT(N6,"0,00"))</f>
        <v>TRUE SEA MOSS PAR Weekly - $142,799.28 and Qty: 16,872</v>
      </c>
      <c r="C2" s="14"/>
      <c r="D2" s="14"/>
      <c r="E2" s="14"/>
      <c r="F2" s="14"/>
      <c r="G2" s="14"/>
      <c r="H2" s="14"/>
      <c r="I2" s="14"/>
      <c r="J2" s="15"/>
      <c r="K2" s="15"/>
      <c r="L2" s="15"/>
    </row>
    <row r="3" spans="2:14" ht="12" customHeight="1" x14ac:dyDescent="0.35">
      <c r="B3" s="6"/>
      <c r="J3" s="15"/>
      <c r="K3" s="15"/>
      <c r="L3" s="15"/>
    </row>
    <row r="4" spans="2:14" ht="20.399999999999999" x14ac:dyDescent="0.35">
      <c r="B4" s="6"/>
      <c r="J4" s="7"/>
      <c r="K4" s="7"/>
      <c r="M4" s="8" t="s">
        <v>12</v>
      </c>
      <c r="N4" s="9">
        <f>VLOOKUP(M4,B14:M50005,11,FALSE)</f>
        <v>142799.28000000006</v>
      </c>
    </row>
    <row r="5" spans="2:14" ht="20.399999999999999" x14ac:dyDescent="0.35">
      <c r="B5" s="6"/>
      <c r="J5" s="7"/>
      <c r="K5" s="7"/>
      <c r="M5" s="8"/>
      <c r="N5" s="9"/>
    </row>
    <row r="6" spans="2:14" ht="20.399999999999999" x14ac:dyDescent="0.35">
      <c r="B6" s="6"/>
      <c r="J6" s="7"/>
      <c r="K6" s="7"/>
      <c r="M6" s="8"/>
      <c r="N6" s="10">
        <f>VLOOKUP(M4,B15:M50006,12,FALSE)</f>
        <v>16872</v>
      </c>
    </row>
    <row r="7" spans="2:14" ht="20.399999999999999" x14ac:dyDescent="0.35">
      <c r="B7" s="6"/>
      <c r="J7" s="7"/>
      <c r="K7" s="7"/>
      <c r="M7" s="8"/>
      <c r="N7" s="8"/>
    </row>
    <row r="8" spans="2:14" ht="20.399999999999999" x14ac:dyDescent="0.35">
      <c r="B8" s="6"/>
      <c r="J8" s="7"/>
      <c r="K8" s="7"/>
    </row>
    <row r="9" spans="2:14" ht="20.399999999999999" x14ac:dyDescent="0.35">
      <c r="B9" s="6"/>
      <c r="J9" s="7"/>
      <c r="K9" s="7"/>
    </row>
    <row r="10" spans="2:14" x14ac:dyDescent="0.25">
      <c r="J10" s="7"/>
      <c r="K10" s="7"/>
    </row>
    <row r="11" spans="2:14" x14ac:dyDescent="0.25">
      <c r="B11" s="3" t="s">
        <v>15</v>
      </c>
      <c r="C11" t="s">
        <v>14</v>
      </c>
    </row>
    <row r="12" spans="2:14" ht="6.6" customHeight="1" x14ac:dyDescent="0.25"/>
    <row r="13" spans="2:14" hidden="1" x14ac:dyDescent="0.25">
      <c r="E13"/>
      <c r="L13" s="3" t="s">
        <v>16</v>
      </c>
      <c r="M13"/>
    </row>
    <row r="14" spans="2:14" x14ac:dyDescent="0.25">
      <c r="B14" s="3" t="s">
        <v>17</v>
      </c>
      <c r="C14" s="3" t="s">
        <v>18</v>
      </c>
      <c r="D14" s="3" t="s">
        <v>57</v>
      </c>
      <c r="E14" s="3" t="s">
        <v>13</v>
      </c>
      <c r="F14" s="3" t="s">
        <v>19</v>
      </c>
      <c r="G14" s="3" t="s">
        <v>20</v>
      </c>
      <c r="H14" s="3" t="s">
        <v>21</v>
      </c>
      <c r="I14" s="3" t="s">
        <v>22</v>
      </c>
      <c r="J14" s="3" t="s">
        <v>23</v>
      </c>
      <c r="K14" s="3" t="s">
        <v>24</v>
      </c>
      <c r="L14" t="s">
        <v>25</v>
      </c>
      <c r="M14" t="s">
        <v>26</v>
      </c>
    </row>
    <row r="15" spans="2:14" x14ac:dyDescent="0.25">
      <c r="B15" t="s">
        <v>87</v>
      </c>
      <c r="C15" t="s">
        <v>123</v>
      </c>
      <c r="D15" t="s">
        <v>136</v>
      </c>
      <c r="E15" t="s">
        <v>125</v>
      </c>
      <c r="F15" s="2" t="s">
        <v>132</v>
      </c>
      <c r="G15" s="2" t="s">
        <v>133</v>
      </c>
      <c r="H15" t="s">
        <v>27</v>
      </c>
      <c r="I15" t="s">
        <v>122</v>
      </c>
      <c r="J15" s="12" t="s">
        <v>107</v>
      </c>
      <c r="K15" t="s">
        <v>108</v>
      </c>
      <c r="L15" s="5">
        <v>3837.6</v>
      </c>
      <c r="M15" s="1">
        <v>240</v>
      </c>
    </row>
    <row r="16" spans="2:14" x14ac:dyDescent="0.25">
      <c r="E16"/>
      <c r="J16" s="12" t="s">
        <v>146</v>
      </c>
      <c r="K16" t="s">
        <v>147</v>
      </c>
      <c r="L16" s="5">
        <v>3166.02</v>
      </c>
      <c r="M16" s="1">
        <v>198</v>
      </c>
    </row>
    <row r="17" spans="5:13" x14ac:dyDescent="0.25">
      <c r="E17"/>
      <c r="I17" t="s">
        <v>144</v>
      </c>
      <c r="J17" s="12" t="s">
        <v>146</v>
      </c>
      <c r="K17" t="s">
        <v>147</v>
      </c>
      <c r="L17" s="5">
        <v>7195.5</v>
      </c>
      <c r="M17" s="1">
        <v>450</v>
      </c>
    </row>
    <row r="18" spans="5:13" x14ac:dyDescent="0.25">
      <c r="E18"/>
      <c r="J18" s="12" t="s">
        <v>206</v>
      </c>
      <c r="K18" t="s">
        <v>207</v>
      </c>
      <c r="L18" s="5">
        <v>2691</v>
      </c>
      <c r="M18" s="1">
        <v>900</v>
      </c>
    </row>
    <row r="19" spans="5:13" x14ac:dyDescent="0.25">
      <c r="E19"/>
      <c r="J19" s="12" t="s">
        <v>240</v>
      </c>
      <c r="K19" t="s">
        <v>241</v>
      </c>
      <c r="L19" s="5">
        <v>2152.8000000000002</v>
      </c>
      <c r="M19" s="1">
        <v>720</v>
      </c>
    </row>
    <row r="20" spans="5:13" x14ac:dyDescent="0.25">
      <c r="E20"/>
      <c r="J20" s="12" t="s">
        <v>306</v>
      </c>
      <c r="K20" t="s">
        <v>307</v>
      </c>
      <c r="L20" s="5">
        <v>2152.8000000000002</v>
      </c>
      <c r="M20" s="1">
        <v>720</v>
      </c>
    </row>
    <row r="21" spans="5:13" x14ac:dyDescent="0.25">
      <c r="E21"/>
      <c r="I21" t="s">
        <v>155</v>
      </c>
      <c r="J21" s="12" t="s">
        <v>107</v>
      </c>
      <c r="K21" t="s">
        <v>108</v>
      </c>
      <c r="L21" s="5">
        <v>3837.6</v>
      </c>
      <c r="M21" s="1">
        <v>240</v>
      </c>
    </row>
    <row r="22" spans="5:13" x14ac:dyDescent="0.25">
      <c r="E22"/>
      <c r="J22" s="12" t="s">
        <v>146</v>
      </c>
      <c r="K22" t="s">
        <v>147</v>
      </c>
      <c r="L22" s="5">
        <v>3166.02</v>
      </c>
      <c r="M22" s="1">
        <v>198</v>
      </c>
    </row>
    <row r="23" spans="5:13" x14ac:dyDescent="0.25">
      <c r="E23"/>
      <c r="J23" s="12" t="s">
        <v>157</v>
      </c>
      <c r="K23" t="s">
        <v>158</v>
      </c>
      <c r="L23" s="5">
        <v>3837.6</v>
      </c>
      <c r="M23" s="1">
        <v>240</v>
      </c>
    </row>
    <row r="24" spans="5:13" x14ac:dyDescent="0.25">
      <c r="E24"/>
      <c r="J24" s="12" t="s">
        <v>206</v>
      </c>
      <c r="K24" t="s">
        <v>207</v>
      </c>
      <c r="L24" s="5">
        <v>1184.04</v>
      </c>
      <c r="M24" s="1">
        <v>396</v>
      </c>
    </row>
    <row r="25" spans="5:13" x14ac:dyDescent="0.25">
      <c r="E25"/>
      <c r="J25" s="12" t="s">
        <v>240</v>
      </c>
      <c r="K25" t="s">
        <v>241</v>
      </c>
      <c r="L25" s="5">
        <v>968.76</v>
      </c>
      <c r="M25" s="1">
        <v>324</v>
      </c>
    </row>
    <row r="26" spans="5:13" x14ac:dyDescent="0.25">
      <c r="E26"/>
      <c r="I26" t="s">
        <v>270</v>
      </c>
      <c r="J26" s="12" t="s">
        <v>146</v>
      </c>
      <c r="K26" t="s">
        <v>147</v>
      </c>
      <c r="L26" s="5">
        <v>4221.3599999999997</v>
      </c>
      <c r="M26" s="1">
        <v>264</v>
      </c>
    </row>
    <row r="27" spans="5:13" x14ac:dyDescent="0.25">
      <c r="E27"/>
      <c r="J27" s="12" t="s">
        <v>206</v>
      </c>
      <c r="K27" t="s">
        <v>207</v>
      </c>
      <c r="L27" s="5">
        <v>1578.72</v>
      </c>
      <c r="M27" s="1">
        <v>528</v>
      </c>
    </row>
    <row r="28" spans="5:13" x14ac:dyDescent="0.25">
      <c r="E28"/>
      <c r="J28" s="12" t="s">
        <v>240</v>
      </c>
      <c r="K28" t="s">
        <v>241</v>
      </c>
      <c r="L28" s="5">
        <v>1363.44</v>
      </c>
      <c r="M28" s="1">
        <v>456</v>
      </c>
    </row>
    <row r="29" spans="5:13" x14ac:dyDescent="0.25">
      <c r="E29"/>
      <c r="J29" s="12" t="s">
        <v>306</v>
      </c>
      <c r="K29" t="s">
        <v>307</v>
      </c>
      <c r="L29" s="5">
        <v>1363.44</v>
      </c>
      <c r="M29" s="1">
        <v>456</v>
      </c>
    </row>
    <row r="30" spans="5:13" x14ac:dyDescent="0.25">
      <c r="E30"/>
      <c r="H30" t="s">
        <v>167</v>
      </c>
      <c r="I30" t="s">
        <v>144</v>
      </c>
      <c r="J30" s="12" t="s">
        <v>107</v>
      </c>
      <c r="K30" t="s">
        <v>108</v>
      </c>
      <c r="L30" s="5">
        <v>8634.6</v>
      </c>
      <c r="M30" s="1">
        <v>540</v>
      </c>
    </row>
    <row r="31" spans="5:13" x14ac:dyDescent="0.25">
      <c r="E31"/>
      <c r="J31" s="12" t="s">
        <v>157</v>
      </c>
      <c r="K31" t="s">
        <v>158</v>
      </c>
      <c r="L31" s="5">
        <v>10745.28</v>
      </c>
      <c r="M31" s="1">
        <v>672</v>
      </c>
    </row>
    <row r="32" spans="5:13" x14ac:dyDescent="0.25">
      <c r="E32"/>
      <c r="H32" t="s">
        <v>179</v>
      </c>
      <c r="I32" t="s">
        <v>152</v>
      </c>
      <c r="J32" s="12" t="s">
        <v>107</v>
      </c>
      <c r="K32" t="s">
        <v>108</v>
      </c>
      <c r="L32" s="5">
        <v>5948.28</v>
      </c>
      <c r="M32" s="1">
        <v>372</v>
      </c>
    </row>
    <row r="33" spans="5:13" x14ac:dyDescent="0.25">
      <c r="E33"/>
      <c r="J33" s="12" t="s">
        <v>306</v>
      </c>
      <c r="K33" t="s">
        <v>307</v>
      </c>
      <c r="L33" s="5">
        <v>1722.24</v>
      </c>
      <c r="M33" s="1">
        <v>576</v>
      </c>
    </row>
    <row r="34" spans="5:13" x14ac:dyDescent="0.25">
      <c r="E34"/>
      <c r="H34" t="s">
        <v>189</v>
      </c>
      <c r="I34" t="s">
        <v>152</v>
      </c>
      <c r="J34" s="12" t="s">
        <v>146</v>
      </c>
      <c r="K34" t="s">
        <v>147</v>
      </c>
      <c r="L34" s="5">
        <v>4988.88</v>
      </c>
      <c r="M34" s="1">
        <v>312</v>
      </c>
    </row>
    <row r="35" spans="5:13" x14ac:dyDescent="0.25">
      <c r="E35"/>
      <c r="J35" s="12" t="s">
        <v>157</v>
      </c>
      <c r="K35" t="s">
        <v>158</v>
      </c>
      <c r="L35" s="5">
        <v>9210.24</v>
      </c>
      <c r="M35" s="1">
        <v>576</v>
      </c>
    </row>
    <row r="36" spans="5:13" x14ac:dyDescent="0.25">
      <c r="E36"/>
      <c r="J36" s="12" t="s">
        <v>206</v>
      </c>
      <c r="K36" t="s">
        <v>207</v>
      </c>
      <c r="L36" s="5">
        <v>1865.76</v>
      </c>
      <c r="M36" s="1">
        <v>624</v>
      </c>
    </row>
    <row r="37" spans="5:13" x14ac:dyDescent="0.25">
      <c r="E37"/>
      <c r="J37" s="12" t="s">
        <v>240</v>
      </c>
      <c r="K37" t="s">
        <v>241</v>
      </c>
      <c r="L37" s="5">
        <v>1722.24</v>
      </c>
      <c r="M37" s="1">
        <v>576</v>
      </c>
    </row>
    <row r="38" spans="5:13" x14ac:dyDescent="0.25">
      <c r="E38"/>
      <c r="H38" t="s">
        <v>196</v>
      </c>
      <c r="I38" t="s">
        <v>194</v>
      </c>
      <c r="J38" s="12" t="s">
        <v>107</v>
      </c>
      <c r="K38" t="s">
        <v>108</v>
      </c>
      <c r="L38" s="5">
        <v>2782.26</v>
      </c>
      <c r="M38" s="1">
        <v>174</v>
      </c>
    </row>
    <row r="39" spans="5:13" x14ac:dyDescent="0.25">
      <c r="E39"/>
      <c r="J39" s="12" t="s">
        <v>146</v>
      </c>
      <c r="K39" t="s">
        <v>147</v>
      </c>
      <c r="L39" s="5">
        <v>2398.5</v>
      </c>
      <c r="M39" s="1">
        <v>150</v>
      </c>
    </row>
    <row r="40" spans="5:13" x14ac:dyDescent="0.25">
      <c r="E40"/>
      <c r="H40" t="s">
        <v>208</v>
      </c>
      <c r="I40" t="s">
        <v>194</v>
      </c>
      <c r="J40" s="12" t="s">
        <v>206</v>
      </c>
      <c r="K40" t="s">
        <v>207</v>
      </c>
      <c r="L40" s="5">
        <v>897</v>
      </c>
      <c r="M40" s="1">
        <v>300</v>
      </c>
    </row>
    <row r="41" spans="5:13" x14ac:dyDescent="0.25">
      <c r="E41"/>
      <c r="J41" s="12" t="s">
        <v>240</v>
      </c>
      <c r="K41" t="s">
        <v>241</v>
      </c>
      <c r="L41" s="5">
        <v>897</v>
      </c>
      <c r="M41" s="1">
        <v>300</v>
      </c>
    </row>
    <row r="42" spans="5:13" x14ac:dyDescent="0.25">
      <c r="E42"/>
      <c r="J42" s="12" t="s">
        <v>306</v>
      </c>
      <c r="K42" t="s">
        <v>307</v>
      </c>
      <c r="L42" s="5">
        <v>897</v>
      </c>
      <c r="M42" s="1">
        <v>300</v>
      </c>
    </row>
    <row r="43" spans="5:13" x14ac:dyDescent="0.25">
      <c r="E43"/>
      <c r="H43" t="s">
        <v>216</v>
      </c>
      <c r="I43" t="s">
        <v>194</v>
      </c>
      <c r="J43" s="12" t="s">
        <v>157</v>
      </c>
      <c r="K43" t="s">
        <v>158</v>
      </c>
      <c r="L43" s="5">
        <v>4797</v>
      </c>
      <c r="M43" s="1">
        <v>300</v>
      </c>
    </row>
    <row r="44" spans="5:13" x14ac:dyDescent="0.25">
      <c r="E44"/>
      <c r="H44" t="s">
        <v>222</v>
      </c>
      <c r="I44" t="s">
        <v>104</v>
      </c>
      <c r="J44" s="12" t="s">
        <v>107</v>
      </c>
      <c r="K44" t="s">
        <v>108</v>
      </c>
      <c r="L44" s="5">
        <v>2302.56</v>
      </c>
      <c r="M44" s="1">
        <v>144</v>
      </c>
    </row>
    <row r="45" spans="5:13" x14ac:dyDescent="0.25">
      <c r="E45"/>
      <c r="J45" s="12" t="s">
        <v>146</v>
      </c>
      <c r="K45" t="s">
        <v>147</v>
      </c>
      <c r="L45" s="5">
        <v>1918.8</v>
      </c>
      <c r="M45" s="1">
        <v>120</v>
      </c>
    </row>
    <row r="46" spans="5:13" x14ac:dyDescent="0.25">
      <c r="E46"/>
      <c r="J46" s="12" t="s">
        <v>206</v>
      </c>
      <c r="K46" t="s">
        <v>207</v>
      </c>
      <c r="L46" s="5">
        <v>717.6</v>
      </c>
      <c r="M46" s="1">
        <v>240</v>
      </c>
    </row>
    <row r="47" spans="5:13" x14ac:dyDescent="0.25">
      <c r="E47"/>
      <c r="J47" s="12" t="s">
        <v>240</v>
      </c>
      <c r="K47" t="s">
        <v>241</v>
      </c>
      <c r="L47" s="5">
        <v>574.08000000000004</v>
      </c>
      <c r="M47" s="1">
        <v>192</v>
      </c>
    </row>
    <row r="48" spans="5:13" x14ac:dyDescent="0.25">
      <c r="E48"/>
      <c r="J48" s="12" t="s">
        <v>306</v>
      </c>
      <c r="K48" t="s">
        <v>307</v>
      </c>
      <c r="L48" s="5">
        <v>574.08000000000004</v>
      </c>
      <c r="M48" s="1">
        <v>192</v>
      </c>
    </row>
    <row r="49" spans="2:13" x14ac:dyDescent="0.25">
      <c r="E49"/>
      <c r="H49" t="s">
        <v>247</v>
      </c>
      <c r="I49" t="s">
        <v>104</v>
      </c>
      <c r="J49" s="12" t="s">
        <v>157</v>
      </c>
      <c r="K49" t="s">
        <v>158</v>
      </c>
      <c r="L49" s="5">
        <v>1535.04</v>
      </c>
      <c r="M49" s="1">
        <v>96</v>
      </c>
    </row>
    <row r="50" spans="2:13" x14ac:dyDescent="0.25">
      <c r="E50"/>
      <c r="H50" t="s">
        <v>253</v>
      </c>
      <c r="I50" t="s">
        <v>251</v>
      </c>
      <c r="J50" s="12" t="s">
        <v>157</v>
      </c>
      <c r="K50" t="s">
        <v>158</v>
      </c>
      <c r="L50" s="5">
        <v>3453.84</v>
      </c>
      <c r="M50" s="1">
        <v>216</v>
      </c>
    </row>
    <row r="51" spans="2:13" x14ac:dyDescent="0.25">
      <c r="E51"/>
      <c r="H51" t="s">
        <v>266</v>
      </c>
      <c r="I51" t="s">
        <v>122</v>
      </c>
      <c r="J51" s="12" t="s">
        <v>157</v>
      </c>
      <c r="K51" t="s">
        <v>158</v>
      </c>
      <c r="L51" s="5">
        <v>4413.24</v>
      </c>
      <c r="M51" s="1">
        <v>276</v>
      </c>
    </row>
    <row r="52" spans="2:13" x14ac:dyDescent="0.25">
      <c r="E52"/>
      <c r="J52" s="12" t="s">
        <v>206</v>
      </c>
      <c r="K52" t="s">
        <v>207</v>
      </c>
      <c r="L52" s="5">
        <v>1184.04</v>
      </c>
      <c r="M52" s="1">
        <v>396</v>
      </c>
    </row>
    <row r="53" spans="2:13" x14ac:dyDescent="0.25">
      <c r="E53"/>
      <c r="H53" t="s">
        <v>272</v>
      </c>
      <c r="I53" t="s">
        <v>270</v>
      </c>
      <c r="J53" s="12" t="s">
        <v>107</v>
      </c>
      <c r="K53" t="s">
        <v>108</v>
      </c>
      <c r="L53" s="5">
        <v>5084.82</v>
      </c>
      <c r="M53" s="1">
        <v>318</v>
      </c>
    </row>
    <row r="54" spans="2:13" x14ac:dyDescent="0.25">
      <c r="E54"/>
      <c r="J54" s="12" t="s">
        <v>157</v>
      </c>
      <c r="K54" t="s">
        <v>158</v>
      </c>
      <c r="L54" s="5">
        <v>7291.44</v>
      </c>
      <c r="M54" s="1">
        <v>456</v>
      </c>
    </row>
    <row r="55" spans="2:13" x14ac:dyDescent="0.25">
      <c r="E55"/>
      <c r="H55" t="s">
        <v>283</v>
      </c>
      <c r="I55" t="s">
        <v>251</v>
      </c>
      <c r="J55" s="12" t="s">
        <v>107</v>
      </c>
      <c r="K55" t="s">
        <v>108</v>
      </c>
      <c r="L55" s="5">
        <v>4605.12</v>
      </c>
      <c r="M55" s="1">
        <v>288</v>
      </c>
    </row>
    <row r="56" spans="2:13" x14ac:dyDescent="0.25">
      <c r="E56"/>
      <c r="J56" s="12" t="s">
        <v>146</v>
      </c>
      <c r="K56" t="s">
        <v>147</v>
      </c>
      <c r="L56" s="5">
        <v>3837.6</v>
      </c>
      <c r="M56" s="1">
        <v>240</v>
      </c>
    </row>
    <row r="57" spans="2:13" x14ac:dyDescent="0.25">
      <c r="E57"/>
      <c r="J57" s="12" t="s">
        <v>206</v>
      </c>
      <c r="K57" t="s">
        <v>207</v>
      </c>
      <c r="L57" s="5">
        <v>1435.2</v>
      </c>
      <c r="M57" s="1">
        <v>480</v>
      </c>
    </row>
    <row r="58" spans="2:13" x14ac:dyDescent="0.25">
      <c r="E58"/>
      <c r="J58" s="12" t="s">
        <v>240</v>
      </c>
      <c r="K58" t="s">
        <v>241</v>
      </c>
      <c r="L58" s="5">
        <v>1148.1600000000001</v>
      </c>
      <c r="M58" s="1">
        <v>384</v>
      </c>
    </row>
    <row r="59" spans="2:13" x14ac:dyDescent="0.25">
      <c r="E59"/>
      <c r="J59" s="12" t="s">
        <v>306</v>
      </c>
      <c r="K59" t="s">
        <v>307</v>
      </c>
      <c r="L59" s="5">
        <v>1148.1600000000001</v>
      </c>
      <c r="M59" s="1">
        <v>384</v>
      </c>
    </row>
    <row r="60" spans="2:13" x14ac:dyDescent="0.25">
      <c r="E60"/>
      <c r="H60" t="s">
        <v>295</v>
      </c>
      <c r="I60" t="s">
        <v>122</v>
      </c>
      <c r="J60" s="12" t="s">
        <v>240</v>
      </c>
      <c r="K60" t="s">
        <v>241</v>
      </c>
      <c r="L60" s="5">
        <v>968.76</v>
      </c>
      <c r="M60" s="1">
        <v>324</v>
      </c>
    </row>
    <row r="61" spans="2:13" x14ac:dyDescent="0.25">
      <c r="E61" t="s">
        <v>259</v>
      </c>
      <c r="F61" s="2" t="s">
        <v>225</v>
      </c>
      <c r="G61" s="2" t="s">
        <v>263</v>
      </c>
      <c r="H61" t="s">
        <v>27</v>
      </c>
      <c r="I61" t="s">
        <v>152</v>
      </c>
      <c r="J61" s="12" t="s">
        <v>157</v>
      </c>
      <c r="K61" t="s">
        <v>158</v>
      </c>
      <c r="L61" s="5">
        <v>383.76</v>
      </c>
      <c r="M61" s="1">
        <v>24</v>
      </c>
    </row>
    <row r="62" spans="2:13" x14ac:dyDescent="0.25">
      <c r="B62" t="s">
        <v>12</v>
      </c>
      <c r="E62"/>
      <c r="L62" s="5">
        <v>142799.28000000006</v>
      </c>
      <c r="M62" s="1">
        <v>16872</v>
      </c>
    </row>
    <row r="63" spans="2:13" x14ac:dyDescent="0.25">
      <c r="E63"/>
      <c r="M63"/>
    </row>
    <row r="64" spans="2:13" x14ac:dyDescent="0.25">
      <c r="E64"/>
      <c r="M64"/>
    </row>
    <row r="65" spans="5:13" x14ac:dyDescent="0.25">
      <c r="E65"/>
      <c r="M65"/>
    </row>
    <row r="66" spans="5:13" x14ac:dyDescent="0.25">
      <c r="E66"/>
      <c r="M66"/>
    </row>
    <row r="67" spans="5:13" x14ac:dyDescent="0.25">
      <c r="E67"/>
      <c r="M67"/>
    </row>
    <row r="68" spans="5:13" x14ac:dyDescent="0.25">
      <c r="E68"/>
      <c r="M68"/>
    </row>
    <row r="69" spans="5:13" x14ac:dyDescent="0.25">
      <c r="E69"/>
      <c r="M69"/>
    </row>
    <row r="70" spans="5:13" x14ac:dyDescent="0.25">
      <c r="E70"/>
      <c r="M70"/>
    </row>
    <row r="71" spans="5:13" x14ac:dyDescent="0.25">
      <c r="E71"/>
      <c r="M71"/>
    </row>
    <row r="72" spans="5:13" x14ac:dyDescent="0.25">
      <c r="E72"/>
      <c r="M72"/>
    </row>
    <row r="73" spans="5:13" x14ac:dyDescent="0.25">
      <c r="E73"/>
      <c r="M73"/>
    </row>
    <row r="74" spans="5:13" x14ac:dyDescent="0.25">
      <c r="E74"/>
      <c r="M74"/>
    </row>
    <row r="75" spans="5:13" x14ac:dyDescent="0.25">
      <c r="E75"/>
      <c r="M75"/>
    </row>
    <row r="76" spans="5:13" x14ac:dyDescent="0.25">
      <c r="E76"/>
      <c r="M76"/>
    </row>
    <row r="77" spans="5:13" x14ac:dyDescent="0.25">
      <c r="E77"/>
      <c r="M77"/>
    </row>
    <row r="78" spans="5:13" x14ac:dyDescent="0.25">
      <c r="E78"/>
      <c r="M78"/>
    </row>
    <row r="79" spans="5:13" x14ac:dyDescent="0.25">
      <c r="E79"/>
      <c r="M79"/>
    </row>
    <row r="80" spans="5:13" x14ac:dyDescent="0.25">
      <c r="E80"/>
      <c r="M80"/>
    </row>
    <row r="81" spans="5:13" x14ac:dyDescent="0.25">
      <c r="E81"/>
      <c r="M81"/>
    </row>
    <row r="82" spans="5:13" x14ac:dyDescent="0.25">
      <c r="E82"/>
      <c r="M82"/>
    </row>
    <row r="83" spans="5:13" x14ac:dyDescent="0.25">
      <c r="E83"/>
      <c r="M83"/>
    </row>
    <row r="84" spans="5:13" x14ac:dyDescent="0.25">
      <c r="E84"/>
      <c r="M84"/>
    </row>
    <row r="85" spans="5:13" x14ac:dyDescent="0.25">
      <c r="E85"/>
      <c r="M85"/>
    </row>
    <row r="86" spans="5:13" x14ac:dyDescent="0.25">
      <c r="E86"/>
      <c r="M86"/>
    </row>
    <row r="87" spans="5:13" x14ac:dyDescent="0.25">
      <c r="E87"/>
      <c r="M87"/>
    </row>
    <row r="88" spans="5:13" x14ac:dyDescent="0.25">
      <c r="E88"/>
      <c r="M88"/>
    </row>
    <row r="89" spans="5:13" x14ac:dyDescent="0.25">
      <c r="E89"/>
      <c r="M89"/>
    </row>
    <row r="90" spans="5:13" x14ac:dyDescent="0.25">
      <c r="E90"/>
      <c r="M90"/>
    </row>
    <row r="91" spans="5:13" x14ac:dyDescent="0.25">
      <c r="E91"/>
      <c r="M91"/>
    </row>
    <row r="92" spans="5:13" x14ac:dyDescent="0.25">
      <c r="E92"/>
      <c r="M92"/>
    </row>
    <row r="93" spans="5:13" x14ac:dyDescent="0.25">
      <c r="E93"/>
      <c r="M93"/>
    </row>
    <row r="94" spans="5:13" x14ac:dyDescent="0.25">
      <c r="E94"/>
      <c r="M94"/>
    </row>
    <row r="95" spans="5:13" x14ac:dyDescent="0.25">
      <c r="E95"/>
      <c r="M95"/>
    </row>
    <row r="96" spans="5:13" x14ac:dyDescent="0.25">
      <c r="E96"/>
      <c r="M96"/>
    </row>
    <row r="97" spans="5:13" x14ac:dyDescent="0.25">
      <c r="E97"/>
      <c r="M97"/>
    </row>
    <row r="98" spans="5:13" x14ac:dyDescent="0.25">
      <c r="E98"/>
      <c r="M98"/>
    </row>
    <row r="99" spans="5:13" x14ac:dyDescent="0.25">
      <c r="E99"/>
      <c r="M99"/>
    </row>
    <row r="100" spans="5:13" x14ac:dyDescent="0.25">
      <c r="E100"/>
      <c r="M100"/>
    </row>
    <row r="101" spans="5:13" x14ac:dyDescent="0.25">
      <c r="E101"/>
      <c r="M101"/>
    </row>
    <row r="102" spans="5:13" x14ac:dyDescent="0.25">
      <c r="E102"/>
      <c r="M102"/>
    </row>
    <row r="103" spans="5:13" x14ac:dyDescent="0.25">
      <c r="E103"/>
      <c r="M103"/>
    </row>
    <row r="104" spans="5:13" x14ac:dyDescent="0.25">
      <c r="E104"/>
      <c r="M104"/>
    </row>
    <row r="105" spans="5:13" x14ac:dyDescent="0.25">
      <c r="E105"/>
      <c r="M105"/>
    </row>
    <row r="106" spans="5:13" x14ac:dyDescent="0.25">
      <c r="E106"/>
      <c r="M106"/>
    </row>
    <row r="107" spans="5:13" x14ac:dyDescent="0.25">
      <c r="E107"/>
      <c r="M107"/>
    </row>
    <row r="108" spans="5:13" x14ac:dyDescent="0.25">
      <c r="E108"/>
      <c r="M108"/>
    </row>
    <row r="109" spans="5:13" x14ac:dyDescent="0.25">
      <c r="E109"/>
      <c r="M109"/>
    </row>
    <row r="110" spans="5:13" x14ac:dyDescent="0.25">
      <c r="E110"/>
      <c r="M110"/>
    </row>
    <row r="111" spans="5:13" x14ac:dyDescent="0.25">
      <c r="E111"/>
      <c r="M111"/>
    </row>
    <row r="112" spans="5:13" x14ac:dyDescent="0.25">
      <c r="E112"/>
      <c r="M112"/>
    </row>
    <row r="113" spans="5:13" x14ac:dyDescent="0.25">
      <c r="E113"/>
      <c r="M113"/>
    </row>
    <row r="114" spans="5:13" x14ac:dyDescent="0.25">
      <c r="E114"/>
      <c r="M114"/>
    </row>
    <row r="115" spans="5:13" x14ac:dyDescent="0.25">
      <c r="E115"/>
      <c r="M115"/>
    </row>
    <row r="116" spans="5:13" x14ac:dyDescent="0.25">
      <c r="E116"/>
      <c r="M116"/>
    </row>
    <row r="117" spans="5:13" x14ac:dyDescent="0.25">
      <c r="E117"/>
      <c r="M117"/>
    </row>
    <row r="118" spans="5:13" x14ac:dyDescent="0.25">
      <c r="E118"/>
      <c r="M118"/>
    </row>
    <row r="119" spans="5:13" x14ac:dyDescent="0.25">
      <c r="E119"/>
      <c r="M119"/>
    </row>
    <row r="120" spans="5:13" x14ac:dyDescent="0.25">
      <c r="E120"/>
      <c r="M120"/>
    </row>
    <row r="121" spans="5:13" x14ac:dyDescent="0.25">
      <c r="E121"/>
      <c r="M121"/>
    </row>
    <row r="122" spans="5:13" x14ac:dyDescent="0.25">
      <c r="E122"/>
      <c r="M122"/>
    </row>
    <row r="123" spans="5:13" x14ac:dyDescent="0.25">
      <c r="E123"/>
      <c r="M123"/>
    </row>
    <row r="124" spans="5:13" x14ac:dyDescent="0.25">
      <c r="E124"/>
      <c r="M124"/>
    </row>
    <row r="125" spans="5:13" x14ac:dyDescent="0.25">
      <c r="E125"/>
      <c r="M125"/>
    </row>
    <row r="126" spans="5:13" x14ac:dyDescent="0.25">
      <c r="E126"/>
      <c r="M126"/>
    </row>
    <row r="127" spans="5:13" x14ac:dyDescent="0.25">
      <c r="E127"/>
      <c r="M127"/>
    </row>
    <row r="128" spans="5:13" x14ac:dyDescent="0.25">
      <c r="E128"/>
      <c r="M128"/>
    </row>
    <row r="129" spans="5:13" x14ac:dyDescent="0.25">
      <c r="E129"/>
      <c r="M129"/>
    </row>
    <row r="130" spans="5:13" x14ac:dyDescent="0.25">
      <c r="E130"/>
      <c r="M130"/>
    </row>
    <row r="131" spans="5:13" x14ac:dyDescent="0.25">
      <c r="E131"/>
      <c r="M131"/>
    </row>
    <row r="132" spans="5:13" x14ac:dyDescent="0.25">
      <c r="E132"/>
      <c r="M132"/>
    </row>
    <row r="133" spans="5:13" x14ac:dyDescent="0.25">
      <c r="E133"/>
      <c r="M133"/>
    </row>
    <row r="134" spans="5:13" x14ac:dyDescent="0.25">
      <c r="E134"/>
      <c r="M134"/>
    </row>
    <row r="135" spans="5:13" x14ac:dyDescent="0.25">
      <c r="E135"/>
      <c r="M135"/>
    </row>
    <row r="136" spans="5:13" x14ac:dyDescent="0.25">
      <c r="E136"/>
      <c r="M136"/>
    </row>
    <row r="137" spans="5:13" x14ac:dyDescent="0.25">
      <c r="E137"/>
      <c r="M137"/>
    </row>
    <row r="138" spans="5:13" x14ac:dyDescent="0.25">
      <c r="E138"/>
      <c r="M138"/>
    </row>
    <row r="139" spans="5:13" x14ac:dyDescent="0.25">
      <c r="E139"/>
      <c r="M139"/>
    </row>
    <row r="140" spans="5:13" x14ac:dyDescent="0.25">
      <c r="E140"/>
      <c r="M140"/>
    </row>
    <row r="141" spans="5:13" x14ac:dyDescent="0.25">
      <c r="E141"/>
      <c r="M141"/>
    </row>
    <row r="142" spans="5:13" x14ac:dyDescent="0.25">
      <c r="E142"/>
      <c r="M142"/>
    </row>
    <row r="143" spans="5:13" x14ac:dyDescent="0.25">
      <c r="E143"/>
      <c r="M143"/>
    </row>
    <row r="144" spans="5:13" x14ac:dyDescent="0.25">
      <c r="E144"/>
      <c r="M144"/>
    </row>
    <row r="145" spans="5:13" x14ac:dyDescent="0.25">
      <c r="E145"/>
      <c r="M145"/>
    </row>
    <row r="146" spans="5:13" x14ac:dyDescent="0.25">
      <c r="E146"/>
      <c r="M146"/>
    </row>
    <row r="147" spans="5:13" x14ac:dyDescent="0.25">
      <c r="E147"/>
      <c r="M147"/>
    </row>
    <row r="148" spans="5:13" x14ac:dyDescent="0.25">
      <c r="E148"/>
      <c r="M148"/>
    </row>
    <row r="149" spans="5:13" x14ac:dyDescent="0.25">
      <c r="E149"/>
      <c r="M149"/>
    </row>
    <row r="150" spans="5:13" x14ac:dyDescent="0.25">
      <c r="E150"/>
      <c r="M150"/>
    </row>
    <row r="151" spans="5:13" x14ac:dyDescent="0.25">
      <c r="E151"/>
      <c r="M151"/>
    </row>
    <row r="152" spans="5:13" x14ac:dyDescent="0.25">
      <c r="E152"/>
      <c r="M152"/>
    </row>
    <row r="153" spans="5:13" x14ac:dyDescent="0.25">
      <c r="E153"/>
      <c r="M153"/>
    </row>
    <row r="154" spans="5:13" x14ac:dyDescent="0.25">
      <c r="E154"/>
      <c r="M154"/>
    </row>
    <row r="155" spans="5:13" x14ac:dyDescent="0.25">
      <c r="E155"/>
      <c r="M155"/>
    </row>
    <row r="156" spans="5:13" x14ac:dyDescent="0.25">
      <c r="E156"/>
      <c r="M156"/>
    </row>
    <row r="157" spans="5:13" x14ac:dyDescent="0.25">
      <c r="E157"/>
      <c r="M157"/>
    </row>
    <row r="158" spans="5:13" x14ac:dyDescent="0.25">
      <c r="E158"/>
      <c r="M158"/>
    </row>
    <row r="159" spans="5:13" x14ac:dyDescent="0.25">
      <c r="E159"/>
      <c r="M159"/>
    </row>
    <row r="160" spans="5:13" x14ac:dyDescent="0.25">
      <c r="E160"/>
      <c r="M160"/>
    </row>
    <row r="161" spans="5:13" x14ac:dyDescent="0.25">
      <c r="E161"/>
      <c r="M161"/>
    </row>
    <row r="162" spans="5:13" x14ac:dyDescent="0.25">
      <c r="E162"/>
      <c r="M162"/>
    </row>
    <row r="163" spans="5:13" x14ac:dyDescent="0.25">
      <c r="E163"/>
      <c r="M163"/>
    </row>
    <row r="164" spans="5:13" x14ac:dyDescent="0.25">
      <c r="E164"/>
      <c r="M164"/>
    </row>
    <row r="165" spans="5:13" x14ac:dyDescent="0.25">
      <c r="E165"/>
      <c r="M165"/>
    </row>
    <row r="166" spans="5:13" x14ac:dyDescent="0.25">
      <c r="E166"/>
      <c r="M166"/>
    </row>
    <row r="167" spans="5:13" x14ac:dyDescent="0.25">
      <c r="E167"/>
      <c r="M167"/>
    </row>
    <row r="168" spans="5:13" x14ac:dyDescent="0.25">
      <c r="E168"/>
      <c r="M168"/>
    </row>
    <row r="169" spans="5:13" x14ac:dyDescent="0.25">
      <c r="E169"/>
      <c r="M169"/>
    </row>
    <row r="170" spans="5:13" x14ac:dyDescent="0.25">
      <c r="E170"/>
      <c r="M170"/>
    </row>
    <row r="171" spans="5:13" x14ac:dyDescent="0.25">
      <c r="E171"/>
      <c r="M171"/>
    </row>
    <row r="172" spans="5:13" x14ac:dyDescent="0.25">
      <c r="E172"/>
      <c r="M172"/>
    </row>
    <row r="173" spans="5:13" x14ac:dyDescent="0.25">
      <c r="E173"/>
      <c r="M173"/>
    </row>
    <row r="174" spans="5:13" x14ac:dyDescent="0.25">
      <c r="E174"/>
      <c r="M174"/>
    </row>
    <row r="175" spans="5:13" x14ac:dyDescent="0.25">
      <c r="E175"/>
      <c r="M175"/>
    </row>
    <row r="176" spans="5:13" x14ac:dyDescent="0.25">
      <c r="E176"/>
      <c r="M176"/>
    </row>
    <row r="177" spans="5:13" x14ac:dyDescent="0.25">
      <c r="E177"/>
      <c r="M177"/>
    </row>
    <row r="178" spans="5:13" x14ac:dyDescent="0.25">
      <c r="E178"/>
      <c r="M178"/>
    </row>
    <row r="179" spans="5:13" x14ac:dyDescent="0.25">
      <c r="E179"/>
      <c r="M179"/>
    </row>
    <row r="180" spans="5:13" x14ac:dyDescent="0.25">
      <c r="E180"/>
      <c r="M180"/>
    </row>
    <row r="181" spans="5:13" x14ac:dyDescent="0.25">
      <c r="E181"/>
      <c r="M181"/>
    </row>
    <row r="182" spans="5:13" x14ac:dyDescent="0.25">
      <c r="E182"/>
      <c r="M182"/>
    </row>
    <row r="183" spans="5:13" x14ac:dyDescent="0.25">
      <c r="E183"/>
      <c r="M183"/>
    </row>
    <row r="184" spans="5:13" x14ac:dyDescent="0.25">
      <c r="E184"/>
      <c r="M184"/>
    </row>
    <row r="185" spans="5:13" x14ac:dyDescent="0.25">
      <c r="E185"/>
      <c r="M185"/>
    </row>
    <row r="186" spans="5:13" x14ac:dyDescent="0.25">
      <c r="E186"/>
      <c r="M186"/>
    </row>
    <row r="187" spans="5:13" x14ac:dyDescent="0.25">
      <c r="E187"/>
      <c r="M187"/>
    </row>
    <row r="188" spans="5:13" x14ac:dyDescent="0.25">
      <c r="E188"/>
      <c r="M188"/>
    </row>
    <row r="189" spans="5:13" x14ac:dyDescent="0.25">
      <c r="E189"/>
      <c r="M189"/>
    </row>
    <row r="190" spans="5:13" x14ac:dyDescent="0.25">
      <c r="E190"/>
      <c r="M190"/>
    </row>
    <row r="191" spans="5:13" x14ac:dyDescent="0.25">
      <c r="E191"/>
      <c r="M191"/>
    </row>
    <row r="192" spans="5:13" x14ac:dyDescent="0.25">
      <c r="E192"/>
      <c r="M192"/>
    </row>
    <row r="193" spans="5:13" x14ac:dyDescent="0.25">
      <c r="E193"/>
      <c r="M193"/>
    </row>
    <row r="194" spans="5:13" x14ac:dyDescent="0.25">
      <c r="E194"/>
      <c r="M194"/>
    </row>
    <row r="195" spans="5:13" x14ac:dyDescent="0.25">
      <c r="E195"/>
      <c r="M195"/>
    </row>
    <row r="196" spans="5:13" x14ac:dyDescent="0.25">
      <c r="E196"/>
      <c r="M196"/>
    </row>
    <row r="197" spans="5:13" x14ac:dyDescent="0.25">
      <c r="E197"/>
      <c r="M197"/>
    </row>
    <row r="198" spans="5:13" x14ac:dyDescent="0.25">
      <c r="E198"/>
      <c r="M198"/>
    </row>
    <row r="199" spans="5:13" x14ac:dyDescent="0.25">
      <c r="E199"/>
      <c r="M199"/>
    </row>
    <row r="200" spans="5:13" x14ac:dyDescent="0.25">
      <c r="E200"/>
      <c r="M200"/>
    </row>
    <row r="201" spans="5:13" x14ac:dyDescent="0.25">
      <c r="E201"/>
      <c r="M201"/>
    </row>
    <row r="202" spans="5:13" x14ac:dyDescent="0.25">
      <c r="E202"/>
      <c r="M202"/>
    </row>
    <row r="203" spans="5:13" x14ac:dyDescent="0.25">
      <c r="E203"/>
      <c r="M203"/>
    </row>
    <row r="204" spans="5:13" x14ac:dyDescent="0.25">
      <c r="E204"/>
      <c r="M204"/>
    </row>
    <row r="205" spans="5:13" x14ac:dyDescent="0.25">
      <c r="E205"/>
      <c r="M205"/>
    </row>
    <row r="206" spans="5:13" x14ac:dyDescent="0.25">
      <c r="E206"/>
      <c r="M206"/>
    </row>
    <row r="207" spans="5:13" x14ac:dyDescent="0.25">
      <c r="E207"/>
      <c r="M207"/>
    </row>
    <row r="208" spans="5:13" x14ac:dyDescent="0.25">
      <c r="E208"/>
      <c r="M208"/>
    </row>
    <row r="209" spans="5:13" x14ac:dyDescent="0.25">
      <c r="E209"/>
      <c r="M209"/>
    </row>
    <row r="210" spans="5:13" x14ac:dyDescent="0.25">
      <c r="E210"/>
      <c r="M210"/>
    </row>
    <row r="211" spans="5:13" x14ac:dyDescent="0.25">
      <c r="E211"/>
      <c r="M211"/>
    </row>
    <row r="212" spans="5:13" x14ac:dyDescent="0.25">
      <c r="E212"/>
      <c r="M212"/>
    </row>
    <row r="213" spans="5:13" x14ac:dyDescent="0.25">
      <c r="E213"/>
      <c r="M213"/>
    </row>
    <row r="214" spans="5:13" x14ac:dyDescent="0.25">
      <c r="E214"/>
      <c r="M214"/>
    </row>
    <row r="215" spans="5:13" x14ac:dyDescent="0.25">
      <c r="E215"/>
      <c r="M215"/>
    </row>
    <row r="216" spans="5:13" x14ac:dyDescent="0.25">
      <c r="E216"/>
      <c r="M216"/>
    </row>
    <row r="217" spans="5:13" x14ac:dyDescent="0.25">
      <c r="E217"/>
      <c r="M217"/>
    </row>
    <row r="218" spans="5:13" x14ac:dyDescent="0.25">
      <c r="E218"/>
      <c r="M218"/>
    </row>
    <row r="219" spans="5:13" x14ac:dyDescent="0.25">
      <c r="E219"/>
      <c r="M219"/>
    </row>
    <row r="220" spans="5:13" x14ac:dyDescent="0.25">
      <c r="E220"/>
      <c r="M220"/>
    </row>
    <row r="221" spans="5:13" x14ac:dyDescent="0.25">
      <c r="E221"/>
      <c r="M221"/>
    </row>
    <row r="222" spans="5:13" x14ac:dyDescent="0.25">
      <c r="E222"/>
      <c r="M222"/>
    </row>
    <row r="223" spans="5:13" x14ac:dyDescent="0.25">
      <c r="E223"/>
      <c r="M223"/>
    </row>
    <row r="224" spans="5:13" x14ac:dyDescent="0.25">
      <c r="E224"/>
      <c r="M224"/>
    </row>
    <row r="225" spans="5:13" x14ac:dyDescent="0.25">
      <c r="E225"/>
      <c r="M225"/>
    </row>
    <row r="226" spans="5:13" x14ac:dyDescent="0.25">
      <c r="E226"/>
      <c r="M226"/>
    </row>
    <row r="227" spans="5:13" x14ac:dyDescent="0.25">
      <c r="E227"/>
      <c r="M227"/>
    </row>
    <row r="228" spans="5:13" x14ac:dyDescent="0.25">
      <c r="E228"/>
      <c r="M228"/>
    </row>
    <row r="229" spans="5:13" x14ac:dyDescent="0.25">
      <c r="E229"/>
      <c r="M229"/>
    </row>
    <row r="230" spans="5:13" x14ac:dyDescent="0.25">
      <c r="E230"/>
      <c r="M230"/>
    </row>
    <row r="231" spans="5:13" x14ac:dyDescent="0.25">
      <c r="E231"/>
      <c r="M231"/>
    </row>
    <row r="232" spans="5:13" x14ac:dyDescent="0.25">
      <c r="E232"/>
      <c r="M232"/>
    </row>
    <row r="233" spans="5:13" x14ac:dyDescent="0.25">
      <c r="E233"/>
      <c r="M233"/>
    </row>
    <row r="234" spans="5:13" x14ac:dyDescent="0.25">
      <c r="E234"/>
      <c r="M234"/>
    </row>
    <row r="235" spans="5:13" x14ac:dyDescent="0.25">
      <c r="E235"/>
      <c r="M235"/>
    </row>
    <row r="236" spans="5:13" x14ac:dyDescent="0.25">
      <c r="E236"/>
      <c r="M236"/>
    </row>
    <row r="237" spans="5:13" x14ac:dyDescent="0.25">
      <c r="E237"/>
      <c r="M237"/>
    </row>
    <row r="238" spans="5:13" x14ac:dyDescent="0.25">
      <c r="E238"/>
      <c r="M238"/>
    </row>
    <row r="239" spans="5:13" x14ac:dyDescent="0.25">
      <c r="E239"/>
      <c r="M239"/>
    </row>
    <row r="240" spans="5:13" x14ac:dyDescent="0.25">
      <c r="E240"/>
      <c r="M240"/>
    </row>
    <row r="241" spans="5:13" x14ac:dyDescent="0.25">
      <c r="E241"/>
      <c r="M241"/>
    </row>
    <row r="242" spans="5:13" x14ac:dyDescent="0.25">
      <c r="E242"/>
      <c r="M242"/>
    </row>
    <row r="243" spans="5:13" x14ac:dyDescent="0.25">
      <c r="E243"/>
      <c r="M243"/>
    </row>
    <row r="244" spans="5:13" x14ac:dyDescent="0.25">
      <c r="E244"/>
      <c r="M244"/>
    </row>
    <row r="245" spans="5:13" x14ac:dyDescent="0.25">
      <c r="E245"/>
      <c r="M245"/>
    </row>
    <row r="246" spans="5:13" x14ac:dyDescent="0.25">
      <c r="E246"/>
      <c r="M246"/>
    </row>
    <row r="247" spans="5:13" x14ac:dyDescent="0.25">
      <c r="E247"/>
      <c r="M247"/>
    </row>
    <row r="248" spans="5:13" x14ac:dyDescent="0.25">
      <c r="E248"/>
      <c r="M248"/>
    </row>
    <row r="249" spans="5:13" x14ac:dyDescent="0.25">
      <c r="E249"/>
      <c r="M249"/>
    </row>
    <row r="250" spans="5:13" x14ac:dyDescent="0.25">
      <c r="E250"/>
      <c r="M250"/>
    </row>
    <row r="251" spans="5:13" x14ac:dyDescent="0.25">
      <c r="E251"/>
      <c r="M251"/>
    </row>
    <row r="252" spans="5:13" x14ac:dyDescent="0.25">
      <c r="E252"/>
      <c r="M252"/>
    </row>
    <row r="253" spans="5:13" x14ac:dyDescent="0.25">
      <c r="E253"/>
      <c r="M253"/>
    </row>
    <row r="254" spans="5:13" x14ac:dyDescent="0.25">
      <c r="E254"/>
      <c r="M254"/>
    </row>
    <row r="255" spans="5:13" x14ac:dyDescent="0.25">
      <c r="E255"/>
      <c r="M255"/>
    </row>
    <row r="256" spans="5:13" x14ac:dyDescent="0.25">
      <c r="E256"/>
      <c r="M256"/>
    </row>
    <row r="257" spans="5:13" x14ac:dyDescent="0.25">
      <c r="E257"/>
      <c r="M257"/>
    </row>
    <row r="258" spans="5:13" x14ac:dyDescent="0.25">
      <c r="E258"/>
      <c r="M258"/>
    </row>
    <row r="259" spans="5:13" x14ac:dyDescent="0.25">
      <c r="E259"/>
      <c r="M259"/>
    </row>
    <row r="260" spans="5:13" x14ac:dyDescent="0.25">
      <c r="E260"/>
      <c r="M260"/>
    </row>
    <row r="261" spans="5:13" x14ac:dyDescent="0.25">
      <c r="E261"/>
      <c r="M261"/>
    </row>
    <row r="262" spans="5:13" x14ac:dyDescent="0.25">
      <c r="E262"/>
      <c r="M262"/>
    </row>
    <row r="263" spans="5:13" x14ac:dyDescent="0.25">
      <c r="E263"/>
      <c r="M263"/>
    </row>
    <row r="264" spans="5:13" x14ac:dyDescent="0.25">
      <c r="E264"/>
      <c r="M264"/>
    </row>
    <row r="265" spans="5:13" x14ac:dyDescent="0.25">
      <c r="E265"/>
      <c r="M265"/>
    </row>
    <row r="266" spans="5:13" x14ac:dyDescent="0.25">
      <c r="E266"/>
      <c r="M266"/>
    </row>
    <row r="267" spans="5:13" x14ac:dyDescent="0.25">
      <c r="E267"/>
      <c r="M267"/>
    </row>
    <row r="268" spans="5:13" x14ac:dyDescent="0.25">
      <c r="E268"/>
      <c r="M268"/>
    </row>
    <row r="269" spans="5:13" x14ac:dyDescent="0.25">
      <c r="E269"/>
      <c r="M269"/>
    </row>
    <row r="270" spans="5:13" x14ac:dyDescent="0.25">
      <c r="E270"/>
      <c r="M270"/>
    </row>
    <row r="271" spans="5:13" x14ac:dyDescent="0.25">
      <c r="E271"/>
      <c r="M271"/>
    </row>
    <row r="272" spans="5:13" x14ac:dyDescent="0.25">
      <c r="E272"/>
      <c r="M272"/>
    </row>
    <row r="273" spans="5:13" x14ac:dyDescent="0.25">
      <c r="E273"/>
      <c r="M273"/>
    </row>
    <row r="274" spans="5:13" x14ac:dyDescent="0.25">
      <c r="E274"/>
      <c r="M274"/>
    </row>
    <row r="275" spans="5:13" x14ac:dyDescent="0.25">
      <c r="E275"/>
      <c r="M275"/>
    </row>
    <row r="276" spans="5:13" x14ac:dyDescent="0.25">
      <c r="E276"/>
      <c r="M276"/>
    </row>
    <row r="277" spans="5:13" x14ac:dyDescent="0.25">
      <c r="E277"/>
      <c r="M277"/>
    </row>
    <row r="278" spans="5:13" x14ac:dyDescent="0.25">
      <c r="E278"/>
      <c r="M278"/>
    </row>
    <row r="279" spans="5:13" x14ac:dyDescent="0.25">
      <c r="E279"/>
      <c r="M279"/>
    </row>
    <row r="280" spans="5:13" x14ac:dyDescent="0.25">
      <c r="E280"/>
      <c r="M280"/>
    </row>
    <row r="281" spans="5:13" x14ac:dyDescent="0.25">
      <c r="E281"/>
      <c r="M281"/>
    </row>
    <row r="282" spans="5:13" x14ac:dyDescent="0.25">
      <c r="E282"/>
      <c r="M282"/>
    </row>
    <row r="283" spans="5:13" x14ac:dyDescent="0.25">
      <c r="E283"/>
      <c r="M283"/>
    </row>
    <row r="284" spans="5:13" x14ac:dyDescent="0.25">
      <c r="E284"/>
      <c r="M284"/>
    </row>
    <row r="285" spans="5:13" x14ac:dyDescent="0.25">
      <c r="E285"/>
      <c r="M285"/>
    </row>
    <row r="286" spans="5:13" x14ac:dyDescent="0.25">
      <c r="E286"/>
      <c r="M286"/>
    </row>
    <row r="287" spans="5:13" x14ac:dyDescent="0.25">
      <c r="E287"/>
      <c r="M287"/>
    </row>
    <row r="288" spans="5:13" x14ac:dyDescent="0.25">
      <c r="E288"/>
      <c r="M288"/>
    </row>
    <row r="289" spans="5:13" x14ac:dyDescent="0.25">
      <c r="E289"/>
      <c r="M289"/>
    </row>
    <row r="290" spans="5:13" x14ac:dyDescent="0.25">
      <c r="E290"/>
      <c r="M290"/>
    </row>
    <row r="291" spans="5:13" x14ac:dyDescent="0.25">
      <c r="E291"/>
      <c r="M291"/>
    </row>
    <row r="292" spans="5:13" x14ac:dyDescent="0.25">
      <c r="E292"/>
      <c r="M292"/>
    </row>
    <row r="293" spans="5:13" x14ac:dyDescent="0.25">
      <c r="E293"/>
      <c r="M293"/>
    </row>
    <row r="294" spans="5:13" x14ac:dyDescent="0.25">
      <c r="E294"/>
      <c r="M294"/>
    </row>
    <row r="295" spans="5:13" x14ac:dyDescent="0.25">
      <c r="E295"/>
      <c r="M295"/>
    </row>
    <row r="296" spans="5:13" x14ac:dyDescent="0.25">
      <c r="E296"/>
      <c r="M296"/>
    </row>
    <row r="297" spans="5:13" x14ac:dyDescent="0.25">
      <c r="E297"/>
      <c r="M297"/>
    </row>
    <row r="298" spans="5:13" x14ac:dyDescent="0.25">
      <c r="E298"/>
      <c r="M298"/>
    </row>
    <row r="299" spans="5:13" x14ac:dyDescent="0.25">
      <c r="E299"/>
      <c r="M299"/>
    </row>
    <row r="300" spans="5:13" x14ac:dyDescent="0.25">
      <c r="E300"/>
      <c r="M300"/>
    </row>
    <row r="301" spans="5:13" x14ac:dyDescent="0.25">
      <c r="E301"/>
      <c r="M301"/>
    </row>
    <row r="302" spans="5:13" x14ac:dyDescent="0.25">
      <c r="E302"/>
      <c r="M302"/>
    </row>
    <row r="303" spans="5:13" x14ac:dyDescent="0.25">
      <c r="E303"/>
      <c r="M303"/>
    </row>
    <row r="304" spans="5:13" x14ac:dyDescent="0.25">
      <c r="E304"/>
      <c r="M304"/>
    </row>
    <row r="305" spans="5:13" x14ac:dyDescent="0.25">
      <c r="E305"/>
      <c r="M305"/>
    </row>
    <row r="306" spans="5:13" x14ac:dyDescent="0.25">
      <c r="E306"/>
      <c r="M306"/>
    </row>
    <row r="307" spans="5:13" x14ac:dyDescent="0.25">
      <c r="E307"/>
      <c r="M307"/>
    </row>
    <row r="308" spans="5:13" x14ac:dyDescent="0.25">
      <c r="E308"/>
      <c r="M308"/>
    </row>
    <row r="309" spans="5:13" x14ac:dyDescent="0.25">
      <c r="E309"/>
      <c r="M309"/>
    </row>
    <row r="310" spans="5:13" x14ac:dyDescent="0.25">
      <c r="E310"/>
      <c r="M310"/>
    </row>
    <row r="311" spans="5:13" x14ac:dyDescent="0.25">
      <c r="E311"/>
      <c r="M311"/>
    </row>
    <row r="312" spans="5:13" x14ac:dyDescent="0.25">
      <c r="E312"/>
      <c r="M312"/>
    </row>
    <row r="313" spans="5:13" x14ac:dyDescent="0.25">
      <c r="E313"/>
      <c r="M313"/>
    </row>
    <row r="314" spans="5:13" x14ac:dyDescent="0.25">
      <c r="E314"/>
      <c r="M314"/>
    </row>
    <row r="315" spans="5:13" x14ac:dyDescent="0.25">
      <c r="E315"/>
      <c r="M315"/>
    </row>
    <row r="316" spans="5:13" x14ac:dyDescent="0.25">
      <c r="E316"/>
      <c r="M316"/>
    </row>
    <row r="317" spans="5:13" x14ac:dyDescent="0.25">
      <c r="E317"/>
      <c r="M317"/>
    </row>
    <row r="318" spans="5:13" x14ac:dyDescent="0.25">
      <c r="E318"/>
      <c r="M318"/>
    </row>
    <row r="319" spans="5:13" x14ac:dyDescent="0.25">
      <c r="E319"/>
      <c r="M319"/>
    </row>
    <row r="320" spans="5:13" x14ac:dyDescent="0.25">
      <c r="E320"/>
      <c r="M320"/>
    </row>
    <row r="321" spans="5:13" x14ac:dyDescent="0.25">
      <c r="E321"/>
      <c r="M321"/>
    </row>
    <row r="322" spans="5:13" x14ac:dyDescent="0.25">
      <c r="E322"/>
      <c r="M322"/>
    </row>
    <row r="323" spans="5:13" x14ac:dyDescent="0.25">
      <c r="E323"/>
      <c r="M323"/>
    </row>
    <row r="324" spans="5:13" x14ac:dyDescent="0.25">
      <c r="E324"/>
      <c r="M324"/>
    </row>
    <row r="325" spans="5:13" x14ac:dyDescent="0.25">
      <c r="E325"/>
      <c r="M325"/>
    </row>
    <row r="326" spans="5:13" x14ac:dyDescent="0.25">
      <c r="E326"/>
      <c r="M326"/>
    </row>
    <row r="327" spans="5:13" x14ac:dyDescent="0.25">
      <c r="E327"/>
      <c r="M327"/>
    </row>
    <row r="328" spans="5:13" x14ac:dyDescent="0.25">
      <c r="E328"/>
      <c r="M328"/>
    </row>
    <row r="329" spans="5:13" x14ac:dyDescent="0.25">
      <c r="E329"/>
      <c r="M329"/>
    </row>
    <row r="330" spans="5:13" x14ac:dyDescent="0.25">
      <c r="E330"/>
      <c r="M330"/>
    </row>
    <row r="331" spans="5:13" x14ac:dyDescent="0.25">
      <c r="E331"/>
      <c r="M331"/>
    </row>
    <row r="332" spans="5:13" x14ac:dyDescent="0.25">
      <c r="E332"/>
      <c r="M332"/>
    </row>
    <row r="333" spans="5:13" x14ac:dyDescent="0.25">
      <c r="E333"/>
      <c r="M333"/>
    </row>
    <row r="334" spans="5:13" x14ac:dyDescent="0.25">
      <c r="E334"/>
      <c r="M334"/>
    </row>
    <row r="335" spans="5:13" x14ac:dyDescent="0.25">
      <c r="E335"/>
      <c r="M335"/>
    </row>
    <row r="336" spans="5:13" x14ac:dyDescent="0.25">
      <c r="E336"/>
      <c r="M336"/>
    </row>
    <row r="337" spans="5:13" x14ac:dyDescent="0.25">
      <c r="E337"/>
      <c r="M337"/>
    </row>
    <row r="338" spans="5:13" x14ac:dyDescent="0.25">
      <c r="E338"/>
      <c r="M338"/>
    </row>
    <row r="339" spans="5:13" x14ac:dyDescent="0.25">
      <c r="E339"/>
      <c r="M339"/>
    </row>
    <row r="340" spans="5:13" x14ac:dyDescent="0.25">
      <c r="E340"/>
      <c r="M340"/>
    </row>
    <row r="341" spans="5:13" x14ac:dyDescent="0.25">
      <c r="E341"/>
      <c r="M341"/>
    </row>
    <row r="342" spans="5:13" x14ac:dyDescent="0.25">
      <c r="E342"/>
      <c r="M342"/>
    </row>
    <row r="343" spans="5:13" x14ac:dyDescent="0.25">
      <c r="E343"/>
      <c r="M343"/>
    </row>
    <row r="344" spans="5:13" x14ac:dyDescent="0.25">
      <c r="E344"/>
      <c r="M344"/>
    </row>
    <row r="345" spans="5:13" x14ac:dyDescent="0.25">
      <c r="E345"/>
      <c r="M345"/>
    </row>
    <row r="346" spans="5:13" x14ac:dyDescent="0.25">
      <c r="E346"/>
      <c r="M346"/>
    </row>
    <row r="347" spans="5:13" x14ac:dyDescent="0.25">
      <c r="E347"/>
      <c r="M347"/>
    </row>
    <row r="348" spans="5:13" x14ac:dyDescent="0.25">
      <c r="E348"/>
      <c r="M348"/>
    </row>
    <row r="349" spans="5:13" x14ac:dyDescent="0.25">
      <c r="E349"/>
      <c r="M349"/>
    </row>
    <row r="350" spans="5:13" x14ac:dyDescent="0.25">
      <c r="E350"/>
      <c r="M350"/>
    </row>
    <row r="351" spans="5:13" x14ac:dyDescent="0.25">
      <c r="E351"/>
      <c r="M351"/>
    </row>
    <row r="352" spans="5:13" x14ac:dyDescent="0.25">
      <c r="E352"/>
      <c r="M352"/>
    </row>
    <row r="353" spans="5:13" x14ac:dyDescent="0.25">
      <c r="E353"/>
      <c r="M353"/>
    </row>
    <row r="354" spans="5:13" x14ac:dyDescent="0.25">
      <c r="E354"/>
      <c r="M354"/>
    </row>
    <row r="355" spans="5:13" x14ac:dyDescent="0.25">
      <c r="E355"/>
      <c r="M355"/>
    </row>
    <row r="356" spans="5:13" x14ac:dyDescent="0.25">
      <c r="E356"/>
      <c r="M356"/>
    </row>
    <row r="357" spans="5:13" x14ac:dyDescent="0.25">
      <c r="E357"/>
      <c r="M357"/>
    </row>
    <row r="358" spans="5:13" x14ac:dyDescent="0.25">
      <c r="E358"/>
      <c r="M358"/>
    </row>
    <row r="359" spans="5:13" x14ac:dyDescent="0.25">
      <c r="E359"/>
      <c r="M359"/>
    </row>
    <row r="360" spans="5:13" x14ac:dyDescent="0.25">
      <c r="E360"/>
      <c r="M360"/>
    </row>
    <row r="361" spans="5:13" x14ac:dyDescent="0.25">
      <c r="E361"/>
      <c r="M361"/>
    </row>
    <row r="362" spans="5:13" x14ac:dyDescent="0.25">
      <c r="E362"/>
      <c r="M362"/>
    </row>
    <row r="363" spans="5:13" x14ac:dyDescent="0.25">
      <c r="E363"/>
      <c r="M363"/>
    </row>
    <row r="364" spans="5:13" x14ac:dyDescent="0.25">
      <c r="E364"/>
      <c r="M364"/>
    </row>
    <row r="365" spans="5:13" x14ac:dyDescent="0.25">
      <c r="E365"/>
      <c r="M365"/>
    </row>
    <row r="366" spans="5:13" x14ac:dyDescent="0.25">
      <c r="E366"/>
      <c r="M366"/>
    </row>
    <row r="367" spans="5:13" x14ac:dyDescent="0.25">
      <c r="E367"/>
      <c r="M367"/>
    </row>
    <row r="368" spans="5:13" x14ac:dyDescent="0.25">
      <c r="E368"/>
      <c r="M368"/>
    </row>
    <row r="369" spans="5:13" x14ac:dyDescent="0.25">
      <c r="E369"/>
      <c r="M369"/>
    </row>
    <row r="370" spans="5:13" x14ac:dyDescent="0.25">
      <c r="E370"/>
      <c r="M370"/>
    </row>
    <row r="371" spans="5:13" x14ac:dyDescent="0.25">
      <c r="E371"/>
      <c r="M371"/>
    </row>
    <row r="372" spans="5:13" x14ac:dyDescent="0.25">
      <c r="E372"/>
      <c r="M372"/>
    </row>
    <row r="373" spans="5:13" x14ac:dyDescent="0.25">
      <c r="E373"/>
      <c r="M373"/>
    </row>
    <row r="374" spans="5:13" x14ac:dyDescent="0.25">
      <c r="E374"/>
      <c r="M374"/>
    </row>
    <row r="375" spans="5:13" x14ac:dyDescent="0.25">
      <c r="E375"/>
      <c r="M375"/>
    </row>
    <row r="376" spans="5:13" x14ac:dyDescent="0.25">
      <c r="E376"/>
      <c r="M376"/>
    </row>
    <row r="377" spans="5:13" x14ac:dyDescent="0.25">
      <c r="E377"/>
      <c r="M377"/>
    </row>
    <row r="378" spans="5:13" x14ac:dyDescent="0.25">
      <c r="E378"/>
      <c r="M378"/>
    </row>
    <row r="379" spans="5:13" x14ac:dyDescent="0.25">
      <c r="E379"/>
      <c r="M379"/>
    </row>
    <row r="380" spans="5:13" x14ac:dyDescent="0.25">
      <c r="E380"/>
      <c r="M380"/>
    </row>
    <row r="381" spans="5:13" x14ac:dyDescent="0.25">
      <c r="E381"/>
      <c r="M381"/>
    </row>
    <row r="382" spans="5:13" x14ac:dyDescent="0.25">
      <c r="E382"/>
      <c r="M382"/>
    </row>
    <row r="383" spans="5:13" x14ac:dyDescent="0.25">
      <c r="E383"/>
      <c r="M383"/>
    </row>
    <row r="384" spans="5:13" x14ac:dyDescent="0.25">
      <c r="E384"/>
      <c r="M384"/>
    </row>
    <row r="385" spans="5:13" x14ac:dyDescent="0.25">
      <c r="E385"/>
      <c r="M385"/>
    </row>
    <row r="386" spans="5:13" x14ac:dyDescent="0.25">
      <c r="E386"/>
      <c r="M386"/>
    </row>
    <row r="387" spans="5:13" x14ac:dyDescent="0.25">
      <c r="E387"/>
      <c r="M387"/>
    </row>
    <row r="388" spans="5:13" x14ac:dyDescent="0.25">
      <c r="E388"/>
      <c r="M388"/>
    </row>
    <row r="389" spans="5:13" x14ac:dyDescent="0.25">
      <c r="E389"/>
      <c r="M389"/>
    </row>
    <row r="390" spans="5:13" x14ac:dyDescent="0.25">
      <c r="E390"/>
      <c r="M390"/>
    </row>
    <row r="391" spans="5:13" x14ac:dyDescent="0.25">
      <c r="E391"/>
      <c r="M391"/>
    </row>
    <row r="392" spans="5:13" x14ac:dyDescent="0.25">
      <c r="E392"/>
      <c r="M392"/>
    </row>
    <row r="393" spans="5:13" x14ac:dyDescent="0.25">
      <c r="E393"/>
      <c r="M393"/>
    </row>
    <row r="394" spans="5:13" x14ac:dyDescent="0.25">
      <c r="E394"/>
      <c r="M394"/>
    </row>
    <row r="395" spans="5:13" x14ac:dyDescent="0.25">
      <c r="E395"/>
      <c r="M395"/>
    </row>
    <row r="396" spans="5:13" x14ac:dyDescent="0.25">
      <c r="E396"/>
      <c r="M396"/>
    </row>
    <row r="397" spans="5:13" x14ac:dyDescent="0.25">
      <c r="E397"/>
      <c r="M397"/>
    </row>
    <row r="398" spans="5:13" x14ac:dyDescent="0.25">
      <c r="E398"/>
      <c r="M398"/>
    </row>
    <row r="399" spans="5:13" x14ac:dyDescent="0.25">
      <c r="E399"/>
      <c r="M399"/>
    </row>
    <row r="400" spans="5:13" x14ac:dyDescent="0.25">
      <c r="E400"/>
      <c r="M400"/>
    </row>
    <row r="401" spans="5:13" x14ac:dyDescent="0.25">
      <c r="E401"/>
      <c r="M401"/>
    </row>
    <row r="402" spans="5:13" x14ac:dyDescent="0.25">
      <c r="E402"/>
      <c r="M402"/>
    </row>
    <row r="403" spans="5:13" x14ac:dyDescent="0.25">
      <c r="E403"/>
      <c r="M403"/>
    </row>
    <row r="404" spans="5:13" x14ac:dyDescent="0.25">
      <c r="E404"/>
      <c r="M404"/>
    </row>
    <row r="405" spans="5:13" x14ac:dyDescent="0.25">
      <c r="E405"/>
      <c r="M405"/>
    </row>
    <row r="406" spans="5:13" x14ac:dyDescent="0.25">
      <c r="E406"/>
      <c r="M406"/>
    </row>
    <row r="407" spans="5:13" x14ac:dyDescent="0.25">
      <c r="E407"/>
      <c r="M407"/>
    </row>
    <row r="408" spans="5:13" x14ac:dyDescent="0.25">
      <c r="E408"/>
      <c r="M408"/>
    </row>
    <row r="409" spans="5:13" x14ac:dyDescent="0.25">
      <c r="E409"/>
      <c r="M409"/>
    </row>
    <row r="410" spans="5:13" x14ac:dyDescent="0.25">
      <c r="E410"/>
      <c r="M410"/>
    </row>
    <row r="411" spans="5:13" x14ac:dyDescent="0.25">
      <c r="E411"/>
      <c r="M411"/>
    </row>
    <row r="412" spans="5:13" x14ac:dyDescent="0.25">
      <c r="E412"/>
      <c r="M412"/>
    </row>
    <row r="413" spans="5:13" x14ac:dyDescent="0.25">
      <c r="E413"/>
      <c r="M413"/>
    </row>
    <row r="414" spans="5:13" x14ac:dyDescent="0.25">
      <c r="E414"/>
      <c r="M414"/>
    </row>
    <row r="415" spans="5:13" x14ac:dyDescent="0.25">
      <c r="E415"/>
      <c r="M415"/>
    </row>
    <row r="416" spans="5:13" x14ac:dyDescent="0.25">
      <c r="E416"/>
      <c r="M416"/>
    </row>
    <row r="417" spans="5:13" x14ac:dyDescent="0.25">
      <c r="E417"/>
      <c r="M417"/>
    </row>
    <row r="418" spans="5:13" x14ac:dyDescent="0.25">
      <c r="E418"/>
      <c r="M418"/>
    </row>
    <row r="419" spans="5:13" x14ac:dyDescent="0.25">
      <c r="E419"/>
      <c r="M419"/>
    </row>
    <row r="420" spans="5:13" x14ac:dyDescent="0.25">
      <c r="E420"/>
      <c r="M420"/>
    </row>
    <row r="421" spans="5:13" x14ac:dyDescent="0.25">
      <c r="E421"/>
      <c r="M421"/>
    </row>
    <row r="422" spans="5:13" x14ac:dyDescent="0.25">
      <c r="E422"/>
      <c r="M422"/>
    </row>
    <row r="423" spans="5:13" x14ac:dyDescent="0.25">
      <c r="E423"/>
      <c r="M423"/>
    </row>
    <row r="424" spans="5:13" x14ac:dyDescent="0.25">
      <c r="E424"/>
      <c r="M424"/>
    </row>
    <row r="425" spans="5:13" x14ac:dyDescent="0.25">
      <c r="E425"/>
      <c r="M425"/>
    </row>
    <row r="426" spans="5:13" x14ac:dyDescent="0.25">
      <c r="E426"/>
      <c r="M426"/>
    </row>
    <row r="427" spans="5:13" x14ac:dyDescent="0.25">
      <c r="E427"/>
      <c r="M427"/>
    </row>
    <row r="428" spans="5:13" x14ac:dyDescent="0.25">
      <c r="E428"/>
      <c r="M428"/>
    </row>
    <row r="429" spans="5:13" x14ac:dyDescent="0.25">
      <c r="E429"/>
      <c r="M429"/>
    </row>
    <row r="430" spans="5:13" x14ac:dyDescent="0.25">
      <c r="E430"/>
      <c r="M430"/>
    </row>
    <row r="431" spans="5:13" x14ac:dyDescent="0.25">
      <c r="E431"/>
      <c r="M431"/>
    </row>
    <row r="432" spans="5:13" x14ac:dyDescent="0.25">
      <c r="E432"/>
      <c r="M432"/>
    </row>
    <row r="433" spans="5:13" x14ac:dyDescent="0.25">
      <c r="E433"/>
      <c r="M433"/>
    </row>
    <row r="434" spans="5:13" x14ac:dyDescent="0.25">
      <c r="E434"/>
      <c r="M434"/>
    </row>
    <row r="435" spans="5:13" x14ac:dyDescent="0.25">
      <c r="E435"/>
      <c r="M435"/>
    </row>
    <row r="436" spans="5:13" x14ac:dyDescent="0.25">
      <c r="E436"/>
      <c r="M436"/>
    </row>
    <row r="437" spans="5:13" x14ac:dyDescent="0.25">
      <c r="E437"/>
      <c r="M437"/>
    </row>
    <row r="438" spans="5:13" x14ac:dyDescent="0.25">
      <c r="E438"/>
      <c r="M438"/>
    </row>
    <row r="439" spans="5:13" x14ac:dyDescent="0.25">
      <c r="E439"/>
      <c r="M439"/>
    </row>
    <row r="440" spans="5:13" x14ac:dyDescent="0.25">
      <c r="E440"/>
      <c r="M440"/>
    </row>
    <row r="441" spans="5:13" x14ac:dyDescent="0.25">
      <c r="E441"/>
      <c r="M441"/>
    </row>
    <row r="442" spans="5:13" x14ac:dyDescent="0.25">
      <c r="E442"/>
      <c r="M442"/>
    </row>
    <row r="443" spans="5:13" x14ac:dyDescent="0.25">
      <c r="E443"/>
      <c r="M443"/>
    </row>
    <row r="444" spans="5:13" x14ac:dyDescent="0.25">
      <c r="E444"/>
      <c r="M444"/>
    </row>
    <row r="445" spans="5:13" x14ac:dyDescent="0.25">
      <c r="E445"/>
      <c r="M445"/>
    </row>
    <row r="446" spans="5:13" x14ac:dyDescent="0.25">
      <c r="E446"/>
      <c r="M446"/>
    </row>
    <row r="447" spans="5:13" x14ac:dyDescent="0.25">
      <c r="E447"/>
      <c r="M447"/>
    </row>
    <row r="448" spans="5:13" x14ac:dyDescent="0.25">
      <c r="E448"/>
      <c r="M448"/>
    </row>
    <row r="449" spans="5:13" x14ac:dyDescent="0.25">
      <c r="E449"/>
      <c r="M449"/>
    </row>
    <row r="450" spans="5:13" x14ac:dyDescent="0.25">
      <c r="E450"/>
      <c r="M450"/>
    </row>
    <row r="451" spans="5:13" x14ac:dyDescent="0.25">
      <c r="E451"/>
      <c r="M451"/>
    </row>
    <row r="452" spans="5:13" x14ac:dyDescent="0.25">
      <c r="E452"/>
      <c r="M452"/>
    </row>
    <row r="453" spans="5:13" x14ac:dyDescent="0.25">
      <c r="E453"/>
      <c r="M453"/>
    </row>
    <row r="454" spans="5:13" x14ac:dyDescent="0.25">
      <c r="E454"/>
      <c r="M454"/>
    </row>
    <row r="455" spans="5:13" x14ac:dyDescent="0.25">
      <c r="E455"/>
      <c r="M455"/>
    </row>
    <row r="456" spans="5:13" x14ac:dyDescent="0.25">
      <c r="E456"/>
      <c r="M456"/>
    </row>
    <row r="457" spans="5:13" x14ac:dyDescent="0.25">
      <c r="E457"/>
      <c r="M457"/>
    </row>
    <row r="458" spans="5:13" x14ac:dyDescent="0.25">
      <c r="E458"/>
      <c r="M458"/>
    </row>
    <row r="459" spans="5:13" x14ac:dyDescent="0.25">
      <c r="E459"/>
      <c r="M459"/>
    </row>
    <row r="460" spans="5:13" x14ac:dyDescent="0.25">
      <c r="E460"/>
      <c r="M460"/>
    </row>
    <row r="461" spans="5:13" x14ac:dyDescent="0.25">
      <c r="E461"/>
      <c r="M461"/>
    </row>
    <row r="462" spans="5:13" x14ac:dyDescent="0.25">
      <c r="E462"/>
      <c r="M462"/>
    </row>
    <row r="463" spans="5:13" x14ac:dyDescent="0.25">
      <c r="E463"/>
      <c r="M463"/>
    </row>
    <row r="464" spans="5:13" x14ac:dyDescent="0.25">
      <c r="E464"/>
      <c r="M464"/>
    </row>
    <row r="465" spans="5:13" x14ac:dyDescent="0.25">
      <c r="E465"/>
      <c r="M465"/>
    </row>
    <row r="466" spans="5:13" x14ac:dyDescent="0.25">
      <c r="E466"/>
      <c r="M466"/>
    </row>
    <row r="467" spans="5:13" x14ac:dyDescent="0.25">
      <c r="E467"/>
      <c r="M467"/>
    </row>
    <row r="468" spans="5:13" x14ac:dyDescent="0.25">
      <c r="E468"/>
      <c r="M468"/>
    </row>
    <row r="469" spans="5:13" x14ac:dyDescent="0.25">
      <c r="E469"/>
      <c r="M469"/>
    </row>
    <row r="470" spans="5:13" x14ac:dyDescent="0.25">
      <c r="E470"/>
      <c r="M470"/>
    </row>
    <row r="471" spans="5:13" x14ac:dyDescent="0.25">
      <c r="E471"/>
      <c r="M471"/>
    </row>
    <row r="472" spans="5:13" x14ac:dyDescent="0.25">
      <c r="E472"/>
      <c r="M472"/>
    </row>
    <row r="473" spans="5:13" x14ac:dyDescent="0.25">
      <c r="E473"/>
      <c r="M473"/>
    </row>
    <row r="474" spans="5:13" x14ac:dyDescent="0.25">
      <c r="E474"/>
      <c r="M474"/>
    </row>
    <row r="475" spans="5:13" x14ac:dyDescent="0.25">
      <c r="E475"/>
      <c r="M475"/>
    </row>
    <row r="476" spans="5:13" x14ac:dyDescent="0.25">
      <c r="E476"/>
      <c r="M476"/>
    </row>
    <row r="477" spans="5:13" x14ac:dyDescent="0.25">
      <c r="E477"/>
      <c r="M477"/>
    </row>
    <row r="478" spans="5:13" x14ac:dyDescent="0.25">
      <c r="E478"/>
      <c r="M478"/>
    </row>
    <row r="479" spans="5:13" x14ac:dyDescent="0.25">
      <c r="E479"/>
      <c r="M479"/>
    </row>
    <row r="480" spans="5:13" x14ac:dyDescent="0.25">
      <c r="E480"/>
      <c r="M480"/>
    </row>
    <row r="481" spans="5:13" x14ac:dyDescent="0.25">
      <c r="E481"/>
      <c r="M481"/>
    </row>
    <row r="482" spans="5:13" x14ac:dyDescent="0.25">
      <c r="E482"/>
      <c r="M482"/>
    </row>
    <row r="483" spans="5:13" x14ac:dyDescent="0.25">
      <c r="E483"/>
      <c r="M483"/>
    </row>
    <row r="484" spans="5:13" x14ac:dyDescent="0.25">
      <c r="E484"/>
      <c r="M484"/>
    </row>
    <row r="485" spans="5:13" x14ac:dyDescent="0.25">
      <c r="E485"/>
      <c r="M485"/>
    </row>
    <row r="486" spans="5:13" x14ac:dyDescent="0.25">
      <c r="E486"/>
      <c r="M486"/>
    </row>
    <row r="487" spans="5:13" x14ac:dyDescent="0.25">
      <c r="E487"/>
      <c r="M487"/>
    </row>
    <row r="488" spans="5:13" x14ac:dyDescent="0.25">
      <c r="E488"/>
      <c r="M488"/>
    </row>
    <row r="489" spans="5:13" x14ac:dyDescent="0.25">
      <c r="E489"/>
      <c r="M489"/>
    </row>
    <row r="490" spans="5:13" x14ac:dyDescent="0.25">
      <c r="E490"/>
      <c r="M490"/>
    </row>
    <row r="491" spans="5:13" x14ac:dyDescent="0.25">
      <c r="E491"/>
      <c r="M491"/>
    </row>
    <row r="492" spans="5:13" x14ac:dyDescent="0.25">
      <c r="E492"/>
      <c r="M492"/>
    </row>
    <row r="493" spans="5:13" x14ac:dyDescent="0.25">
      <c r="E493"/>
      <c r="M493"/>
    </row>
    <row r="494" spans="5:13" x14ac:dyDescent="0.25">
      <c r="E494"/>
      <c r="M494"/>
    </row>
    <row r="495" spans="5:13" x14ac:dyDescent="0.25">
      <c r="E495"/>
      <c r="M495"/>
    </row>
    <row r="496" spans="5:13" x14ac:dyDescent="0.25">
      <c r="E496"/>
      <c r="M496"/>
    </row>
    <row r="497" spans="5:13" x14ac:dyDescent="0.25">
      <c r="E497"/>
      <c r="M497"/>
    </row>
    <row r="498" spans="5:13" x14ac:dyDescent="0.25">
      <c r="E498"/>
      <c r="M498"/>
    </row>
    <row r="499" spans="5:13" x14ac:dyDescent="0.25">
      <c r="E499"/>
      <c r="M499"/>
    </row>
    <row r="500" spans="5:13" x14ac:dyDescent="0.25">
      <c r="E500"/>
      <c r="M500"/>
    </row>
    <row r="501" spans="5:13" x14ac:dyDescent="0.25">
      <c r="E501"/>
      <c r="M501"/>
    </row>
    <row r="502" spans="5:13" x14ac:dyDescent="0.25">
      <c r="E502"/>
      <c r="M502"/>
    </row>
    <row r="503" spans="5:13" x14ac:dyDescent="0.25">
      <c r="E503"/>
      <c r="M503"/>
    </row>
    <row r="504" spans="5:13" x14ac:dyDescent="0.25">
      <c r="E504"/>
      <c r="M504"/>
    </row>
    <row r="505" spans="5:13" x14ac:dyDescent="0.25">
      <c r="E505"/>
      <c r="M505"/>
    </row>
    <row r="506" spans="5:13" x14ac:dyDescent="0.25">
      <c r="E506"/>
      <c r="M506"/>
    </row>
    <row r="507" spans="5:13" x14ac:dyDescent="0.25">
      <c r="E507"/>
      <c r="M507"/>
    </row>
    <row r="508" spans="5:13" x14ac:dyDescent="0.25">
      <c r="E508"/>
      <c r="M508"/>
    </row>
    <row r="509" spans="5:13" x14ac:dyDescent="0.25">
      <c r="E509"/>
      <c r="M509"/>
    </row>
    <row r="510" spans="5:13" x14ac:dyDescent="0.25">
      <c r="E510"/>
      <c r="M510"/>
    </row>
    <row r="511" spans="5:13" x14ac:dyDescent="0.25">
      <c r="E511"/>
      <c r="M511"/>
    </row>
    <row r="512" spans="5:13" x14ac:dyDescent="0.25">
      <c r="E512"/>
      <c r="M512"/>
    </row>
    <row r="513" spans="5:13" x14ac:dyDescent="0.25">
      <c r="E513"/>
      <c r="M513"/>
    </row>
    <row r="514" spans="5:13" x14ac:dyDescent="0.25">
      <c r="E514"/>
      <c r="M514"/>
    </row>
    <row r="515" spans="5:13" x14ac:dyDescent="0.25">
      <c r="E515"/>
      <c r="M515"/>
    </row>
    <row r="516" spans="5:13" x14ac:dyDescent="0.25">
      <c r="E516"/>
      <c r="M516"/>
    </row>
    <row r="517" spans="5:13" x14ac:dyDescent="0.25">
      <c r="E517"/>
      <c r="M517"/>
    </row>
    <row r="518" spans="5:13" x14ac:dyDescent="0.25">
      <c r="E518"/>
      <c r="M518"/>
    </row>
    <row r="519" spans="5:13" x14ac:dyDescent="0.25">
      <c r="E519"/>
      <c r="M519"/>
    </row>
    <row r="520" spans="5:13" x14ac:dyDescent="0.25">
      <c r="E520"/>
      <c r="M520"/>
    </row>
    <row r="521" spans="5:13" x14ac:dyDescent="0.25">
      <c r="E521"/>
      <c r="M521"/>
    </row>
    <row r="522" spans="5:13" x14ac:dyDescent="0.25">
      <c r="E522"/>
      <c r="M522"/>
    </row>
    <row r="523" spans="5:13" x14ac:dyDescent="0.25">
      <c r="E523"/>
      <c r="M523"/>
    </row>
    <row r="524" spans="5:13" x14ac:dyDescent="0.25">
      <c r="E524"/>
      <c r="M524"/>
    </row>
    <row r="525" spans="5:13" x14ac:dyDescent="0.25">
      <c r="E525"/>
      <c r="M525"/>
    </row>
    <row r="526" spans="5:13" x14ac:dyDescent="0.25">
      <c r="E526"/>
      <c r="M526"/>
    </row>
    <row r="527" spans="5:13" x14ac:dyDescent="0.25">
      <c r="E527"/>
      <c r="M527"/>
    </row>
    <row r="528" spans="5:13" x14ac:dyDescent="0.25">
      <c r="E528"/>
      <c r="M528"/>
    </row>
    <row r="529" spans="5:13" x14ac:dyDescent="0.25">
      <c r="E529"/>
      <c r="M529"/>
    </row>
    <row r="530" spans="5:13" x14ac:dyDescent="0.25">
      <c r="E530"/>
      <c r="M530"/>
    </row>
    <row r="531" spans="5:13" x14ac:dyDescent="0.25">
      <c r="E531"/>
      <c r="M531"/>
    </row>
    <row r="532" spans="5:13" x14ac:dyDescent="0.25">
      <c r="E532"/>
      <c r="M532"/>
    </row>
    <row r="533" spans="5:13" x14ac:dyDescent="0.25">
      <c r="E533"/>
      <c r="M533"/>
    </row>
    <row r="534" spans="5:13" x14ac:dyDescent="0.25">
      <c r="E534"/>
      <c r="M534"/>
    </row>
    <row r="535" spans="5:13" x14ac:dyDescent="0.25">
      <c r="E535"/>
      <c r="M535"/>
    </row>
    <row r="536" spans="5:13" x14ac:dyDescent="0.25">
      <c r="E536"/>
      <c r="M536"/>
    </row>
    <row r="537" spans="5:13" x14ac:dyDescent="0.25">
      <c r="E537"/>
      <c r="M537"/>
    </row>
    <row r="538" spans="5:13" x14ac:dyDescent="0.25">
      <c r="E538"/>
      <c r="M538"/>
    </row>
    <row r="539" spans="5:13" x14ac:dyDescent="0.25">
      <c r="E539"/>
      <c r="M539"/>
    </row>
    <row r="540" spans="5:13" x14ac:dyDescent="0.25">
      <c r="E540"/>
      <c r="M540"/>
    </row>
    <row r="541" spans="5:13" x14ac:dyDescent="0.25">
      <c r="E541"/>
      <c r="M541"/>
    </row>
    <row r="542" spans="5:13" x14ac:dyDescent="0.25">
      <c r="E542"/>
      <c r="M542"/>
    </row>
    <row r="543" spans="5:13" x14ac:dyDescent="0.25">
      <c r="E543"/>
      <c r="M543"/>
    </row>
    <row r="544" spans="5:13" x14ac:dyDescent="0.25">
      <c r="E544"/>
      <c r="M544"/>
    </row>
    <row r="545" spans="5:13" x14ac:dyDescent="0.25">
      <c r="E545"/>
      <c r="M545"/>
    </row>
    <row r="546" spans="5:13" x14ac:dyDescent="0.25">
      <c r="E546"/>
      <c r="M546"/>
    </row>
    <row r="547" spans="5:13" x14ac:dyDescent="0.25">
      <c r="E547"/>
      <c r="M547"/>
    </row>
    <row r="548" spans="5:13" x14ac:dyDescent="0.25">
      <c r="E548"/>
      <c r="M548"/>
    </row>
    <row r="549" spans="5:13" x14ac:dyDescent="0.25">
      <c r="E549"/>
      <c r="M549"/>
    </row>
    <row r="550" spans="5:13" x14ac:dyDescent="0.25">
      <c r="E550"/>
      <c r="M550"/>
    </row>
    <row r="551" spans="5:13" x14ac:dyDescent="0.25">
      <c r="E551"/>
      <c r="M551"/>
    </row>
    <row r="552" spans="5:13" x14ac:dyDescent="0.25">
      <c r="E552"/>
      <c r="M552"/>
    </row>
    <row r="553" spans="5:13" x14ac:dyDescent="0.25">
      <c r="E553"/>
      <c r="M553"/>
    </row>
    <row r="554" spans="5:13" x14ac:dyDescent="0.25">
      <c r="E554"/>
      <c r="M554"/>
    </row>
    <row r="555" spans="5:13" x14ac:dyDescent="0.25">
      <c r="E555"/>
      <c r="M555"/>
    </row>
    <row r="556" spans="5:13" x14ac:dyDescent="0.25">
      <c r="E556"/>
      <c r="M556"/>
    </row>
    <row r="557" spans="5:13" x14ac:dyDescent="0.25">
      <c r="E557"/>
      <c r="M557"/>
    </row>
    <row r="558" spans="5:13" x14ac:dyDescent="0.25">
      <c r="E558"/>
      <c r="M558"/>
    </row>
    <row r="559" spans="5:13" x14ac:dyDescent="0.25">
      <c r="E559"/>
      <c r="M559"/>
    </row>
    <row r="560" spans="5:13" x14ac:dyDescent="0.25">
      <c r="E560"/>
      <c r="M560"/>
    </row>
    <row r="561" spans="5:13" x14ac:dyDescent="0.25">
      <c r="E561"/>
      <c r="M561"/>
    </row>
    <row r="562" spans="5:13" x14ac:dyDescent="0.25">
      <c r="E562"/>
      <c r="M562"/>
    </row>
    <row r="563" spans="5:13" x14ac:dyDescent="0.25">
      <c r="E563"/>
      <c r="M563"/>
    </row>
    <row r="564" spans="5:13" x14ac:dyDescent="0.25">
      <c r="E564"/>
      <c r="M564"/>
    </row>
    <row r="565" spans="5:13" x14ac:dyDescent="0.25">
      <c r="E565"/>
      <c r="M565"/>
    </row>
    <row r="566" spans="5:13" x14ac:dyDescent="0.25">
      <c r="E566"/>
      <c r="M566"/>
    </row>
    <row r="567" spans="5:13" x14ac:dyDescent="0.25">
      <c r="E567"/>
      <c r="M567"/>
    </row>
    <row r="568" spans="5:13" x14ac:dyDescent="0.25">
      <c r="E568"/>
      <c r="M568"/>
    </row>
    <row r="569" spans="5:13" x14ac:dyDescent="0.25">
      <c r="E569"/>
      <c r="M569"/>
    </row>
    <row r="570" spans="5:13" x14ac:dyDescent="0.25">
      <c r="E570"/>
      <c r="M570"/>
    </row>
    <row r="571" spans="5:13" x14ac:dyDescent="0.25">
      <c r="E571"/>
      <c r="M571"/>
    </row>
    <row r="572" spans="5:13" x14ac:dyDescent="0.25">
      <c r="E572"/>
      <c r="M572"/>
    </row>
    <row r="573" spans="5:13" x14ac:dyDescent="0.25">
      <c r="E573"/>
      <c r="M573"/>
    </row>
    <row r="574" spans="5:13" x14ac:dyDescent="0.25">
      <c r="E574"/>
      <c r="M574"/>
    </row>
    <row r="575" spans="5:13" x14ac:dyDescent="0.25">
      <c r="E575"/>
      <c r="M575"/>
    </row>
    <row r="576" spans="5:13" x14ac:dyDescent="0.25">
      <c r="E576"/>
      <c r="M576"/>
    </row>
    <row r="577" spans="5:13" x14ac:dyDescent="0.25">
      <c r="E577"/>
      <c r="M577"/>
    </row>
    <row r="578" spans="5:13" x14ac:dyDescent="0.25">
      <c r="E578"/>
      <c r="M578"/>
    </row>
    <row r="579" spans="5:13" x14ac:dyDescent="0.25">
      <c r="E579"/>
      <c r="M579"/>
    </row>
    <row r="580" spans="5:13" x14ac:dyDescent="0.25">
      <c r="E580"/>
      <c r="M580"/>
    </row>
    <row r="581" spans="5:13" x14ac:dyDescent="0.25">
      <c r="E581"/>
      <c r="M581"/>
    </row>
    <row r="582" spans="5:13" x14ac:dyDescent="0.25">
      <c r="E582"/>
      <c r="M582"/>
    </row>
    <row r="583" spans="5:13" x14ac:dyDescent="0.25">
      <c r="E583"/>
      <c r="M583"/>
    </row>
    <row r="584" spans="5:13" x14ac:dyDescent="0.25">
      <c r="E584"/>
      <c r="M584"/>
    </row>
    <row r="585" spans="5:13" x14ac:dyDescent="0.25">
      <c r="E585"/>
      <c r="M585"/>
    </row>
    <row r="586" spans="5:13" x14ac:dyDescent="0.25">
      <c r="E586"/>
      <c r="M586"/>
    </row>
    <row r="587" spans="5:13" x14ac:dyDescent="0.25">
      <c r="E587"/>
      <c r="M587"/>
    </row>
    <row r="588" spans="5:13" x14ac:dyDescent="0.25">
      <c r="E588"/>
      <c r="M588"/>
    </row>
    <row r="589" spans="5:13" x14ac:dyDescent="0.25">
      <c r="E589"/>
      <c r="M589"/>
    </row>
    <row r="590" spans="5:13" x14ac:dyDescent="0.25">
      <c r="E590"/>
      <c r="M590"/>
    </row>
    <row r="591" spans="5:13" x14ac:dyDescent="0.25">
      <c r="E591"/>
      <c r="M591"/>
    </row>
    <row r="592" spans="5:13" x14ac:dyDescent="0.25">
      <c r="E592"/>
      <c r="M592"/>
    </row>
    <row r="593" spans="5:13" x14ac:dyDescent="0.25">
      <c r="E593"/>
      <c r="M593"/>
    </row>
    <row r="594" spans="5:13" x14ac:dyDescent="0.25">
      <c r="E594"/>
      <c r="M594"/>
    </row>
    <row r="595" spans="5:13" x14ac:dyDescent="0.25">
      <c r="E595"/>
      <c r="M595"/>
    </row>
    <row r="596" spans="5:13" x14ac:dyDescent="0.25">
      <c r="E596"/>
      <c r="M596"/>
    </row>
    <row r="597" spans="5:13" x14ac:dyDescent="0.25">
      <c r="E597"/>
      <c r="M597"/>
    </row>
    <row r="598" spans="5:13" x14ac:dyDescent="0.25">
      <c r="E598"/>
      <c r="M598"/>
    </row>
    <row r="599" spans="5:13" x14ac:dyDescent="0.25">
      <c r="E599"/>
      <c r="M599"/>
    </row>
    <row r="600" spans="5:13" x14ac:dyDescent="0.25">
      <c r="E600"/>
      <c r="M600"/>
    </row>
    <row r="601" spans="5:13" x14ac:dyDescent="0.25">
      <c r="E601"/>
      <c r="M601"/>
    </row>
    <row r="602" spans="5:13" x14ac:dyDescent="0.25">
      <c r="E602"/>
      <c r="M602"/>
    </row>
    <row r="603" spans="5:13" x14ac:dyDescent="0.25">
      <c r="E603"/>
      <c r="M603"/>
    </row>
    <row r="604" spans="5:13" x14ac:dyDescent="0.25">
      <c r="E604"/>
      <c r="M604"/>
    </row>
    <row r="605" spans="5:13" x14ac:dyDescent="0.25">
      <c r="E605"/>
      <c r="M605"/>
    </row>
    <row r="606" spans="5:13" x14ac:dyDescent="0.25">
      <c r="E606"/>
      <c r="M606"/>
    </row>
    <row r="607" spans="5:13" x14ac:dyDescent="0.25">
      <c r="E607"/>
      <c r="M607"/>
    </row>
    <row r="608" spans="5:13" x14ac:dyDescent="0.25">
      <c r="E608"/>
      <c r="M608"/>
    </row>
    <row r="609" spans="5:13" x14ac:dyDescent="0.25">
      <c r="E609"/>
      <c r="M609"/>
    </row>
    <row r="610" spans="5:13" x14ac:dyDescent="0.25">
      <c r="E610"/>
      <c r="M610"/>
    </row>
    <row r="611" spans="5:13" x14ac:dyDescent="0.25">
      <c r="E611"/>
      <c r="M611"/>
    </row>
    <row r="612" spans="5:13" x14ac:dyDescent="0.25">
      <c r="E612"/>
      <c r="M612"/>
    </row>
    <row r="613" spans="5:13" x14ac:dyDescent="0.25">
      <c r="E613"/>
      <c r="M613"/>
    </row>
    <row r="614" spans="5:13" x14ac:dyDescent="0.25">
      <c r="E614"/>
      <c r="M614"/>
    </row>
    <row r="615" spans="5:13" x14ac:dyDescent="0.25">
      <c r="E615"/>
      <c r="M615"/>
    </row>
    <row r="616" spans="5:13" x14ac:dyDescent="0.25">
      <c r="E616"/>
      <c r="M616"/>
    </row>
    <row r="617" spans="5:13" x14ac:dyDescent="0.25">
      <c r="E617"/>
      <c r="M617"/>
    </row>
    <row r="618" spans="5:13" x14ac:dyDescent="0.25">
      <c r="E618"/>
      <c r="M618"/>
    </row>
    <row r="619" spans="5:13" x14ac:dyDescent="0.25">
      <c r="E619"/>
      <c r="M619"/>
    </row>
    <row r="620" spans="5:13" x14ac:dyDescent="0.25">
      <c r="E620"/>
      <c r="M620"/>
    </row>
    <row r="621" spans="5:13" x14ac:dyDescent="0.25">
      <c r="E621"/>
      <c r="M621"/>
    </row>
    <row r="622" spans="5:13" x14ac:dyDescent="0.25">
      <c r="E622"/>
      <c r="M622"/>
    </row>
    <row r="623" spans="5:13" x14ac:dyDescent="0.25">
      <c r="E623"/>
      <c r="M623"/>
    </row>
    <row r="624" spans="5:13" x14ac:dyDescent="0.25">
      <c r="E624"/>
      <c r="M624"/>
    </row>
    <row r="625" spans="5:13" x14ac:dyDescent="0.25">
      <c r="E625"/>
      <c r="M625"/>
    </row>
    <row r="626" spans="5:13" x14ac:dyDescent="0.25">
      <c r="E626"/>
      <c r="M626"/>
    </row>
    <row r="627" spans="5:13" x14ac:dyDescent="0.25">
      <c r="E627"/>
      <c r="M627"/>
    </row>
    <row r="628" spans="5:13" x14ac:dyDescent="0.25">
      <c r="E628"/>
      <c r="M628"/>
    </row>
    <row r="629" spans="5:13" x14ac:dyDescent="0.25">
      <c r="E629"/>
      <c r="M629"/>
    </row>
    <row r="630" spans="5:13" x14ac:dyDescent="0.25">
      <c r="E630"/>
      <c r="M630"/>
    </row>
    <row r="631" spans="5:13" x14ac:dyDescent="0.25">
      <c r="E631"/>
      <c r="M631"/>
    </row>
    <row r="632" spans="5:13" x14ac:dyDescent="0.25">
      <c r="E632"/>
      <c r="M632"/>
    </row>
    <row r="633" spans="5:13" x14ac:dyDescent="0.25">
      <c r="E633"/>
      <c r="M633"/>
    </row>
    <row r="634" spans="5:13" x14ac:dyDescent="0.25">
      <c r="E634"/>
      <c r="M634"/>
    </row>
    <row r="635" spans="5:13" x14ac:dyDescent="0.25">
      <c r="E635"/>
      <c r="M635"/>
    </row>
    <row r="636" spans="5:13" x14ac:dyDescent="0.25">
      <c r="E636"/>
      <c r="M636"/>
    </row>
    <row r="637" spans="5:13" x14ac:dyDescent="0.25">
      <c r="E637"/>
      <c r="M637"/>
    </row>
    <row r="638" spans="5:13" x14ac:dyDescent="0.25">
      <c r="E638"/>
      <c r="M638"/>
    </row>
    <row r="639" spans="5:13" x14ac:dyDescent="0.25">
      <c r="E639"/>
      <c r="M639"/>
    </row>
    <row r="640" spans="5:13" x14ac:dyDescent="0.25">
      <c r="E640"/>
      <c r="M640"/>
    </row>
    <row r="641" spans="5:13" x14ac:dyDescent="0.25">
      <c r="E641"/>
      <c r="M641"/>
    </row>
    <row r="642" spans="5:13" x14ac:dyDescent="0.25">
      <c r="E642"/>
      <c r="M642"/>
    </row>
    <row r="643" spans="5:13" x14ac:dyDescent="0.25">
      <c r="E643"/>
      <c r="M643"/>
    </row>
    <row r="644" spans="5:13" x14ac:dyDescent="0.25">
      <c r="E644"/>
      <c r="M644"/>
    </row>
    <row r="645" spans="5:13" x14ac:dyDescent="0.25">
      <c r="E645"/>
      <c r="M645"/>
    </row>
    <row r="646" spans="5:13" x14ac:dyDescent="0.25">
      <c r="E646"/>
      <c r="M646"/>
    </row>
    <row r="647" spans="5:13" x14ac:dyDescent="0.25">
      <c r="E647"/>
      <c r="M647"/>
    </row>
    <row r="648" spans="5:13" x14ac:dyDescent="0.25">
      <c r="E648"/>
      <c r="M648"/>
    </row>
    <row r="649" spans="5:13" x14ac:dyDescent="0.25">
      <c r="E649"/>
      <c r="M649"/>
    </row>
    <row r="650" spans="5:13" x14ac:dyDescent="0.25">
      <c r="E650"/>
      <c r="M650"/>
    </row>
    <row r="651" spans="5:13" x14ac:dyDescent="0.25">
      <c r="E651"/>
      <c r="M651"/>
    </row>
    <row r="652" spans="5:13" x14ac:dyDescent="0.25">
      <c r="E652"/>
      <c r="M652"/>
    </row>
    <row r="653" spans="5:13" x14ac:dyDescent="0.25">
      <c r="E653"/>
      <c r="M653"/>
    </row>
    <row r="654" spans="5:13" x14ac:dyDescent="0.25">
      <c r="E654"/>
      <c r="M654"/>
    </row>
    <row r="655" spans="5:13" x14ac:dyDescent="0.25">
      <c r="E655"/>
      <c r="M655"/>
    </row>
    <row r="656" spans="5:13" x14ac:dyDescent="0.25">
      <c r="E656"/>
      <c r="M656"/>
    </row>
    <row r="657" spans="5:13" x14ac:dyDescent="0.25">
      <c r="E657"/>
      <c r="M657"/>
    </row>
    <row r="658" spans="5:13" x14ac:dyDescent="0.25">
      <c r="E658"/>
      <c r="M658"/>
    </row>
    <row r="659" spans="5:13" x14ac:dyDescent="0.25">
      <c r="E659"/>
      <c r="M659"/>
    </row>
    <row r="660" spans="5:13" x14ac:dyDescent="0.25">
      <c r="E660"/>
      <c r="M660"/>
    </row>
    <row r="661" spans="5:13" x14ac:dyDescent="0.25">
      <c r="E661"/>
      <c r="M661"/>
    </row>
    <row r="662" spans="5:13" x14ac:dyDescent="0.25">
      <c r="E662"/>
      <c r="M662"/>
    </row>
    <row r="663" spans="5:13" x14ac:dyDescent="0.25">
      <c r="E663"/>
      <c r="M663"/>
    </row>
    <row r="664" spans="5:13" x14ac:dyDescent="0.25">
      <c r="E664"/>
      <c r="M664"/>
    </row>
    <row r="665" spans="5:13" x14ac:dyDescent="0.25">
      <c r="E665"/>
      <c r="M665"/>
    </row>
    <row r="666" spans="5:13" x14ac:dyDescent="0.25">
      <c r="E666"/>
      <c r="M666"/>
    </row>
    <row r="667" spans="5:13" x14ac:dyDescent="0.25">
      <c r="E667"/>
      <c r="M667"/>
    </row>
    <row r="668" spans="5:13" x14ac:dyDescent="0.25">
      <c r="E668"/>
      <c r="M668"/>
    </row>
    <row r="669" spans="5:13" x14ac:dyDescent="0.25">
      <c r="E669"/>
      <c r="M669"/>
    </row>
    <row r="670" spans="5:13" x14ac:dyDescent="0.25">
      <c r="E670"/>
      <c r="M670"/>
    </row>
    <row r="671" spans="5:13" x14ac:dyDescent="0.25">
      <c r="E671"/>
      <c r="M671"/>
    </row>
    <row r="672" spans="5:13" x14ac:dyDescent="0.25">
      <c r="E672"/>
      <c r="M672"/>
    </row>
    <row r="673" spans="5:13" x14ac:dyDescent="0.25">
      <c r="E673"/>
      <c r="M673"/>
    </row>
    <row r="674" spans="5:13" x14ac:dyDescent="0.25">
      <c r="E674"/>
      <c r="M674"/>
    </row>
    <row r="675" spans="5:13" x14ac:dyDescent="0.25">
      <c r="E675"/>
      <c r="M675"/>
    </row>
    <row r="676" spans="5:13" x14ac:dyDescent="0.25">
      <c r="E676"/>
      <c r="M676"/>
    </row>
    <row r="677" spans="5:13" x14ac:dyDescent="0.25">
      <c r="E677"/>
      <c r="M677"/>
    </row>
    <row r="678" spans="5:13" x14ac:dyDescent="0.25">
      <c r="E678"/>
      <c r="M678"/>
    </row>
    <row r="679" spans="5:13" x14ac:dyDescent="0.25">
      <c r="E679"/>
      <c r="M679"/>
    </row>
    <row r="680" spans="5:13" x14ac:dyDescent="0.25">
      <c r="E680"/>
      <c r="M680"/>
    </row>
    <row r="681" spans="5:13" x14ac:dyDescent="0.25">
      <c r="E681"/>
      <c r="M681"/>
    </row>
    <row r="682" spans="5:13" x14ac:dyDescent="0.25">
      <c r="E682"/>
      <c r="M682"/>
    </row>
    <row r="683" spans="5:13" x14ac:dyDescent="0.25">
      <c r="E683"/>
      <c r="M683"/>
    </row>
    <row r="684" spans="5:13" x14ac:dyDescent="0.25">
      <c r="E684"/>
      <c r="M684"/>
    </row>
    <row r="685" spans="5:13" x14ac:dyDescent="0.25">
      <c r="E685"/>
      <c r="M685"/>
    </row>
    <row r="686" spans="5:13" x14ac:dyDescent="0.25">
      <c r="E686"/>
      <c r="M686"/>
    </row>
    <row r="687" spans="5:13" x14ac:dyDescent="0.25">
      <c r="E687"/>
      <c r="M687"/>
    </row>
    <row r="688" spans="5:13" x14ac:dyDescent="0.25">
      <c r="E688"/>
      <c r="M688"/>
    </row>
    <row r="689" spans="5:13" x14ac:dyDescent="0.25">
      <c r="E689"/>
      <c r="M689"/>
    </row>
    <row r="690" spans="5:13" x14ac:dyDescent="0.25">
      <c r="E690"/>
      <c r="M690"/>
    </row>
    <row r="691" spans="5:13" x14ac:dyDescent="0.25">
      <c r="E691"/>
      <c r="M691"/>
    </row>
    <row r="692" spans="5:13" x14ac:dyDescent="0.25">
      <c r="E692"/>
      <c r="M692"/>
    </row>
    <row r="693" spans="5:13" x14ac:dyDescent="0.25">
      <c r="E693"/>
      <c r="M693"/>
    </row>
    <row r="694" spans="5:13" x14ac:dyDescent="0.25">
      <c r="E694"/>
      <c r="M694"/>
    </row>
    <row r="695" spans="5:13" x14ac:dyDescent="0.25">
      <c r="E695"/>
      <c r="M695"/>
    </row>
    <row r="696" spans="5:13" x14ac:dyDescent="0.25">
      <c r="E696"/>
      <c r="M696"/>
    </row>
    <row r="697" spans="5:13" x14ac:dyDescent="0.25">
      <c r="E697"/>
      <c r="M697"/>
    </row>
    <row r="698" spans="5:13" x14ac:dyDescent="0.25">
      <c r="E698"/>
      <c r="M698"/>
    </row>
    <row r="699" spans="5:13" x14ac:dyDescent="0.25">
      <c r="E699"/>
      <c r="M699"/>
    </row>
    <row r="700" spans="5:13" x14ac:dyDescent="0.25">
      <c r="E700"/>
      <c r="M700"/>
    </row>
    <row r="701" spans="5:13" x14ac:dyDescent="0.25">
      <c r="E701"/>
      <c r="M701"/>
    </row>
    <row r="702" spans="5:13" x14ac:dyDescent="0.25">
      <c r="E702"/>
      <c r="M702"/>
    </row>
    <row r="703" spans="5:13" x14ac:dyDescent="0.25">
      <c r="E703"/>
      <c r="M703"/>
    </row>
    <row r="704" spans="5:13" x14ac:dyDescent="0.25">
      <c r="E704"/>
      <c r="M704"/>
    </row>
    <row r="705" spans="5:13" x14ac:dyDescent="0.25">
      <c r="E705"/>
      <c r="M705"/>
    </row>
    <row r="706" spans="5:13" x14ac:dyDescent="0.25">
      <c r="E706"/>
      <c r="M706"/>
    </row>
    <row r="707" spans="5:13" x14ac:dyDescent="0.25">
      <c r="E707"/>
      <c r="M707"/>
    </row>
    <row r="708" spans="5:13" x14ac:dyDescent="0.25">
      <c r="E708"/>
      <c r="M708"/>
    </row>
    <row r="709" spans="5:13" x14ac:dyDescent="0.25">
      <c r="E709"/>
      <c r="M709"/>
    </row>
    <row r="710" spans="5:13" x14ac:dyDescent="0.25">
      <c r="E710"/>
      <c r="M710"/>
    </row>
    <row r="711" spans="5:13" x14ac:dyDescent="0.25">
      <c r="E711"/>
      <c r="M711"/>
    </row>
    <row r="712" spans="5:13" x14ac:dyDescent="0.25">
      <c r="E712"/>
      <c r="M712"/>
    </row>
    <row r="713" spans="5:13" x14ac:dyDescent="0.25">
      <c r="E713"/>
      <c r="M713"/>
    </row>
    <row r="714" spans="5:13" x14ac:dyDescent="0.25">
      <c r="E714"/>
      <c r="M714"/>
    </row>
    <row r="715" spans="5:13" x14ac:dyDescent="0.25">
      <c r="E715"/>
      <c r="M715"/>
    </row>
    <row r="716" spans="5:13" x14ac:dyDescent="0.25">
      <c r="E716"/>
      <c r="M716"/>
    </row>
    <row r="717" spans="5:13" x14ac:dyDescent="0.25">
      <c r="E717"/>
      <c r="M717"/>
    </row>
    <row r="718" spans="5:13" x14ac:dyDescent="0.25">
      <c r="E718"/>
      <c r="M718"/>
    </row>
    <row r="719" spans="5:13" x14ac:dyDescent="0.25">
      <c r="E719"/>
      <c r="M719"/>
    </row>
    <row r="720" spans="5:13" x14ac:dyDescent="0.25">
      <c r="E720"/>
      <c r="M720"/>
    </row>
    <row r="721" spans="5:13" x14ac:dyDescent="0.25">
      <c r="E721"/>
      <c r="M721"/>
    </row>
    <row r="722" spans="5:13" x14ac:dyDescent="0.25">
      <c r="E722"/>
      <c r="M722"/>
    </row>
    <row r="723" spans="5:13" x14ac:dyDescent="0.25">
      <c r="E723"/>
      <c r="M723"/>
    </row>
    <row r="724" spans="5:13" x14ac:dyDescent="0.25">
      <c r="E724"/>
      <c r="M724"/>
    </row>
    <row r="725" spans="5:13" x14ac:dyDescent="0.25">
      <c r="E725"/>
      <c r="M725"/>
    </row>
    <row r="726" spans="5:13" x14ac:dyDescent="0.25">
      <c r="E726"/>
      <c r="M726"/>
    </row>
    <row r="727" spans="5:13" x14ac:dyDescent="0.25">
      <c r="E727"/>
      <c r="M727"/>
    </row>
    <row r="728" spans="5:13" x14ac:dyDescent="0.25">
      <c r="E728"/>
      <c r="M728"/>
    </row>
    <row r="729" spans="5:13" x14ac:dyDescent="0.25">
      <c r="E729"/>
      <c r="M729"/>
    </row>
    <row r="730" spans="5:13" x14ac:dyDescent="0.25">
      <c r="E730"/>
      <c r="M730"/>
    </row>
    <row r="731" spans="5:13" x14ac:dyDescent="0.25">
      <c r="E731"/>
      <c r="M731"/>
    </row>
    <row r="732" spans="5:13" x14ac:dyDescent="0.25">
      <c r="E732"/>
      <c r="M732"/>
    </row>
    <row r="733" spans="5:13" x14ac:dyDescent="0.25">
      <c r="E733"/>
      <c r="M733"/>
    </row>
    <row r="734" spans="5:13" x14ac:dyDescent="0.25">
      <c r="E734"/>
      <c r="M734"/>
    </row>
    <row r="735" spans="5:13" x14ac:dyDescent="0.25">
      <c r="E735"/>
      <c r="M735"/>
    </row>
    <row r="736" spans="5:13" x14ac:dyDescent="0.25">
      <c r="E736"/>
      <c r="M736"/>
    </row>
    <row r="737" spans="5:13" x14ac:dyDescent="0.25">
      <c r="E737"/>
      <c r="M737"/>
    </row>
    <row r="738" spans="5:13" x14ac:dyDescent="0.25">
      <c r="E738"/>
      <c r="M738"/>
    </row>
    <row r="739" spans="5:13" x14ac:dyDescent="0.25">
      <c r="E739"/>
      <c r="M739"/>
    </row>
    <row r="740" spans="5:13" x14ac:dyDescent="0.25">
      <c r="E740"/>
      <c r="M740"/>
    </row>
    <row r="741" spans="5:13" x14ac:dyDescent="0.25">
      <c r="E741"/>
      <c r="M741"/>
    </row>
    <row r="742" spans="5:13" x14ac:dyDescent="0.25">
      <c r="E742"/>
      <c r="M742"/>
    </row>
    <row r="743" spans="5:13" x14ac:dyDescent="0.25">
      <c r="E743"/>
      <c r="M743"/>
    </row>
    <row r="744" spans="5:13" x14ac:dyDescent="0.25">
      <c r="E744"/>
      <c r="M744"/>
    </row>
    <row r="745" spans="5:13" x14ac:dyDescent="0.25">
      <c r="E745"/>
      <c r="M745"/>
    </row>
    <row r="746" spans="5:13" x14ac:dyDescent="0.25">
      <c r="E746"/>
      <c r="M746"/>
    </row>
    <row r="747" spans="5:13" x14ac:dyDescent="0.25">
      <c r="E747"/>
      <c r="M747"/>
    </row>
    <row r="748" spans="5:13" x14ac:dyDescent="0.25">
      <c r="E748"/>
      <c r="M748"/>
    </row>
    <row r="749" spans="5:13" x14ac:dyDescent="0.25">
      <c r="E749"/>
      <c r="M749"/>
    </row>
    <row r="750" spans="5:13" x14ac:dyDescent="0.25">
      <c r="E750"/>
      <c r="M750"/>
    </row>
    <row r="751" spans="5:13" x14ac:dyDescent="0.25">
      <c r="E751"/>
      <c r="M751"/>
    </row>
    <row r="752" spans="5:13" x14ac:dyDescent="0.25">
      <c r="E752"/>
      <c r="M752"/>
    </row>
    <row r="753" spans="5:13" x14ac:dyDescent="0.25">
      <c r="E753"/>
      <c r="M753"/>
    </row>
    <row r="754" spans="5:13" x14ac:dyDescent="0.25">
      <c r="E754"/>
      <c r="M754"/>
    </row>
    <row r="755" spans="5:13" x14ac:dyDescent="0.25">
      <c r="E755"/>
      <c r="M755"/>
    </row>
    <row r="756" spans="5:13" x14ac:dyDescent="0.25">
      <c r="E756"/>
      <c r="M756"/>
    </row>
    <row r="757" spans="5:13" x14ac:dyDescent="0.25">
      <c r="E757"/>
      <c r="M757"/>
    </row>
    <row r="758" spans="5:13" x14ac:dyDescent="0.25">
      <c r="E758"/>
      <c r="M758"/>
    </row>
    <row r="759" spans="5:13" x14ac:dyDescent="0.25">
      <c r="E759"/>
      <c r="M759"/>
    </row>
    <row r="760" spans="5:13" x14ac:dyDescent="0.25">
      <c r="E760"/>
      <c r="M760"/>
    </row>
    <row r="761" spans="5:13" x14ac:dyDescent="0.25">
      <c r="E761"/>
      <c r="M761"/>
    </row>
    <row r="762" spans="5:13" x14ac:dyDescent="0.25">
      <c r="E762"/>
      <c r="M762"/>
    </row>
    <row r="763" spans="5:13" x14ac:dyDescent="0.25">
      <c r="E763"/>
      <c r="M763"/>
    </row>
    <row r="764" spans="5:13" x14ac:dyDescent="0.25">
      <c r="E764"/>
      <c r="M764"/>
    </row>
    <row r="765" spans="5:13" x14ac:dyDescent="0.25">
      <c r="E765"/>
      <c r="M765"/>
    </row>
    <row r="766" spans="5:13" x14ac:dyDescent="0.25">
      <c r="E766"/>
      <c r="M766"/>
    </row>
    <row r="767" spans="5:13" x14ac:dyDescent="0.25">
      <c r="E767"/>
      <c r="M767"/>
    </row>
    <row r="768" spans="5:13" x14ac:dyDescent="0.25">
      <c r="E768"/>
      <c r="M768"/>
    </row>
    <row r="769" spans="5:13" x14ac:dyDescent="0.25">
      <c r="E769"/>
      <c r="M769"/>
    </row>
    <row r="770" spans="5:13" x14ac:dyDescent="0.25">
      <c r="E770"/>
      <c r="M770"/>
    </row>
    <row r="771" spans="5:13" x14ac:dyDescent="0.25">
      <c r="E771"/>
      <c r="M771"/>
    </row>
    <row r="772" spans="5:13" x14ac:dyDescent="0.25">
      <c r="E772"/>
      <c r="M772"/>
    </row>
    <row r="773" spans="5:13" x14ac:dyDescent="0.25">
      <c r="E773"/>
      <c r="M773"/>
    </row>
    <row r="774" spans="5:13" x14ac:dyDescent="0.25">
      <c r="E774"/>
      <c r="M774"/>
    </row>
    <row r="775" spans="5:13" x14ac:dyDescent="0.25">
      <c r="E775"/>
      <c r="M775"/>
    </row>
    <row r="776" spans="5:13" x14ac:dyDescent="0.25">
      <c r="E776"/>
      <c r="M776"/>
    </row>
    <row r="777" spans="5:13" x14ac:dyDescent="0.25">
      <c r="E777"/>
      <c r="M777"/>
    </row>
    <row r="778" spans="5:13" x14ac:dyDescent="0.25">
      <c r="E778"/>
      <c r="M778"/>
    </row>
    <row r="779" spans="5:13" x14ac:dyDescent="0.25">
      <c r="E779"/>
      <c r="M779"/>
    </row>
    <row r="780" spans="5:13" x14ac:dyDescent="0.25">
      <c r="E780"/>
      <c r="M780"/>
    </row>
    <row r="781" spans="5:13" x14ac:dyDescent="0.25">
      <c r="E781"/>
      <c r="M781"/>
    </row>
    <row r="782" spans="5:13" x14ac:dyDescent="0.25">
      <c r="E782"/>
      <c r="M782"/>
    </row>
    <row r="783" spans="5:13" x14ac:dyDescent="0.25">
      <c r="E783"/>
      <c r="M783"/>
    </row>
    <row r="784" spans="5:13" x14ac:dyDescent="0.25">
      <c r="E784"/>
      <c r="M784"/>
    </row>
    <row r="785" spans="5:13" x14ac:dyDescent="0.25">
      <c r="E785"/>
      <c r="M785"/>
    </row>
    <row r="786" spans="5:13" x14ac:dyDescent="0.25">
      <c r="E786"/>
      <c r="M786"/>
    </row>
    <row r="787" spans="5:13" x14ac:dyDescent="0.25">
      <c r="E787"/>
      <c r="M787"/>
    </row>
    <row r="788" spans="5:13" x14ac:dyDescent="0.25">
      <c r="E788"/>
      <c r="M788"/>
    </row>
    <row r="789" spans="5:13" x14ac:dyDescent="0.25">
      <c r="E789"/>
      <c r="M789"/>
    </row>
    <row r="790" spans="5:13" x14ac:dyDescent="0.25">
      <c r="E790"/>
      <c r="M790"/>
    </row>
    <row r="791" spans="5:13" x14ac:dyDescent="0.25">
      <c r="E791"/>
      <c r="M791"/>
    </row>
    <row r="792" spans="5:13" x14ac:dyDescent="0.25">
      <c r="E792"/>
      <c r="M792"/>
    </row>
    <row r="793" spans="5:13" x14ac:dyDescent="0.25">
      <c r="E793"/>
      <c r="M793"/>
    </row>
    <row r="794" spans="5:13" x14ac:dyDescent="0.25">
      <c r="E794"/>
      <c r="M794"/>
    </row>
    <row r="795" spans="5:13" x14ac:dyDescent="0.25">
      <c r="E795"/>
      <c r="M795"/>
    </row>
    <row r="796" spans="5:13" x14ac:dyDescent="0.25">
      <c r="E796"/>
      <c r="M796"/>
    </row>
    <row r="797" spans="5:13" x14ac:dyDescent="0.25">
      <c r="E797"/>
      <c r="M797"/>
    </row>
    <row r="798" spans="5:13" x14ac:dyDescent="0.25">
      <c r="E798"/>
      <c r="M798"/>
    </row>
    <row r="799" spans="5:13" x14ac:dyDescent="0.25">
      <c r="E799"/>
      <c r="M799"/>
    </row>
    <row r="800" spans="5:13" x14ac:dyDescent="0.25">
      <c r="E800"/>
      <c r="M800"/>
    </row>
    <row r="801" spans="5:13" x14ac:dyDescent="0.25">
      <c r="E801"/>
      <c r="M801"/>
    </row>
    <row r="802" spans="5:13" x14ac:dyDescent="0.25">
      <c r="E802"/>
      <c r="M802"/>
    </row>
    <row r="803" spans="5:13" x14ac:dyDescent="0.25">
      <c r="E803"/>
      <c r="M803"/>
    </row>
    <row r="804" spans="5:13" x14ac:dyDescent="0.25">
      <c r="E804"/>
      <c r="M804"/>
    </row>
    <row r="805" spans="5:13" x14ac:dyDescent="0.25">
      <c r="E805"/>
      <c r="M805"/>
    </row>
    <row r="806" spans="5:13" x14ac:dyDescent="0.25">
      <c r="E806"/>
      <c r="M806"/>
    </row>
    <row r="807" spans="5:13" x14ac:dyDescent="0.25">
      <c r="E807"/>
      <c r="M807"/>
    </row>
    <row r="808" spans="5:13" x14ac:dyDescent="0.25">
      <c r="E808"/>
      <c r="M808"/>
    </row>
    <row r="809" spans="5:13" x14ac:dyDescent="0.25">
      <c r="E809"/>
      <c r="M809"/>
    </row>
    <row r="810" spans="5:13" x14ac:dyDescent="0.25">
      <c r="E810"/>
      <c r="M810"/>
    </row>
    <row r="811" spans="5:13" x14ac:dyDescent="0.25">
      <c r="E811"/>
      <c r="M811"/>
    </row>
    <row r="812" spans="5:13" x14ac:dyDescent="0.25">
      <c r="E812"/>
      <c r="M812"/>
    </row>
    <row r="813" spans="5:13" x14ac:dyDescent="0.25">
      <c r="E813"/>
      <c r="M813"/>
    </row>
    <row r="814" spans="5:13" x14ac:dyDescent="0.25">
      <c r="E814"/>
      <c r="M814"/>
    </row>
    <row r="815" spans="5:13" x14ac:dyDescent="0.25">
      <c r="E815"/>
      <c r="M815"/>
    </row>
    <row r="816" spans="5:13" x14ac:dyDescent="0.25">
      <c r="E816"/>
      <c r="M816"/>
    </row>
    <row r="817" spans="5:13" x14ac:dyDescent="0.25">
      <c r="E817"/>
      <c r="M817"/>
    </row>
    <row r="818" spans="5:13" x14ac:dyDescent="0.25">
      <c r="E818"/>
      <c r="M818"/>
    </row>
    <row r="819" spans="5:13" x14ac:dyDescent="0.25">
      <c r="E819"/>
      <c r="M819"/>
    </row>
    <row r="820" spans="5:13" x14ac:dyDescent="0.25">
      <c r="E820"/>
      <c r="M820"/>
    </row>
    <row r="821" spans="5:13" x14ac:dyDescent="0.25">
      <c r="E821"/>
      <c r="M821"/>
    </row>
    <row r="822" spans="5:13" x14ac:dyDescent="0.25">
      <c r="E822"/>
      <c r="M822"/>
    </row>
    <row r="823" spans="5:13" x14ac:dyDescent="0.25">
      <c r="E823"/>
      <c r="M823"/>
    </row>
    <row r="824" spans="5:13" x14ac:dyDescent="0.25">
      <c r="E824"/>
      <c r="M824"/>
    </row>
    <row r="825" spans="5:13" x14ac:dyDescent="0.25">
      <c r="E825"/>
      <c r="M825"/>
    </row>
    <row r="826" spans="5:13" x14ac:dyDescent="0.25">
      <c r="E826"/>
      <c r="M826"/>
    </row>
    <row r="827" spans="5:13" x14ac:dyDescent="0.25">
      <c r="E827"/>
      <c r="M827"/>
    </row>
    <row r="828" spans="5:13" x14ac:dyDescent="0.25">
      <c r="E828"/>
      <c r="M828"/>
    </row>
    <row r="829" spans="5:13" x14ac:dyDescent="0.25">
      <c r="E829"/>
      <c r="M829"/>
    </row>
    <row r="830" spans="5:13" x14ac:dyDescent="0.25">
      <c r="E830"/>
      <c r="M830"/>
    </row>
    <row r="831" spans="5:13" x14ac:dyDescent="0.25">
      <c r="E831"/>
      <c r="M831"/>
    </row>
    <row r="832" spans="5:13" x14ac:dyDescent="0.25">
      <c r="E832"/>
      <c r="M832"/>
    </row>
    <row r="833" spans="5:13" x14ac:dyDescent="0.25">
      <c r="E833"/>
      <c r="M833"/>
    </row>
    <row r="834" spans="5:13" x14ac:dyDescent="0.25">
      <c r="E834"/>
      <c r="M834"/>
    </row>
    <row r="835" spans="5:13" x14ac:dyDescent="0.25">
      <c r="E835"/>
      <c r="M835"/>
    </row>
    <row r="836" spans="5:13" x14ac:dyDescent="0.25">
      <c r="E836"/>
      <c r="M836"/>
    </row>
    <row r="837" spans="5:13" x14ac:dyDescent="0.25">
      <c r="E837"/>
      <c r="M837"/>
    </row>
    <row r="838" spans="5:13" x14ac:dyDescent="0.25">
      <c r="E838"/>
      <c r="M838"/>
    </row>
    <row r="839" spans="5:13" x14ac:dyDescent="0.25">
      <c r="E839"/>
      <c r="M839"/>
    </row>
    <row r="840" spans="5:13" x14ac:dyDescent="0.25">
      <c r="E840"/>
      <c r="M840"/>
    </row>
    <row r="841" spans="5:13" x14ac:dyDescent="0.25">
      <c r="E841"/>
      <c r="M841"/>
    </row>
    <row r="842" spans="5:13" x14ac:dyDescent="0.25">
      <c r="E842"/>
      <c r="M842"/>
    </row>
    <row r="843" spans="5:13" x14ac:dyDescent="0.25">
      <c r="E843"/>
      <c r="M843"/>
    </row>
    <row r="844" spans="5:13" x14ac:dyDescent="0.25">
      <c r="E844"/>
      <c r="M844"/>
    </row>
    <row r="845" spans="5:13" x14ac:dyDescent="0.25">
      <c r="E845"/>
      <c r="M845"/>
    </row>
    <row r="846" spans="5:13" x14ac:dyDescent="0.25">
      <c r="E846"/>
      <c r="M846"/>
    </row>
    <row r="847" spans="5:13" x14ac:dyDescent="0.25">
      <c r="E847"/>
      <c r="M847"/>
    </row>
    <row r="848" spans="5:13" x14ac:dyDescent="0.25">
      <c r="E848"/>
      <c r="M848"/>
    </row>
    <row r="849" spans="5:13" x14ac:dyDescent="0.25">
      <c r="E849"/>
      <c r="M849"/>
    </row>
    <row r="850" spans="5:13" x14ac:dyDescent="0.25">
      <c r="E850"/>
      <c r="M850"/>
    </row>
    <row r="851" spans="5:13" x14ac:dyDescent="0.25">
      <c r="E851"/>
      <c r="M851"/>
    </row>
    <row r="852" spans="5:13" x14ac:dyDescent="0.25">
      <c r="E852"/>
      <c r="M852"/>
    </row>
    <row r="853" spans="5:13" x14ac:dyDescent="0.25">
      <c r="E853"/>
      <c r="M853"/>
    </row>
    <row r="854" spans="5:13" x14ac:dyDescent="0.25">
      <c r="E854"/>
      <c r="M854"/>
    </row>
    <row r="855" spans="5:13" x14ac:dyDescent="0.25">
      <c r="E855"/>
      <c r="M855"/>
    </row>
    <row r="856" spans="5:13" x14ac:dyDescent="0.25">
      <c r="E856"/>
      <c r="M856"/>
    </row>
    <row r="857" spans="5:13" x14ac:dyDescent="0.25">
      <c r="E857"/>
      <c r="M857"/>
    </row>
    <row r="858" spans="5:13" x14ac:dyDescent="0.25">
      <c r="E858"/>
      <c r="M858"/>
    </row>
    <row r="859" spans="5:13" x14ac:dyDescent="0.25">
      <c r="E859"/>
      <c r="M859"/>
    </row>
    <row r="860" spans="5:13" x14ac:dyDescent="0.25">
      <c r="E860"/>
      <c r="M860"/>
    </row>
    <row r="861" spans="5:13" x14ac:dyDescent="0.25">
      <c r="E861"/>
      <c r="M861"/>
    </row>
    <row r="862" spans="5:13" x14ac:dyDescent="0.25">
      <c r="E862"/>
      <c r="M862"/>
    </row>
    <row r="863" spans="5:13" x14ac:dyDescent="0.25">
      <c r="E863"/>
      <c r="M863"/>
    </row>
    <row r="864" spans="5:13" x14ac:dyDescent="0.25">
      <c r="E864"/>
      <c r="M864"/>
    </row>
    <row r="865" spans="5:13" x14ac:dyDescent="0.25">
      <c r="E865"/>
      <c r="M865"/>
    </row>
    <row r="866" spans="5:13" x14ac:dyDescent="0.25">
      <c r="E866"/>
      <c r="M866"/>
    </row>
    <row r="867" spans="5:13" x14ac:dyDescent="0.25">
      <c r="E867"/>
      <c r="M867"/>
    </row>
    <row r="868" spans="5:13" x14ac:dyDescent="0.25">
      <c r="E868"/>
      <c r="M868"/>
    </row>
    <row r="869" spans="5:13" x14ac:dyDescent="0.25">
      <c r="E869"/>
      <c r="M869"/>
    </row>
    <row r="870" spans="5:13" x14ac:dyDescent="0.25">
      <c r="E870"/>
      <c r="M870"/>
    </row>
    <row r="871" spans="5:13" x14ac:dyDescent="0.25">
      <c r="E871"/>
      <c r="M871"/>
    </row>
    <row r="872" spans="5:13" x14ac:dyDescent="0.25">
      <c r="E872"/>
      <c r="M872"/>
    </row>
    <row r="873" spans="5:13" x14ac:dyDescent="0.25">
      <c r="E873"/>
      <c r="M873"/>
    </row>
    <row r="874" spans="5:13" x14ac:dyDescent="0.25">
      <c r="E874"/>
      <c r="M874"/>
    </row>
    <row r="875" spans="5:13" x14ac:dyDescent="0.25">
      <c r="E875"/>
      <c r="M875"/>
    </row>
    <row r="876" spans="5:13" x14ac:dyDescent="0.25">
      <c r="E876"/>
      <c r="M876"/>
    </row>
    <row r="877" spans="5:13" x14ac:dyDescent="0.25">
      <c r="E877"/>
      <c r="M877"/>
    </row>
    <row r="878" spans="5:13" x14ac:dyDescent="0.25">
      <c r="E878"/>
      <c r="M878"/>
    </row>
    <row r="879" spans="5:13" x14ac:dyDescent="0.25">
      <c r="E879"/>
      <c r="M879"/>
    </row>
    <row r="880" spans="5:13" x14ac:dyDescent="0.25">
      <c r="E880"/>
      <c r="M880"/>
    </row>
    <row r="881" spans="5:13" x14ac:dyDescent="0.25">
      <c r="E881"/>
      <c r="M881"/>
    </row>
    <row r="882" spans="5:13" x14ac:dyDescent="0.25">
      <c r="E882"/>
      <c r="M882"/>
    </row>
    <row r="883" spans="5:13" x14ac:dyDescent="0.25">
      <c r="E883"/>
      <c r="M883"/>
    </row>
    <row r="884" spans="5:13" x14ac:dyDescent="0.25">
      <c r="E884"/>
      <c r="M884"/>
    </row>
    <row r="885" spans="5:13" x14ac:dyDescent="0.25">
      <c r="E885"/>
      <c r="M885"/>
    </row>
    <row r="886" spans="5:13" x14ac:dyDescent="0.25">
      <c r="E886"/>
      <c r="M886"/>
    </row>
    <row r="887" spans="5:13" x14ac:dyDescent="0.25">
      <c r="E887"/>
      <c r="M887"/>
    </row>
    <row r="888" spans="5:13" x14ac:dyDescent="0.25">
      <c r="E888"/>
      <c r="M888"/>
    </row>
    <row r="889" spans="5:13" x14ac:dyDescent="0.25">
      <c r="E889"/>
      <c r="M889"/>
    </row>
    <row r="890" spans="5:13" x14ac:dyDescent="0.25">
      <c r="E890"/>
      <c r="M890"/>
    </row>
    <row r="891" spans="5:13" x14ac:dyDescent="0.25">
      <c r="E891"/>
      <c r="M891"/>
    </row>
    <row r="892" spans="5:13" x14ac:dyDescent="0.25">
      <c r="E892"/>
      <c r="M892"/>
    </row>
    <row r="893" spans="5:13" x14ac:dyDescent="0.25">
      <c r="E893"/>
      <c r="M893"/>
    </row>
    <row r="894" spans="5:13" x14ac:dyDescent="0.25">
      <c r="E894"/>
      <c r="M894"/>
    </row>
    <row r="895" spans="5:13" x14ac:dyDescent="0.25">
      <c r="E895"/>
      <c r="M895"/>
    </row>
    <row r="896" spans="5:13" x14ac:dyDescent="0.25">
      <c r="E896"/>
      <c r="M896"/>
    </row>
    <row r="897" spans="5:13" x14ac:dyDescent="0.25">
      <c r="E897"/>
      <c r="M897"/>
    </row>
    <row r="898" spans="5:13" x14ac:dyDescent="0.25">
      <c r="E898"/>
      <c r="M898"/>
    </row>
    <row r="899" spans="5:13" x14ac:dyDescent="0.25">
      <c r="E899"/>
      <c r="M899"/>
    </row>
    <row r="900" spans="5:13" x14ac:dyDescent="0.25">
      <c r="E900"/>
      <c r="M900"/>
    </row>
    <row r="901" spans="5:13" x14ac:dyDescent="0.25">
      <c r="E901"/>
      <c r="M901"/>
    </row>
    <row r="902" spans="5:13" x14ac:dyDescent="0.25">
      <c r="E902"/>
      <c r="M902"/>
    </row>
    <row r="903" spans="5:13" x14ac:dyDescent="0.25">
      <c r="E903"/>
      <c r="M903"/>
    </row>
    <row r="904" spans="5:13" x14ac:dyDescent="0.25">
      <c r="E904"/>
      <c r="M904"/>
    </row>
    <row r="905" spans="5:13" x14ac:dyDescent="0.25">
      <c r="E905"/>
      <c r="M905"/>
    </row>
    <row r="906" spans="5:13" x14ac:dyDescent="0.25">
      <c r="E906"/>
      <c r="M906"/>
    </row>
    <row r="907" spans="5:13" x14ac:dyDescent="0.25">
      <c r="E907"/>
      <c r="M907"/>
    </row>
    <row r="908" spans="5:13" x14ac:dyDescent="0.25">
      <c r="E908"/>
      <c r="M908"/>
    </row>
    <row r="909" spans="5:13" x14ac:dyDescent="0.25">
      <c r="E909"/>
      <c r="M909"/>
    </row>
    <row r="910" spans="5:13" x14ac:dyDescent="0.25">
      <c r="E910"/>
      <c r="M910"/>
    </row>
    <row r="911" spans="5:13" x14ac:dyDescent="0.25">
      <c r="E911"/>
      <c r="M911"/>
    </row>
    <row r="912" spans="5:13" x14ac:dyDescent="0.25">
      <c r="E912"/>
      <c r="M912"/>
    </row>
    <row r="913" spans="5:13" x14ac:dyDescent="0.25">
      <c r="E913"/>
      <c r="M913"/>
    </row>
    <row r="914" spans="5:13" x14ac:dyDescent="0.25">
      <c r="E914"/>
      <c r="M914"/>
    </row>
    <row r="915" spans="5:13" x14ac:dyDescent="0.25">
      <c r="E915"/>
      <c r="M915"/>
    </row>
    <row r="916" spans="5:13" x14ac:dyDescent="0.25">
      <c r="E916"/>
      <c r="M916"/>
    </row>
    <row r="917" spans="5:13" x14ac:dyDescent="0.25">
      <c r="E917"/>
      <c r="M917"/>
    </row>
    <row r="918" spans="5:13" x14ac:dyDescent="0.25">
      <c r="E918"/>
      <c r="M918"/>
    </row>
    <row r="919" spans="5:13" x14ac:dyDescent="0.25">
      <c r="E919"/>
      <c r="M919"/>
    </row>
    <row r="920" spans="5:13" x14ac:dyDescent="0.25">
      <c r="E920"/>
      <c r="M920"/>
    </row>
    <row r="921" spans="5:13" x14ac:dyDescent="0.25">
      <c r="E921"/>
      <c r="M921"/>
    </row>
    <row r="922" spans="5:13" x14ac:dyDescent="0.25">
      <c r="E922"/>
      <c r="M922"/>
    </row>
    <row r="923" spans="5:13" x14ac:dyDescent="0.25">
      <c r="E923"/>
      <c r="M923"/>
    </row>
    <row r="924" spans="5:13" x14ac:dyDescent="0.25">
      <c r="E924"/>
      <c r="M924"/>
    </row>
    <row r="925" spans="5:13" x14ac:dyDescent="0.25">
      <c r="E925"/>
      <c r="M925"/>
    </row>
    <row r="926" spans="5:13" x14ac:dyDescent="0.25">
      <c r="E926"/>
      <c r="M926"/>
    </row>
    <row r="927" spans="5:13" x14ac:dyDescent="0.25">
      <c r="E927"/>
      <c r="M927"/>
    </row>
    <row r="928" spans="5:13" x14ac:dyDescent="0.25">
      <c r="E928"/>
      <c r="M928"/>
    </row>
    <row r="929" spans="5:13" x14ac:dyDescent="0.25">
      <c r="E929"/>
      <c r="M929"/>
    </row>
    <row r="930" spans="5:13" x14ac:dyDescent="0.25">
      <c r="E930"/>
      <c r="M930"/>
    </row>
    <row r="931" spans="5:13" x14ac:dyDescent="0.25">
      <c r="E931"/>
      <c r="M931"/>
    </row>
    <row r="932" spans="5:13" x14ac:dyDescent="0.25">
      <c r="E932"/>
      <c r="M932"/>
    </row>
    <row r="933" spans="5:13" x14ac:dyDescent="0.25">
      <c r="E933"/>
      <c r="M933"/>
    </row>
    <row r="934" spans="5:13" x14ac:dyDescent="0.25">
      <c r="E934"/>
      <c r="M934"/>
    </row>
    <row r="935" spans="5:13" x14ac:dyDescent="0.25">
      <c r="E935"/>
      <c r="M935"/>
    </row>
    <row r="936" spans="5:13" x14ac:dyDescent="0.25">
      <c r="E936"/>
      <c r="M936"/>
    </row>
    <row r="937" spans="5:13" x14ac:dyDescent="0.25">
      <c r="E937"/>
      <c r="M937"/>
    </row>
    <row r="938" spans="5:13" x14ac:dyDescent="0.25">
      <c r="E938"/>
      <c r="M938"/>
    </row>
    <row r="939" spans="5:13" x14ac:dyDescent="0.25">
      <c r="E939"/>
      <c r="M939"/>
    </row>
    <row r="940" spans="5:13" x14ac:dyDescent="0.25">
      <c r="E940"/>
      <c r="M940"/>
    </row>
    <row r="941" spans="5:13" x14ac:dyDescent="0.25">
      <c r="E941"/>
      <c r="M941"/>
    </row>
    <row r="942" spans="5:13" x14ac:dyDescent="0.25">
      <c r="E942"/>
      <c r="M942"/>
    </row>
    <row r="943" spans="5:13" x14ac:dyDescent="0.25">
      <c r="E943"/>
      <c r="M943"/>
    </row>
    <row r="944" spans="5:13" x14ac:dyDescent="0.25">
      <c r="E944"/>
      <c r="M944"/>
    </row>
    <row r="945" spans="5:13" x14ac:dyDescent="0.25">
      <c r="E945"/>
      <c r="M945"/>
    </row>
    <row r="946" spans="5:13" x14ac:dyDescent="0.25">
      <c r="E946"/>
      <c r="M946"/>
    </row>
    <row r="947" spans="5:13" x14ac:dyDescent="0.25">
      <c r="E947"/>
      <c r="M947"/>
    </row>
    <row r="948" spans="5:13" x14ac:dyDescent="0.25">
      <c r="E948"/>
      <c r="M948"/>
    </row>
    <row r="949" spans="5:13" x14ac:dyDescent="0.25">
      <c r="E949"/>
      <c r="M949"/>
    </row>
    <row r="950" spans="5:13" x14ac:dyDescent="0.25">
      <c r="E950"/>
      <c r="M950"/>
    </row>
    <row r="951" spans="5:13" x14ac:dyDescent="0.25">
      <c r="E951"/>
      <c r="M951"/>
    </row>
    <row r="952" spans="5:13" x14ac:dyDescent="0.25">
      <c r="E952"/>
      <c r="M952"/>
    </row>
    <row r="953" spans="5:13" x14ac:dyDescent="0.25">
      <c r="E953"/>
      <c r="M953"/>
    </row>
    <row r="954" spans="5:13" x14ac:dyDescent="0.25">
      <c r="E954"/>
      <c r="M954"/>
    </row>
    <row r="955" spans="5:13" x14ac:dyDescent="0.25">
      <c r="E955"/>
      <c r="M955"/>
    </row>
    <row r="956" spans="5:13" x14ac:dyDescent="0.25">
      <c r="E956"/>
      <c r="M956"/>
    </row>
    <row r="957" spans="5:13" x14ac:dyDescent="0.25">
      <c r="E957"/>
      <c r="M957"/>
    </row>
    <row r="958" spans="5:13" x14ac:dyDescent="0.25">
      <c r="E958"/>
      <c r="M958"/>
    </row>
    <row r="959" spans="5:13" x14ac:dyDescent="0.25">
      <c r="E959"/>
      <c r="M959"/>
    </row>
    <row r="960" spans="5:13" x14ac:dyDescent="0.25">
      <c r="E960"/>
      <c r="M960"/>
    </row>
    <row r="961" spans="5:13" x14ac:dyDescent="0.25">
      <c r="E961"/>
      <c r="M961"/>
    </row>
    <row r="962" spans="5:13" x14ac:dyDescent="0.25">
      <c r="E962"/>
      <c r="M962"/>
    </row>
    <row r="963" spans="5:13" x14ac:dyDescent="0.25">
      <c r="E963"/>
      <c r="M963"/>
    </row>
    <row r="964" spans="5:13" x14ac:dyDescent="0.25">
      <c r="E964"/>
      <c r="M964"/>
    </row>
    <row r="965" spans="5:13" x14ac:dyDescent="0.25">
      <c r="E965"/>
      <c r="M965"/>
    </row>
    <row r="966" spans="5:13" x14ac:dyDescent="0.25">
      <c r="E966"/>
      <c r="M966"/>
    </row>
    <row r="967" spans="5:13" x14ac:dyDescent="0.25">
      <c r="E967"/>
      <c r="M967"/>
    </row>
    <row r="968" spans="5:13" x14ac:dyDescent="0.25">
      <c r="E968"/>
      <c r="M968"/>
    </row>
    <row r="969" spans="5:13" x14ac:dyDescent="0.25">
      <c r="E969"/>
      <c r="M969"/>
    </row>
    <row r="970" spans="5:13" x14ac:dyDescent="0.25">
      <c r="E970"/>
      <c r="M970"/>
    </row>
    <row r="971" spans="5:13" x14ac:dyDescent="0.25">
      <c r="E971"/>
      <c r="M971"/>
    </row>
    <row r="972" spans="5:13" x14ac:dyDescent="0.25">
      <c r="E972"/>
      <c r="M972"/>
    </row>
    <row r="973" spans="5:13" x14ac:dyDescent="0.25">
      <c r="E973"/>
      <c r="M973"/>
    </row>
    <row r="974" spans="5:13" x14ac:dyDescent="0.25">
      <c r="E974"/>
      <c r="M974"/>
    </row>
    <row r="975" spans="5:13" x14ac:dyDescent="0.25">
      <c r="E975"/>
      <c r="M975"/>
    </row>
    <row r="976" spans="5:13" x14ac:dyDescent="0.25">
      <c r="E976"/>
      <c r="M976"/>
    </row>
    <row r="977" spans="5:13" x14ac:dyDescent="0.25">
      <c r="E977"/>
      <c r="M977"/>
    </row>
    <row r="978" spans="5:13" x14ac:dyDescent="0.25">
      <c r="E978"/>
      <c r="M978"/>
    </row>
    <row r="979" spans="5:13" x14ac:dyDescent="0.25">
      <c r="E979"/>
      <c r="M979"/>
    </row>
    <row r="980" spans="5:13" x14ac:dyDescent="0.25">
      <c r="E980"/>
      <c r="M980"/>
    </row>
    <row r="981" spans="5:13" x14ac:dyDescent="0.25">
      <c r="E981"/>
      <c r="M981"/>
    </row>
    <row r="982" spans="5:13" x14ac:dyDescent="0.25">
      <c r="E982"/>
      <c r="M982"/>
    </row>
    <row r="983" spans="5:13" x14ac:dyDescent="0.25">
      <c r="E983"/>
      <c r="M983"/>
    </row>
    <row r="984" spans="5:13" x14ac:dyDescent="0.25">
      <c r="E984"/>
      <c r="M984"/>
    </row>
    <row r="985" spans="5:13" x14ac:dyDescent="0.25">
      <c r="E985"/>
      <c r="M985"/>
    </row>
    <row r="986" spans="5:13" x14ac:dyDescent="0.25">
      <c r="E986"/>
      <c r="M986"/>
    </row>
    <row r="987" spans="5:13" x14ac:dyDescent="0.25">
      <c r="E987"/>
      <c r="M987"/>
    </row>
    <row r="988" spans="5:13" x14ac:dyDescent="0.25">
      <c r="E988"/>
      <c r="M988"/>
    </row>
    <row r="989" spans="5:13" x14ac:dyDescent="0.25">
      <c r="E989"/>
      <c r="M989"/>
    </row>
    <row r="990" spans="5:13" x14ac:dyDescent="0.25">
      <c r="E990"/>
      <c r="M990"/>
    </row>
    <row r="991" spans="5:13" x14ac:dyDescent="0.25">
      <c r="E991"/>
      <c r="M991"/>
    </row>
    <row r="992" spans="5:13" x14ac:dyDescent="0.25">
      <c r="E992"/>
      <c r="M992"/>
    </row>
    <row r="993" spans="5:13" x14ac:dyDescent="0.25">
      <c r="E993"/>
      <c r="M993"/>
    </row>
    <row r="994" spans="5:13" x14ac:dyDescent="0.25">
      <c r="E994"/>
      <c r="M994"/>
    </row>
    <row r="995" spans="5:13" x14ac:dyDescent="0.25">
      <c r="E995"/>
      <c r="M995"/>
    </row>
    <row r="996" spans="5:13" x14ac:dyDescent="0.25">
      <c r="E996"/>
      <c r="M996"/>
    </row>
    <row r="997" spans="5:13" x14ac:dyDescent="0.25">
      <c r="E997"/>
      <c r="M997"/>
    </row>
    <row r="998" spans="5:13" x14ac:dyDescent="0.25">
      <c r="E998"/>
      <c r="M998"/>
    </row>
    <row r="999" spans="5:13" x14ac:dyDescent="0.25">
      <c r="E999"/>
      <c r="M999"/>
    </row>
    <row r="1000" spans="5:13" x14ac:dyDescent="0.25">
      <c r="E1000"/>
      <c r="M1000"/>
    </row>
    <row r="1001" spans="5:13" x14ac:dyDescent="0.25">
      <c r="E1001"/>
      <c r="M1001"/>
    </row>
    <row r="1002" spans="5:13" x14ac:dyDescent="0.25">
      <c r="E1002"/>
      <c r="M1002"/>
    </row>
    <row r="1003" spans="5:13" x14ac:dyDescent="0.25">
      <c r="E1003"/>
      <c r="M1003"/>
    </row>
    <row r="1004" spans="5:13" x14ac:dyDescent="0.25">
      <c r="E1004"/>
      <c r="M1004"/>
    </row>
    <row r="1005" spans="5:13" x14ac:dyDescent="0.25">
      <c r="E1005"/>
      <c r="M1005"/>
    </row>
    <row r="1006" spans="5:13" x14ac:dyDescent="0.25">
      <c r="E1006"/>
      <c r="M1006"/>
    </row>
    <row r="1007" spans="5:13" x14ac:dyDescent="0.25">
      <c r="E1007"/>
      <c r="M1007"/>
    </row>
    <row r="1008" spans="5:13" x14ac:dyDescent="0.25">
      <c r="E1008"/>
      <c r="M1008"/>
    </row>
    <row r="1009" spans="5:13" x14ac:dyDescent="0.25">
      <c r="E1009"/>
      <c r="M1009"/>
    </row>
    <row r="1010" spans="5:13" x14ac:dyDescent="0.25">
      <c r="E1010"/>
      <c r="M1010"/>
    </row>
    <row r="1011" spans="5:13" x14ac:dyDescent="0.25">
      <c r="E1011"/>
      <c r="M1011"/>
    </row>
    <row r="1012" spans="5:13" x14ac:dyDescent="0.25">
      <c r="E1012"/>
      <c r="M1012"/>
    </row>
    <row r="1013" spans="5:13" x14ac:dyDescent="0.25">
      <c r="E1013"/>
      <c r="M1013"/>
    </row>
    <row r="1014" spans="5:13" x14ac:dyDescent="0.25">
      <c r="E1014"/>
      <c r="M1014"/>
    </row>
    <row r="1015" spans="5:13" x14ac:dyDescent="0.25">
      <c r="E1015"/>
      <c r="M1015"/>
    </row>
    <row r="1016" spans="5:13" x14ac:dyDescent="0.25">
      <c r="E1016"/>
      <c r="M1016"/>
    </row>
    <row r="1017" spans="5:13" x14ac:dyDescent="0.25">
      <c r="E1017"/>
      <c r="M1017"/>
    </row>
    <row r="1018" spans="5:13" x14ac:dyDescent="0.25">
      <c r="E1018"/>
      <c r="M1018"/>
    </row>
    <row r="1019" spans="5:13" x14ac:dyDescent="0.25">
      <c r="E1019"/>
      <c r="M1019"/>
    </row>
    <row r="1020" spans="5:13" x14ac:dyDescent="0.25">
      <c r="E1020"/>
      <c r="M1020"/>
    </row>
    <row r="1021" spans="5:13" x14ac:dyDescent="0.25">
      <c r="E1021"/>
      <c r="M1021"/>
    </row>
    <row r="1022" spans="5:13" x14ac:dyDescent="0.25">
      <c r="E1022"/>
      <c r="M1022"/>
    </row>
    <row r="1023" spans="5:13" x14ac:dyDescent="0.25">
      <c r="E1023"/>
      <c r="M1023"/>
    </row>
    <row r="1024" spans="5:13" x14ac:dyDescent="0.25">
      <c r="E1024"/>
      <c r="M1024"/>
    </row>
    <row r="1025" spans="5:13" x14ac:dyDescent="0.25">
      <c r="E1025"/>
      <c r="M1025"/>
    </row>
    <row r="1026" spans="5:13" x14ac:dyDescent="0.25">
      <c r="E1026"/>
      <c r="M1026"/>
    </row>
    <row r="1027" spans="5:13" x14ac:dyDescent="0.25">
      <c r="E1027"/>
      <c r="M1027"/>
    </row>
    <row r="1028" spans="5:13" x14ac:dyDescent="0.25">
      <c r="E1028"/>
      <c r="M1028"/>
    </row>
    <row r="1029" spans="5:13" x14ac:dyDescent="0.25">
      <c r="E1029"/>
      <c r="M1029"/>
    </row>
    <row r="1030" spans="5:13" x14ac:dyDescent="0.25">
      <c r="E1030"/>
      <c r="M1030"/>
    </row>
    <row r="1031" spans="5:13" x14ac:dyDescent="0.25">
      <c r="E1031"/>
      <c r="M1031"/>
    </row>
    <row r="1032" spans="5:13" x14ac:dyDescent="0.25">
      <c r="E1032"/>
      <c r="M1032"/>
    </row>
    <row r="1033" spans="5:13" x14ac:dyDescent="0.25">
      <c r="E1033"/>
      <c r="M1033"/>
    </row>
    <row r="1034" spans="5:13" x14ac:dyDescent="0.25">
      <c r="E1034"/>
      <c r="M1034"/>
    </row>
    <row r="1035" spans="5:13" x14ac:dyDescent="0.25">
      <c r="E1035"/>
      <c r="M1035"/>
    </row>
    <row r="1036" spans="5:13" x14ac:dyDescent="0.25">
      <c r="E1036"/>
      <c r="M1036"/>
    </row>
    <row r="1037" spans="5:13" x14ac:dyDescent="0.25">
      <c r="E1037"/>
      <c r="M1037"/>
    </row>
    <row r="1038" spans="5:13" x14ac:dyDescent="0.25">
      <c r="E1038"/>
      <c r="M1038"/>
    </row>
    <row r="1039" spans="5:13" x14ac:dyDescent="0.25">
      <c r="E1039"/>
      <c r="M1039"/>
    </row>
    <row r="1040" spans="5:13" x14ac:dyDescent="0.25">
      <c r="E1040"/>
      <c r="M1040"/>
    </row>
    <row r="1041" spans="5:13" x14ac:dyDescent="0.25">
      <c r="E1041"/>
      <c r="M1041"/>
    </row>
    <row r="1042" spans="5:13" x14ac:dyDescent="0.25">
      <c r="E1042"/>
      <c r="M1042"/>
    </row>
    <row r="1043" spans="5:13" x14ac:dyDescent="0.25">
      <c r="E1043"/>
      <c r="M1043"/>
    </row>
    <row r="1044" spans="5:13" x14ac:dyDescent="0.25">
      <c r="E1044"/>
      <c r="M1044"/>
    </row>
    <row r="1045" spans="5:13" x14ac:dyDescent="0.25">
      <c r="E1045"/>
      <c r="M1045"/>
    </row>
    <row r="1046" spans="5:13" x14ac:dyDescent="0.25">
      <c r="E1046"/>
      <c r="M1046"/>
    </row>
    <row r="1047" spans="5:13" x14ac:dyDescent="0.25">
      <c r="E1047"/>
      <c r="M1047"/>
    </row>
    <row r="1048" spans="5:13" x14ac:dyDescent="0.25">
      <c r="E1048"/>
      <c r="M1048"/>
    </row>
    <row r="1049" spans="5:13" x14ac:dyDescent="0.25">
      <c r="E1049"/>
      <c r="M1049"/>
    </row>
    <row r="1050" spans="5:13" x14ac:dyDescent="0.25">
      <c r="E1050"/>
      <c r="M1050"/>
    </row>
    <row r="1051" spans="5:13" x14ac:dyDescent="0.25">
      <c r="E1051"/>
      <c r="M1051"/>
    </row>
    <row r="1052" spans="5:13" x14ac:dyDescent="0.25">
      <c r="E1052"/>
      <c r="M1052"/>
    </row>
    <row r="1053" spans="5:13" x14ac:dyDescent="0.25">
      <c r="E1053"/>
      <c r="M1053"/>
    </row>
    <row r="1054" spans="5:13" x14ac:dyDescent="0.25">
      <c r="E1054"/>
      <c r="M1054"/>
    </row>
    <row r="1055" spans="5:13" x14ac:dyDescent="0.25">
      <c r="E1055"/>
      <c r="M1055"/>
    </row>
    <row r="1056" spans="5:13" x14ac:dyDescent="0.25">
      <c r="E1056"/>
      <c r="M1056"/>
    </row>
    <row r="1057" spans="5:13" x14ac:dyDescent="0.25">
      <c r="E1057"/>
      <c r="M1057"/>
    </row>
    <row r="1058" spans="5:13" x14ac:dyDescent="0.25">
      <c r="E1058"/>
      <c r="M1058"/>
    </row>
    <row r="1059" spans="5:13" x14ac:dyDescent="0.25">
      <c r="E1059"/>
      <c r="M1059"/>
    </row>
    <row r="1060" spans="5:13" x14ac:dyDescent="0.25">
      <c r="E1060"/>
      <c r="M1060"/>
    </row>
    <row r="1061" spans="5:13" x14ac:dyDescent="0.25">
      <c r="E1061"/>
      <c r="M1061"/>
    </row>
    <row r="1062" spans="5:13" x14ac:dyDescent="0.25">
      <c r="E1062"/>
      <c r="M1062"/>
    </row>
    <row r="1063" spans="5:13" x14ac:dyDescent="0.25">
      <c r="E1063"/>
      <c r="M1063"/>
    </row>
    <row r="1064" spans="5:13" x14ac:dyDescent="0.25">
      <c r="E1064"/>
      <c r="M1064"/>
    </row>
    <row r="1065" spans="5:13" x14ac:dyDescent="0.25">
      <c r="E1065"/>
      <c r="M1065"/>
    </row>
    <row r="1066" spans="5:13" x14ac:dyDescent="0.25">
      <c r="E1066"/>
      <c r="M1066"/>
    </row>
    <row r="1067" spans="5:13" x14ac:dyDescent="0.25">
      <c r="E1067"/>
      <c r="M1067"/>
    </row>
    <row r="1068" spans="5:13" x14ac:dyDescent="0.25">
      <c r="E1068"/>
      <c r="M1068"/>
    </row>
    <row r="1069" spans="5:13" x14ac:dyDescent="0.25">
      <c r="E1069"/>
      <c r="M1069"/>
    </row>
    <row r="1070" spans="5:13" x14ac:dyDescent="0.25">
      <c r="E1070"/>
      <c r="M1070"/>
    </row>
    <row r="1071" spans="5:13" x14ac:dyDescent="0.25">
      <c r="E1071"/>
      <c r="M1071"/>
    </row>
    <row r="1072" spans="5:13" x14ac:dyDescent="0.25">
      <c r="E1072"/>
      <c r="M1072"/>
    </row>
    <row r="1073" spans="5:13" x14ac:dyDescent="0.25">
      <c r="E1073"/>
      <c r="M1073"/>
    </row>
    <row r="1074" spans="5:13" x14ac:dyDescent="0.25">
      <c r="E1074"/>
      <c r="M1074"/>
    </row>
    <row r="1075" spans="5:13" x14ac:dyDescent="0.25">
      <c r="E1075"/>
      <c r="M1075"/>
    </row>
    <row r="1076" spans="5:13" x14ac:dyDescent="0.25">
      <c r="E1076"/>
      <c r="M1076"/>
    </row>
    <row r="1077" spans="5:13" x14ac:dyDescent="0.25">
      <c r="E1077"/>
      <c r="M1077"/>
    </row>
    <row r="1078" spans="5:13" x14ac:dyDescent="0.25">
      <c r="E1078"/>
      <c r="M1078"/>
    </row>
    <row r="1079" spans="5:13" x14ac:dyDescent="0.25">
      <c r="E1079"/>
      <c r="M1079"/>
    </row>
    <row r="1080" spans="5:13" x14ac:dyDescent="0.25">
      <c r="E1080"/>
      <c r="M1080"/>
    </row>
    <row r="1081" spans="5:13" x14ac:dyDescent="0.25">
      <c r="E1081"/>
      <c r="M1081"/>
    </row>
    <row r="1082" spans="5:13" x14ac:dyDescent="0.25">
      <c r="E1082"/>
      <c r="M1082"/>
    </row>
    <row r="1083" spans="5:13" x14ac:dyDescent="0.25">
      <c r="E1083"/>
      <c r="M1083"/>
    </row>
    <row r="1084" spans="5:13" x14ac:dyDescent="0.25">
      <c r="E1084"/>
      <c r="M1084"/>
    </row>
    <row r="1085" spans="5:13" x14ac:dyDescent="0.25">
      <c r="E1085"/>
      <c r="M1085"/>
    </row>
    <row r="1086" spans="5:13" x14ac:dyDescent="0.25">
      <c r="E1086"/>
      <c r="M1086"/>
    </row>
    <row r="1087" spans="5:13" x14ac:dyDescent="0.25">
      <c r="E1087"/>
      <c r="M1087"/>
    </row>
    <row r="1088" spans="5:13" x14ac:dyDescent="0.25">
      <c r="E1088"/>
      <c r="M1088"/>
    </row>
    <row r="1089" spans="5:13" x14ac:dyDescent="0.25">
      <c r="E1089"/>
      <c r="M1089"/>
    </row>
    <row r="1090" spans="5:13" x14ac:dyDescent="0.25">
      <c r="E1090"/>
      <c r="M1090"/>
    </row>
    <row r="1091" spans="5:13" x14ac:dyDescent="0.25">
      <c r="E1091"/>
      <c r="M1091"/>
    </row>
    <row r="1092" spans="5:13" x14ac:dyDescent="0.25">
      <c r="E1092"/>
      <c r="M1092"/>
    </row>
    <row r="1093" spans="5:13" x14ac:dyDescent="0.25">
      <c r="E1093"/>
      <c r="M1093"/>
    </row>
    <row r="1094" spans="5:13" x14ac:dyDescent="0.25">
      <c r="E1094"/>
      <c r="M1094"/>
    </row>
    <row r="1095" spans="5:13" x14ac:dyDescent="0.25">
      <c r="E1095"/>
      <c r="M1095"/>
    </row>
    <row r="1096" spans="5:13" x14ac:dyDescent="0.25">
      <c r="E1096"/>
      <c r="M1096"/>
    </row>
    <row r="1097" spans="5:13" x14ac:dyDescent="0.25">
      <c r="E1097"/>
      <c r="M1097"/>
    </row>
    <row r="1098" spans="5:13" x14ac:dyDescent="0.25">
      <c r="E1098"/>
      <c r="M1098"/>
    </row>
    <row r="1099" spans="5:13" x14ac:dyDescent="0.25">
      <c r="E1099"/>
      <c r="M1099"/>
    </row>
    <row r="1100" spans="5:13" x14ac:dyDescent="0.25">
      <c r="E1100"/>
      <c r="M1100"/>
    </row>
    <row r="1101" spans="5:13" x14ac:dyDescent="0.25">
      <c r="E1101"/>
      <c r="M1101"/>
    </row>
    <row r="1102" spans="5:13" x14ac:dyDescent="0.25">
      <c r="E1102"/>
      <c r="M1102"/>
    </row>
    <row r="1103" spans="5:13" x14ac:dyDescent="0.25">
      <c r="E1103"/>
      <c r="M1103"/>
    </row>
    <row r="1104" spans="5:13" x14ac:dyDescent="0.25">
      <c r="E1104"/>
      <c r="M1104"/>
    </row>
    <row r="1105" spans="5:13" x14ac:dyDescent="0.25">
      <c r="E1105"/>
      <c r="M1105"/>
    </row>
    <row r="1106" spans="5:13" x14ac:dyDescent="0.25">
      <c r="E1106"/>
      <c r="M1106"/>
    </row>
    <row r="1107" spans="5:13" x14ac:dyDescent="0.25">
      <c r="E1107"/>
      <c r="M1107"/>
    </row>
    <row r="1108" spans="5:13" x14ac:dyDescent="0.25">
      <c r="E1108"/>
      <c r="M1108"/>
    </row>
    <row r="1109" spans="5:13" x14ac:dyDescent="0.25">
      <c r="E1109"/>
      <c r="M1109"/>
    </row>
    <row r="1110" spans="5:13" x14ac:dyDescent="0.25">
      <c r="E1110"/>
      <c r="M1110"/>
    </row>
    <row r="1111" spans="5:13" x14ac:dyDescent="0.25">
      <c r="E1111"/>
      <c r="M1111"/>
    </row>
    <row r="1112" spans="5:13" x14ac:dyDescent="0.25">
      <c r="E1112"/>
      <c r="M1112"/>
    </row>
    <row r="1113" spans="5:13" x14ac:dyDescent="0.25">
      <c r="E1113"/>
      <c r="M1113"/>
    </row>
    <row r="1114" spans="5:13" x14ac:dyDescent="0.25">
      <c r="E1114"/>
      <c r="M1114"/>
    </row>
    <row r="1115" spans="5:13" x14ac:dyDescent="0.25">
      <c r="E1115"/>
      <c r="M1115"/>
    </row>
    <row r="1116" spans="5:13" x14ac:dyDescent="0.25">
      <c r="E1116"/>
      <c r="M1116"/>
    </row>
    <row r="1117" spans="5:13" x14ac:dyDescent="0.25">
      <c r="E1117"/>
      <c r="M1117"/>
    </row>
    <row r="1118" spans="5:13" x14ac:dyDescent="0.25">
      <c r="E1118"/>
      <c r="M1118"/>
    </row>
    <row r="1119" spans="5:13" x14ac:dyDescent="0.25">
      <c r="E1119"/>
      <c r="M1119"/>
    </row>
    <row r="1120" spans="5:13" x14ac:dyDescent="0.25">
      <c r="E1120"/>
      <c r="M1120"/>
    </row>
    <row r="1121" spans="5:13" x14ac:dyDescent="0.25">
      <c r="E1121"/>
      <c r="M1121"/>
    </row>
    <row r="1122" spans="5:13" x14ac:dyDescent="0.25">
      <c r="E1122"/>
      <c r="M1122"/>
    </row>
    <row r="1123" spans="5:13" x14ac:dyDescent="0.25">
      <c r="E1123"/>
      <c r="M1123"/>
    </row>
    <row r="1124" spans="5:13" x14ac:dyDescent="0.25">
      <c r="E1124"/>
      <c r="M1124"/>
    </row>
    <row r="1125" spans="5:13" x14ac:dyDescent="0.25">
      <c r="E1125"/>
      <c r="M1125"/>
    </row>
    <row r="1126" spans="5:13" x14ac:dyDescent="0.25">
      <c r="E1126"/>
      <c r="M1126"/>
    </row>
    <row r="1127" spans="5:13" x14ac:dyDescent="0.25">
      <c r="E1127"/>
      <c r="M1127"/>
    </row>
    <row r="1128" spans="5:13" x14ac:dyDescent="0.25">
      <c r="E1128"/>
      <c r="M1128"/>
    </row>
    <row r="1129" spans="5:13" x14ac:dyDescent="0.25">
      <c r="E1129"/>
      <c r="M1129"/>
    </row>
    <row r="1130" spans="5:13" x14ac:dyDescent="0.25">
      <c r="E1130"/>
      <c r="M1130"/>
    </row>
    <row r="1131" spans="5:13" x14ac:dyDescent="0.25">
      <c r="E1131"/>
      <c r="M1131"/>
    </row>
    <row r="1132" spans="5:13" x14ac:dyDescent="0.25">
      <c r="E1132"/>
      <c r="M1132"/>
    </row>
    <row r="1133" spans="5:13" x14ac:dyDescent="0.25">
      <c r="E1133"/>
      <c r="M1133"/>
    </row>
    <row r="1134" spans="5:13" x14ac:dyDescent="0.25">
      <c r="E1134"/>
      <c r="M1134"/>
    </row>
    <row r="1135" spans="5:13" x14ac:dyDescent="0.25">
      <c r="E1135"/>
      <c r="M1135"/>
    </row>
    <row r="1136" spans="5:13" x14ac:dyDescent="0.25">
      <c r="E1136"/>
      <c r="M1136"/>
    </row>
    <row r="1137" spans="5:13" x14ac:dyDescent="0.25">
      <c r="E1137"/>
      <c r="M1137"/>
    </row>
    <row r="1138" spans="5:13" x14ac:dyDescent="0.25">
      <c r="E1138"/>
      <c r="M1138"/>
    </row>
    <row r="1139" spans="5:13" x14ac:dyDescent="0.25">
      <c r="E1139"/>
      <c r="M1139"/>
    </row>
    <row r="1140" spans="5:13" x14ac:dyDescent="0.25">
      <c r="E1140"/>
      <c r="M1140"/>
    </row>
    <row r="1141" spans="5:13" x14ac:dyDescent="0.25">
      <c r="E1141"/>
      <c r="M1141"/>
    </row>
    <row r="1142" spans="5:13" x14ac:dyDescent="0.25">
      <c r="E1142"/>
      <c r="M1142"/>
    </row>
    <row r="1143" spans="5:13" x14ac:dyDescent="0.25">
      <c r="E1143"/>
      <c r="M1143"/>
    </row>
    <row r="1144" spans="5:13" x14ac:dyDescent="0.25">
      <c r="E1144"/>
      <c r="M1144"/>
    </row>
    <row r="1145" spans="5:13" x14ac:dyDescent="0.25">
      <c r="E1145"/>
      <c r="M1145"/>
    </row>
    <row r="1146" spans="5:13" x14ac:dyDescent="0.25">
      <c r="E1146"/>
      <c r="M1146"/>
    </row>
    <row r="1147" spans="5:13" x14ac:dyDescent="0.25">
      <c r="E1147"/>
      <c r="M1147"/>
    </row>
    <row r="1148" spans="5:13" x14ac:dyDescent="0.25">
      <c r="E1148"/>
      <c r="M1148"/>
    </row>
    <row r="1149" spans="5:13" x14ac:dyDescent="0.25">
      <c r="E1149"/>
      <c r="M1149"/>
    </row>
    <row r="1150" spans="5:13" x14ac:dyDescent="0.25">
      <c r="E1150"/>
      <c r="M1150"/>
    </row>
    <row r="1151" spans="5:13" x14ac:dyDescent="0.25">
      <c r="E1151"/>
      <c r="M1151"/>
    </row>
    <row r="1152" spans="5:13" x14ac:dyDescent="0.25">
      <c r="E1152"/>
      <c r="M1152"/>
    </row>
    <row r="1153" spans="5:13" x14ac:dyDescent="0.25">
      <c r="E1153"/>
      <c r="M1153"/>
    </row>
    <row r="1154" spans="5:13" x14ac:dyDescent="0.25">
      <c r="E1154"/>
      <c r="M1154"/>
    </row>
    <row r="1155" spans="5:13" x14ac:dyDescent="0.25">
      <c r="E1155"/>
      <c r="M1155"/>
    </row>
    <row r="1156" spans="5:13" x14ac:dyDescent="0.25">
      <c r="E1156"/>
      <c r="M1156"/>
    </row>
    <row r="1157" spans="5:13" x14ac:dyDescent="0.25">
      <c r="E1157"/>
      <c r="M1157"/>
    </row>
    <row r="1158" spans="5:13" x14ac:dyDescent="0.25">
      <c r="E1158"/>
      <c r="M1158"/>
    </row>
    <row r="1159" spans="5:13" x14ac:dyDescent="0.25">
      <c r="E1159"/>
      <c r="M1159"/>
    </row>
    <row r="1160" spans="5:13" x14ac:dyDescent="0.25">
      <c r="E1160"/>
      <c r="M1160"/>
    </row>
    <row r="1161" spans="5:13" x14ac:dyDescent="0.25">
      <c r="E1161"/>
      <c r="M1161"/>
    </row>
    <row r="1162" spans="5:13" x14ac:dyDescent="0.25">
      <c r="E1162"/>
      <c r="M1162"/>
    </row>
    <row r="1163" spans="5:13" x14ac:dyDescent="0.25">
      <c r="E1163"/>
      <c r="M1163"/>
    </row>
    <row r="1164" spans="5:13" x14ac:dyDescent="0.25">
      <c r="E1164"/>
      <c r="M1164"/>
    </row>
    <row r="1165" spans="5:13" x14ac:dyDescent="0.25">
      <c r="E1165"/>
      <c r="M1165"/>
    </row>
    <row r="1166" spans="5:13" x14ac:dyDescent="0.25">
      <c r="E1166"/>
      <c r="M1166"/>
    </row>
    <row r="1167" spans="5:13" x14ac:dyDescent="0.25">
      <c r="E1167"/>
      <c r="M1167"/>
    </row>
    <row r="1168" spans="5:13" x14ac:dyDescent="0.25">
      <c r="E1168"/>
      <c r="M1168"/>
    </row>
    <row r="1169" spans="5:13" x14ac:dyDescent="0.25">
      <c r="E1169"/>
      <c r="M1169"/>
    </row>
    <row r="1170" spans="5:13" x14ac:dyDescent="0.25">
      <c r="E1170"/>
      <c r="M1170"/>
    </row>
    <row r="1171" spans="5:13" x14ac:dyDescent="0.25">
      <c r="E1171"/>
      <c r="M1171"/>
    </row>
    <row r="1172" spans="5:13" x14ac:dyDescent="0.25">
      <c r="E1172"/>
      <c r="M1172"/>
    </row>
    <row r="1173" spans="5:13" x14ac:dyDescent="0.25">
      <c r="E1173"/>
      <c r="M1173"/>
    </row>
    <row r="1174" spans="5:13" x14ac:dyDescent="0.25">
      <c r="E1174"/>
      <c r="M1174"/>
    </row>
    <row r="1175" spans="5:13" x14ac:dyDescent="0.25">
      <c r="E1175"/>
      <c r="M1175"/>
    </row>
    <row r="1176" spans="5:13" x14ac:dyDescent="0.25">
      <c r="E1176"/>
      <c r="M1176"/>
    </row>
    <row r="1177" spans="5:13" x14ac:dyDescent="0.25">
      <c r="E1177"/>
      <c r="M1177"/>
    </row>
    <row r="1178" spans="5:13" x14ac:dyDescent="0.25">
      <c r="E1178"/>
      <c r="M1178"/>
    </row>
    <row r="1179" spans="5:13" x14ac:dyDescent="0.25">
      <c r="E1179"/>
      <c r="M1179"/>
    </row>
    <row r="1180" spans="5:13" x14ac:dyDescent="0.25">
      <c r="E1180"/>
      <c r="M1180"/>
    </row>
    <row r="1181" spans="5:13" x14ac:dyDescent="0.25">
      <c r="E1181"/>
      <c r="M1181"/>
    </row>
    <row r="1182" spans="5:13" x14ac:dyDescent="0.25">
      <c r="E1182"/>
      <c r="M1182"/>
    </row>
    <row r="1183" spans="5:13" x14ac:dyDescent="0.25">
      <c r="E1183"/>
      <c r="M1183"/>
    </row>
    <row r="1184" spans="5:13" x14ac:dyDescent="0.25">
      <c r="E1184"/>
      <c r="M1184"/>
    </row>
    <row r="1185" spans="5:13" x14ac:dyDescent="0.25">
      <c r="E1185"/>
      <c r="M1185"/>
    </row>
    <row r="1186" spans="5:13" x14ac:dyDescent="0.25">
      <c r="E1186"/>
      <c r="M1186"/>
    </row>
    <row r="1187" spans="5:13" x14ac:dyDescent="0.25">
      <c r="E1187"/>
      <c r="M1187"/>
    </row>
    <row r="1188" spans="5:13" x14ac:dyDescent="0.25">
      <c r="E1188"/>
      <c r="M1188"/>
    </row>
    <row r="1189" spans="5:13" x14ac:dyDescent="0.25">
      <c r="E1189"/>
      <c r="M1189"/>
    </row>
    <row r="1190" spans="5:13" x14ac:dyDescent="0.25">
      <c r="E1190"/>
      <c r="M1190"/>
    </row>
    <row r="1191" spans="5:13" x14ac:dyDescent="0.25">
      <c r="E1191"/>
      <c r="M1191"/>
    </row>
    <row r="1192" spans="5:13" x14ac:dyDescent="0.25">
      <c r="E1192"/>
      <c r="M1192"/>
    </row>
    <row r="1193" spans="5:13" x14ac:dyDescent="0.25">
      <c r="E1193"/>
      <c r="M1193"/>
    </row>
    <row r="1194" spans="5:13" x14ac:dyDescent="0.25">
      <c r="E1194"/>
      <c r="M1194"/>
    </row>
    <row r="1195" spans="5:13" x14ac:dyDescent="0.25">
      <c r="E1195"/>
      <c r="M1195"/>
    </row>
    <row r="1196" spans="5:13" x14ac:dyDescent="0.25">
      <c r="E1196"/>
      <c r="M1196"/>
    </row>
    <row r="1197" spans="5:13" x14ac:dyDescent="0.25">
      <c r="E1197"/>
      <c r="M1197"/>
    </row>
    <row r="1198" spans="5:13" x14ac:dyDescent="0.25">
      <c r="E1198"/>
      <c r="M1198"/>
    </row>
    <row r="1199" spans="5:13" x14ac:dyDescent="0.25">
      <c r="E1199"/>
      <c r="M1199"/>
    </row>
    <row r="1200" spans="5:13" x14ac:dyDescent="0.25">
      <c r="E1200"/>
      <c r="M1200"/>
    </row>
    <row r="1201" spans="5:13" x14ac:dyDescent="0.25">
      <c r="E1201"/>
      <c r="M1201"/>
    </row>
    <row r="1202" spans="5:13" x14ac:dyDescent="0.25">
      <c r="E1202"/>
      <c r="M1202"/>
    </row>
    <row r="1203" spans="5:13" x14ac:dyDescent="0.25">
      <c r="E1203"/>
      <c r="M1203"/>
    </row>
    <row r="1204" spans="5:13" x14ac:dyDescent="0.25">
      <c r="E1204"/>
      <c r="M1204"/>
    </row>
    <row r="1205" spans="5:13" x14ac:dyDescent="0.25">
      <c r="E1205"/>
      <c r="M1205"/>
    </row>
    <row r="1206" spans="5:13" x14ac:dyDescent="0.25">
      <c r="E1206"/>
      <c r="M1206"/>
    </row>
    <row r="1207" spans="5:13" x14ac:dyDescent="0.25">
      <c r="E1207"/>
      <c r="M1207"/>
    </row>
    <row r="1208" spans="5:13" x14ac:dyDescent="0.25">
      <c r="E1208"/>
      <c r="M1208"/>
    </row>
    <row r="1209" spans="5:13" x14ac:dyDescent="0.25">
      <c r="E1209"/>
      <c r="M1209"/>
    </row>
    <row r="1210" spans="5:13" x14ac:dyDescent="0.25">
      <c r="E1210"/>
      <c r="M1210"/>
    </row>
    <row r="1211" spans="5:13" x14ac:dyDescent="0.25">
      <c r="E1211"/>
      <c r="M1211"/>
    </row>
    <row r="1212" spans="5:13" x14ac:dyDescent="0.25">
      <c r="E1212"/>
      <c r="M1212"/>
    </row>
    <row r="1213" spans="5:13" x14ac:dyDescent="0.25">
      <c r="E1213"/>
      <c r="M1213"/>
    </row>
    <row r="1214" spans="5:13" x14ac:dyDescent="0.25">
      <c r="E1214"/>
      <c r="M1214"/>
    </row>
    <row r="1215" spans="5:13" x14ac:dyDescent="0.25">
      <c r="E1215"/>
      <c r="M1215"/>
    </row>
    <row r="1216" spans="5:13" x14ac:dyDescent="0.25">
      <c r="E1216"/>
      <c r="M1216"/>
    </row>
    <row r="1217" spans="5:13" x14ac:dyDescent="0.25">
      <c r="E1217"/>
      <c r="M1217"/>
    </row>
    <row r="1218" spans="5:13" x14ac:dyDescent="0.25">
      <c r="E1218"/>
      <c r="M1218"/>
    </row>
    <row r="1219" spans="5:13" x14ac:dyDescent="0.25">
      <c r="E1219"/>
      <c r="M1219"/>
    </row>
    <row r="1220" spans="5:13" x14ac:dyDescent="0.25">
      <c r="E1220"/>
      <c r="M1220"/>
    </row>
    <row r="1221" spans="5:13" x14ac:dyDescent="0.25">
      <c r="E1221"/>
      <c r="M1221"/>
    </row>
    <row r="1222" spans="5:13" x14ac:dyDescent="0.25">
      <c r="E1222"/>
      <c r="M1222"/>
    </row>
    <row r="1223" spans="5:13" x14ac:dyDescent="0.25">
      <c r="E1223"/>
      <c r="M1223"/>
    </row>
    <row r="1224" spans="5:13" x14ac:dyDescent="0.25">
      <c r="E1224"/>
      <c r="M1224"/>
    </row>
    <row r="1225" spans="5:13" x14ac:dyDescent="0.25">
      <c r="E1225"/>
      <c r="M1225"/>
    </row>
    <row r="1226" spans="5:13" x14ac:dyDescent="0.25">
      <c r="E1226"/>
      <c r="M1226"/>
    </row>
    <row r="1227" spans="5:13" x14ac:dyDescent="0.25">
      <c r="E1227"/>
      <c r="M1227"/>
    </row>
    <row r="1228" spans="5:13" x14ac:dyDescent="0.25">
      <c r="E1228"/>
      <c r="M1228"/>
    </row>
    <row r="1229" spans="5:13" x14ac:dyDescent="0.25">
      <c r="E1229"/>
      <c r="M1229"/>
    </row>
    <row r="1230" spans="5:13" x14ac:dyDescent="0.25">
      <c r="E1230"/>
      <c r="M1230"/>
    </row>
    <row r="1231" spans="5:13" x14ac:dyDescent="0.25">
      <c r="E1231"/>
      <c r="M1231"/>
    </row>
    <row r="1232" spans="5:13" x14ac:dyDescent="0.25">
      <c r="E1232"/>
      <c r="M1232"/>
    </row>
    <row r="1233" spans="5:13" x14ac:dyDescent="0.25">
      <c r="E1233"/>
      <c r="M1233"/>
    </row>
    <row r="1234" spans="5:13" x14ac:dyDescent="0.25">
      <c r="E1234"/>
      <c r="M1234"/>
    </row>
    <row r="1235" spans="5:13" x14ac:dyDescent="0.25">
      <c r="E1235"/>
      <c r="M1235"/>
    </row>
    <row r="1236" spans="5:13" x14ac:dyDescent="0.25">
      <c r="E1236"/>
      <c r="M1236"/>
    </row>
    <row r="1237" spans="5:13" x14ac:dyDescent="0.25">
      <c r="E1237"/>
      <c r="M1237"/>
    </row>
    <row r="1238" spans="5:13" x14ac:dyDescent="0.25">
      <c r="E1238"/>
      <c r="M1238"/>
    </row>
    <row r="1239" spans="5:13" x14ac:dyDescent="0.25">
      <c r="E1239"/>
      <c r="M1239"/>
    </row>
    <row r="1240" spans="5:13" x14ac:dyDescent="0.25">
      <c r="E1240"/>
      <c r="M1240"/>
    </row>
    <row r="1241" spans="5:13" x14ac:dyDescent="0.25">
      <c r="E1241"/>
      <c r="M1241"/>
    </row>
    <row r="1242" spans="5:13" x14ac:dyDescent="0.25">
      <c r="E1242"/>
      <c r="M1242"/>
    </row>
    <row r="1243" spans="5:13" x14ac:dyDescent="0.25">
      <c r="E1243"/>
      <c r="M1243"/>
    </row>
    <row r="1244" spans="5:13" x14ac:dyDescent="0.25">
      <c r="E1244"/>
      <c r="M1244"/>
    </row>
    <row r="1245" spans="5:13" x14ac:dyDescent="0.25">
      <c r="E1245"/>
      <c r="M1245"/>
    </row>
    <row r="1246" spans="5:13" x14ac:dyDescent="0.25">
      <c r="E1246"/>
      <c r="M1246"/>
    </row>
    <row r="1247" spans="5:13" x14ac:dyDescent="0.25">
      <c r="E1247"/>
      <c r="M1247"/>
    </row>
    <row r="1248" spans="5:13" x14ac:dyDescent="0.25">
      <c r="E1248"/>
      <c r="M1248"/>
    </row>
    <row r="1249" spans="5:13" x14ac:dyDescent="0.25">
      <c r="E1249"/>
      <c r="M1249"/>
    </row>
    <row r="1250" spans="5:13" x14ac:dyDescent="0.25">
      <c r="E1250"/>
      <c r="M1250"/>
    </row>
    <row r="1251" spans="5:13" x14ac:dyDescent="0.25">
      <c r="E1251"/>
      <c r="M1251"/>
    </row>
    <row r="1252" spans="5:13" x14ac:dyDescent="0.25">
      <c r="E1252"/>
      <c r="M1252"/>
    </row>
    <row r="1253" spans="5:13" x14ac:dyDescent="0.25">
      <c r="E1253"/>
      <c r="M1253"/>
    </row>
    <row r="1254" spans="5:13" x14ac:dyDescent="0.25">
      <c r="E1254"/>
      <c r="M1254"/>
    </row>
    <row r="1255" spans="5:13" x14ac:dyDescent="0.25">
      <c r="E1255"/>
      <c r="M1255"/>
    </row>
    <row r="1256" spans="5:13" x14ac:dyDescent="0.25">
      <c r="E1256"/>
      <c r="M1256"/>
    </row>
    <row r="1257" spans="5:13" x14ac:dyDescent="0.25">
      <c r="E1257"/>
      <c r="M1257"/>
    </row>
    <row r="1258" spans="5:13" x14ac:dyDescent="0.25">
      <c r="E1258"/>
      <c r="M1258"/>
    </row>
    <row r="1259" spans="5:13" x14ac:dyDescent="0.25">
      <c r="E1259"/>
      <c r="M1259"/>
    </row>
    <row r="1260" spans="5:13" x14ac:dyDescent="0.25">
      <c r="E1260"/>
      <c r="M1260"/>
    </row>
    <row r="1261" spans="5:13" x14ac:dyDescent="0.25">
      <c r="E1261"/>
      <c r="M1261"/>
    </row>
    <row r="1262" spans="5:13" x14ac:dyDescent="0.25">
      <c r="E1262"/>
      <c r="M1262"/>
    </row>
    <row r="1263" spans="5:13" x14ac:dyDescent="0.25">
      <c r="E1263"/>
      <c r="M1263"/>
    </row>
    <row r="1264" spans="5:13" x14ac:dyDescent="0.25">
      <c r="E1264"/>
      <c r="M1264"/>
    </row>
    <row r="1265" spans="5:13" x14ac:dyDescent="0.25">
      <c r="E1265"/>
      <c r="M1265"/>
    </row>
    <row r="1266" spans="5:13" x14ac:dyDescent="0.25">
      <c r="E1266"/>
      <c r="M1266"/>
    </row>
    <row r="1267" spans="5:13" x14ac:dyDescent="0.25">
      <c r="E1267"/>
      <c r="M1267"/>
    </row>
    <row r="1268" spans="5:13" x14ac:dyDescent="0.25">
      <c r="E1268"/>
      <c r="M1268"/>
    </row>
    <row r="1269" spans="5:13" x14ac:dyDescent="0.25">
      <c r="E1269"/>
      <c r="M1269"/>
    </row>
    <row r="1270" spans="5:13" x14ac:dyDescent="0.25">
      <c r="E1270"/>
      <c r="M1270"/>
    </row>
    <row r="1271" spans="5:13" x14ac:dyDescent="0.25">
      <c r="E1271"/>
      <c r="M1271"/>
    </row>
    <row r="1272" spans="5:13" x14ac:dyDescent="0.25">
      <c r="E1272"/>
      <c r="M1272"/>
    </row>
    <row r="1273" spans="5:13" x14ac:dyDescent="0.25">
      <c r="E1273"/>
      <c r="M1273"/>
    </row>
    <row r="1274" spans="5:13" x14ac:dyDescent="0.25">
      <c r="E1274"/>
      <c r="M1274"/>
    </row>
    <row r="1275" spans="5:13" x14ac:dyDescent="0.25">
      <c r="E1275"/>
      <c r="M1275"/>
    </row>
    <row r="1276" spans="5:13" x14ac:dyDescent="0.25">
      <c r="E1276"/>
      <c r="M1276"/>
    </row>
    <row r="1277" spans="5:13" x14ac:dyDescent="0.25">
      <c r="E1277"/>
      <c r="M1277"/>
    </row>
    <row r="1278" spans="5:13" x14ac:dyDescent="0.25">
      <c r="E1278"/>
      <c r="M1278"/>
    </row>
    <row r="1279" spans="5:13" x14ac:dyDescent="0.25">
      <c r="E1279"/>
      <c r="M1279"/>
    </row>
    <row r="1280" spans="5:13" x14ac:dyDescent="0.25">
      <c r="E1280"/>
      <c r="M1280"/>
    </row>
    <row r="1281" spans="5:13" x14ac:dyDescent="0.25">
      <c r="E1281"/>
      <c r="M1281"/>
    </row>
    <row r="1282" spans="5:13" x14ac:dyDescent="0.25">
      <c r="E1282"/>
      <c r="M1282"/>
    </row>
    <row r="1283" spans="5:13" x14ac:dyDescent="0.25">
      <c r="E1283"/>
      <c r="M1283"/>
    </row>
    <row r="1284" spans="5:13" x14ac:dyDescent="0.25">
      <c r="E1284"/>
      <c r="M1284"/>
    </row>
    <row r="1285" spans="5:13" x14ac:dyDescent="0.25">
      <c r="E1285"/>
      <c r="M1285"/>
    </row>
    <row r="1286" spans="5:13" x14ac:dyDescent="0.25">
      <c r="E1286"/>
      <c r="M1286"/>
    </row>
    <row r="1287" spans="5:13" x14ac:dyDescent="0.25">
      <c r="E1287"/>
      <c r="M1287"/>
    </row>
    <row r="1288" spans="5:13" x14ac:dyDescent="0.25">
      <c r="E1288"/>
      <c r="M1288"/>
    </row>
    <row r="1289" spans="5:13" x14ac:dyDescent="0.25">
      <c r="E1289"/>
      <c r="M1289"/>
    </row>
    <row r="1290" spans="5:13" x14ac:dyDescent="0.25">
      <c r="E1290"/>
      <c r="M1290"/>
    </row>
    <row r="1291" spans="5:13" x14ac:dyDescent="0.25">
      <c r="E1291"/>
      <c r="M1291"/>
    </row>
    <row r="1292" spans="5:13" x14ac:dyDescent="0.25">
      <c r="E1292"/>
      <c r="M1292"/>
    </row>
    <row r="1293" spans="5:13" x14ac:dyDescent="0.25">
      <c r="E1293"/>
      <c r="M1293"/>
    </row>
    <row r="1294" spans="5:13" x14ac:dyDescent="0.25">
      <c r="E1294"/>
      <c r="M1294"/>
    </row>
    <row r="1295" spans="5:13" x14ac:dyDescent="0.25">
      <c r="E1295"/>
      <c r="M1295"/>
    </row>
    <row r="1296" spans="5:13" x14ac:dyDescent="0.25">
      <c r="E1296"/>
      <c r="M1296"/>
    </row>
    <row r="1297" spans="5:13" x14ac:dyDescent="0.25">
      <c r="E1297"/>
      <c r="M1297"/>
    </row>
    <row r="1298" spans="5:13" x14ac:dyDescent="0.25">
      <c r="E1298"/>
      <c r="M1298"/>
    </row>
    <row r="1299" spans="5:13" x14ac:dyDescent="0.25">
      <c r="E1299"/>
      <c r="M1299"/>
    </row>
    <row r="1300" spans="5:13" x14ac:dyDescent="0.25">
      <c r="E1300"/>
      <c r="M1300"/>
    </row>
    <row r="1301" spans="5:13" x14ac:dyDescent="0.25">
      <c r="E1301"/>
      <c r="M1301"/>
    </row>
    <row r="1302" spans="5:13" x14ac:dyDescent="0.25">
      <c r="E1302"/>
      <c r="M1302"/>
    </row>
    <row r="1303" spans="5:13" x14ac:dyDescent="0.25">
      <c r="E1303"/>
      <c r="M1303"/>
    </row>
    <row r="1304" spans="5:13" x14ac:dyDescent="0.25">
      <c r="E1304"/>
      <c r="M1304"/>
    </row>
    <row r="1305" spans="5:13" x14ac:dyDescent="0.25">
      <c r="E1305"/>
      <c r="M1305"/>
    </row>
    <row r="1306" spans="5:13" x14ac:dyDescent="0.25">
      <c r="E1306"/>
      <c r="M1306"/>
    </row>
    <row r="1307" spans="5:13" x14ac:dyDescent="0.25">
      <c r="E1307"/>
      <c r="M1307"/>
    </row>
    <row r="1308" spans="5:13" x14ac:dyDescent="0.25">
      <c r="E1308"/>
      <c r="M1308"/>
    </row>
    <row r="1309" spans="5:13" x14ac:dyDescent="0.25">
      <c r="E1309"/>
      <c r="M1309"/>
    </row>
    <row r="1310" spans="5:13" x14ac:dyDescent="0.25">
      <c r="E1310"/>
      <c r="M1310"/>
    </row>
    <row r="1311" spans="5:13" x14ac:dyDescent="0.25">
      <c r="E1311"/>
      <c r="M1311"/>
    </row>
    <row r="1312" spans="5:13" x14ac:dyDescent="0.25">
      <c r="E1312"/>
      <c r="M1312"/>
    </row>
    <row r="1313" spans="5:13" x14ac:dyDescent="0.25">
      <c r="E1313"/>
      <c r="M1313"/>
    </row>
    <row r="1314" spans="5:13" x14ac:dyDescent="0.25">
      <c r="E1314"/>
      <c r="M1314"/>
    </row>
    <row r="1315" spans="5:13" x14ac:dyDescent="0.25">
      <c r="E1315"/>
      <c r="M1315"/>
    </row>
    <row r="1316" spans="5:13" x14ac:dyDescent="0.25">
      <c r="E1316"/>
      <c r="M1316"/>
    </row>
    <row r="1317" spans="5:13" x14ac:dyDescent="0.25">
      <c r="E1317"/>
      <c r="M1317"/>
    </row>
    <row r="1318" spans="5:13" x14ac:dyDescent="0.25">
      <c r="E1318"/>
      <c r="M1318"/>
    </row>
    <row r="1319" spans="5:13" x14ac:dyDescent="0.25">
      <c r="E1319"/>
      <c r="M1319"/>
    </row>
    <row r="1320" spans="5:13" x14ac:dyDescent="0.25">
      <c r="E1320"/>
      <c r="M1320"/>
    </row>
    <row r="1321" spans="5:13" x14ac:dyDescent="0.25">
      <c r="E1321"/>
      <c r="M1321"/>
    </row>
    <row r="1322" spans="5:13" x14ac:dyDescent="0.25">
      <c r="E1322"/>
      <c r="M1322"/>
    </row>
    <row r="1323" spans="5:13" x14ac:dyDescent="0.25">
      <c r="E1323"/>
      <c r="M1323"/>
    </row>
    <row r="1324" spans="5:13" x14ac:dyDescent="0.25">
      <c r="E1324"/>
      <c r="M1324"/>
    </row>
    <row r="1325" spans="5:13" x14ac:dyDescent="0.25">
      <c r="E1325"/>
      <c r="M1325"/>
    </row>
    <row r="1326" spans="5:13" x14ac:dyDescent="0.25">
      <c r="E1326"/>
      <c r="M1326"/>
    </row>
    <row r="1327" spans="5:13" x14ac:dyDescent="0.25">
      <c r="E1327"/>
      <c r="M1327"/>
    </row>
    <row r="1328" spans="5:13" x14ac:dyDescent="0.25">
      <c r="E1328"/>
      <c r="M1328"/>
    </row>
    <row r="1329" spans="5:13" x14ac:dyDescent="0.25">
      <c r="E1329"/>
      <c r="M1329"/>
    </row>
    <row r="1330" spans="5:13" x14ac:dyDescent="0.25">
      <c r="E1330"/>
      <c r="M1330"/>
    </row>
    <row r="1331" spans="5:13" x14ac:dyDescent="0.25">
      <c r="E1331"/>
      <c r="M1331"/>
    </row>
    <row r="1332" spans="5:13" x14ac:dyDescent="0.25">
      <c r="E1332"/>
      <c r="M1332"/>
    </row>
    <row r="1333" spans="5:13" x14ac:dyDescent="0.25">
      <c r="E1333"/>
      <c r="M1333"/>
    </row>
    <row r="1334" spans="5:13" x14ac:dyDescent="0.25">
      <c r="E1334"/>
      <c r="M1334"/>
    </row>
    <row r="1335" spans="5:13" x14ac:dyDescent="0.25">
      <c r="E1335"/>
      <c r="M1335"/>
    </row>
    <row r="1336" spans="5:13" x14ac:dyDescent="0.25">
      <c r="E1336"/>
      <c r="M1336"/>
    </row>
    <row r="1337" spans="5:13" x14ac:dyDescent="0.25">
      <c r="E1337"/>
      <c r="M1337"/>
    </row>
    <row r="1338" spans="5:13" x14ac:dyDescent="0.25">
      <c r="E1338"/>
      <c r="M1338"/>
    </row>
    <row r="1339" spans="5:13" x14ac:dyDescent="0.25">
      <c r="E1339"/>
      <c r="M1339"/>
    </row>
    <row r="1340" spans="5:13" x14ac:dyDescent="0.25">
      <c r="E1340"/>
      <c r="M1340"/>
    </row>
    <row r="1341" spans="5:13" x14ac:dyDescent="0.25">
      <c r="E1341"/>
      <c r="M1341"/>
    </row>
    <row r="1342" spans="5:13" x14ac:dyDescent="0.25">
      <c r="E1342"/>
      <c r="M1342"/>
    </row>
    <row r="1343" spans="5:13" x14ac:dyDescent="0.25">
      <c r="E1343"/>
      <c r="M1343"/>
    </row>
    <row r="1344" spans="5:13" x14ac:dyDescent="0.25">
      <c r="E1344"/>
      <c r="M1344"/>
    </row>
    <row r="1345" spans="5:13" x14ac:dyDescent="0.25">
      <c r="E1345"/>
      <c r="M1345"/>
    </row>
    <row r="1346" spans="5:13" x14ac:dyDescent="0.25">
      <c r="E1346"/>
      <c r="M1346"/>
    </row>
    <row r="1347" spans="5:13" x14ac:dyDescent="0.25">
      <c r="E1347"/>
      <c r="M1347"/>
    </row>
    <row r="1348" spans="5:13" x14ac:dyDescent="0.25">
      <c r="E1348"/>
      <c r="M1348"/>
    </row>
    <row r="1349" spans="5:13" x14ac:dyDescent="0.25">
      <c r="E1349"/>
      <c r="M1349"/>
    </row>
    <row r="1350" spans="5:13" x14ac:dyDescent="0.25">
      <c r="E1350"/>
      <c r="M1350"/>
    </row>
    <row r="1351" spans="5:13" x14ac:dyDescent="0.25">
      <c r="E1351"/>
      <c r="M1351"/>
    </row>
    <row r="1352" spans="5:13" x14ac:dyDescent="0.25">
      <c r="E1352"/>
      <c r="M1352"/>
    </row>
    <row r="1353" spans="5:13" x14ac:dyDescent="0.25">
      <c r="E1353"/>
      <c r="M1353"/>
    </row>
    <row r="1354" spans="5:13" x14ac:dyDescent="0.25">
      <c r="E1354"/>
      <c r="M1354"/>
    </row>
    <row r="1355" spans="5:13" x14ac:dyDescent="0.25">
      <c r="E1355"/>
      <c r="M1355"/>
    </row>
    <row r="1356" spans="5:13" x14ac:dyDescent="0.25">
      <c r="E1356"/>
      <c r="M1356"/>
    </row>
    <row r="1357" spans="5:13" x14ac:dyDescent="0.25">
      <c r="E1357"/>
      <c r="M1357"/>
    </row>
    <row r="1358" spans="5:13" x14ac:dyDescent="0.25">
      <c r="E1358"/>
      <c r="M1358"/>
    </row>
    <row r="1359" spans="5:13" x14ac:dyDescent="0.25">
      <c r="E1359"/>
      <c r="M1359"/>
    </row>
    <row r="1360" spans="5:13" x14ac:dyDescent="0.25">
      <c r="E1360"/>
      <c r="M1360"/>
    </row>
    <row r="1361" spans="5:13" x14ac:dyDescent="0.25">
      <c r="E1361"/>
      <c r="M1361"/>
    </row>
    <row r="1362" spans="5:13" x14ac:dyDescent="0.25">
      <c r="E1362"/>
      <c r="M1362"/>
    </row>
    <row r="1363" spans="5:13" x14ac:dyDescent="0.25">
      <c r="E1363"/>
      <c r="M1363"/>
    </row>
    <row r="1364" spans="5:13" x14ac:dyDescent="0.25">
      <c r="E1364"/>
      <c r="M1364"/>
    </row>
    <row r="1365" spans="5:13" x14ac:dyDescent="0.25">
      <c r="E1365"/>
      <c r="M1365"/>
    </row>
    <row r="1366" spans="5:13" x14ac:dyDescent="0.25">
      <c r="E1366"/>
      <c r="M1366"/>
    </row>
    <row r="1367" spans="5:13" x14ac:dyDescent="0.25">
      <c r="E1367"/>
      <c r="M1367"/>
    </row>
    <row r="1368" spans="5:13" x14ac:dyDescent="0.25">
      <c r="E1368"/>
      <c r="M1368"/>
    </row>
    <row r="1369" spans="5:13" x14ac:dyDescent="0.25">
      <c r="E1369"/>
      <c r="M1369"/>
    </row>
    <row r="1370" spans="5:13" x14ac:dyDescent="0.25">
      <c r="E1370"/>
      <c r="M1370"/>
    </row>
    <row r="1371" spans="5:13" x14ac:dyDescent="0.25">
      <c r="E1371"/>
      <c r="M1371"/>
    </row>
    <row r="1372" spans="5:13" x14ac:dyDescent="0.25">
      <c r="E1372"/>
      <c r="M1372"/>
    </row>
    <row r="1373" spans="5:13" x14ac:dyDescent="0.25">
      <c r="E1373"/>
      <c r="M1373"/>
    </row>
    <row r="1374" spans="5:13" x14ac:dyDescent="0.25">
      <c r="E1374"/>
      <c r="M1374"/>
    </row>
    <row r="1375" spans="5:13" x14ac:dyDescent="0.25">
      <c r="E1375"/>
      <c r="M1375"/>
    </row>
    <row r="1376" spans="5:13" x14ac:dyDescent="0.25">
      <c r="E1376"/>
      <c r="M1376"/>
    </row>
    <row r="1377" spans="5:13" x14ac:dyDescent="0.25">
      <c r="E1377"/>
      <c r="M1377"/>
    </row>
    <row r="1378" spans="5:13" x14ac:dyDescent="0.25">
      <c r="E1378"/>
      <c r="M1378"/>
    </row>
    <row r="1379" spans="5:13" x14ac:dyDescent="0.25">
      <c r="E1379"/>
      <c r="M1379"/>
    </row>
    <row r="1380" spans="5:13" x14ac:dyDescent="0.25">
      <c r="E1380"/>
      <c r="M1380"/>
    </row>
    <row r="1381" spans="5:13" x14ac:dyDescent="0.25">
      <c r="E1381"/>
      <c r="M1381"/>
    </row>
    <row r="1382" spans="5:13" x14ac:dyDescent="0.25">
      <c r="E1382"/>
      <c r="M1382"/>
    </row>
    <row r="1383" spans="5:13" x14ac:dyDescent="0.25">
      <c r="E1383"/>
      <c r="M1383"/>
    </row>
    <row r="1384" spans="5:13" x14ac:dyDescent="0.25">
      <c r="E1384"/>
      <c r="M1384"/>
    </row>
    <row r="1385" spans="5:13" x14ac:dyDescent="0.25">
      <c r="E1385"/>
      <c r="M1385"/>
    </row>
    <row r="1386" spans="5:13" x14ac:dyDescent="0.25">
      <c r="E1386"/>
      <c r="M1386"/>
    </row>
    <row r="1387" spans="5:13" x14ac:dyDescent="0.25">
      <c r="E1387"/>
      <c r="M1387"/>
    </row>
    <row r="1388" spans="5:13" x14ac:dyDescent="0.25">
      <c r="E1388"/>
      <c r="M1388"/>
    </row>
    <row r="1389" spans="5:13" x14ac:dyDescent="0.25">
      <c r="E1389"/>
      <c r="M1389"/>
    </row>
    <row r="1390" spans="5:13" x14ac:dyDescent="0.25">
      <c r="E1390"/>
      <c r="M1390"/>
    </row>
    <row r="1391" spans="5:13" x14ac:dyDescent="0.25">
      <c r="E1391"/>
      <c r="M1391"/>
    </row>
    <row r="1392" spans="5:13" x14ac:dyDescent="0.25">
      <c r="E1392"/>
      <c r="M1392"/>
    </row>
    <row r="1393" spans="5:13" x14ac:dyDescent="0.25">
      <c r="E1393"/>
      <c r="M1393"/>
    </row>
    <row r="1394" spans="5:13" x14ac:dyDescent="0.25">
      <c r="E1394"/>
      <c r="M1394"/>
    </row>
    <row r="1395" spans="5:13" x14ac:dyDescent="0.25">
      <c r="E1395"/>
      <c r="M1395"/>
    </row>
    <row r="1396" spans="5:13" x14ac:dyDescent="0.25">
      <c r="E1396"/>
      <c r="M1396"/>
    </row>
    <row r="1397" spans="5:13" x14ac:dyDescent="0.25">
      <c r="E1397"/>
      <c r="M1397"/>
    </row>
    <row r="1398" spans="5:13" x14ac:dyDescent="0.25">
      <c r="E1398"/>
      <c r="M1398"/>
    </row>
    <row r="1399" spans="5:13" x14ac:dyDescent="0.25">
      <c r="E1399"/>
      <c r="M1399"/>
    </row>
    <row r="1400" spans="5:13" x14ac:dyDescent="0.25">
      <c r="E1400"/>
      <c r="M1400"/>
    </row>
    <row r="1401" spans="5:13" x14ac:dyDescent="0.25">
      <c r="E1401"/>
      <c r="M1401"/>
    </row>
    <row r="1402" spans="5:13" x14ac:dyDescent="0.25">
      <c r="E1402"/>
      <c r="M1402"/>
    </row>
    <row r="1403" spans="5:13" x14ac:dyDescent="0.25">
      <c r="E1403"/>
      <c r="M1403"/>
    </row>
    <row r="1404" spans="5:13" x14ac:dyDescent="0.25">
      <c r="E1404"/>
      <c r="M1404"/>
    </row>
    <row r="1405" spans="5:13" x14ac:dyDescent="0.25">
      <c r="E1405"/>
      <c r="M1405"/>
    </row>
    <row r="1406" spans="5:13" x14ac:dyDescent="0.25">
      <c r="E1406"/>
      <c r="M1406"/>
    </row>
    <row r="1407" spans="5:13" x14ac:dyDescent="0.25">
      <c r="E1407"/>
      <c r="M1407"/>
    </row>
    <row r="1408" spans="5:13" x14ac:dyDescent="0.25">
      <c r="E1408"/>
      <c r="M1408"/>
    </row>
    <row r="1409" spans="5:13" x14ac:dyDescent="0.25">
      <c r="E1409"/>
      <c r="M1409"/>
    </row>
    <row r="1410" spans="5:13" x14ac:dyDescent="0.25">
      <c r="E1410"/>
      <c r="M1410"/>
    </row>
    <row r="1411" spans="5:13" x14ac:dyDescent="0.25">
      <c r="E1411"/>
      <c r="M1411"/>
    </row>
    <row r="1412" spans="5:13" x14ac:dyDescent="0.25">
      <c r="E1412"/>
      <c r="M1412"/>
    </row>
    <row r="1413" spans="5:13" x14ac:dyDescent="0.25">
      <c r="E1413"/>
      <c r="M1413"/>
    </row>
    <row r="1414" spans="5:13" x14ac:dyDescent="0.25">
      <c r="E1414"/>
      <c r="M1414"/>
    </row>
    <row r="1415" spans="5:13" x14ac:dyDescent="0.25">
      <c r="E1415"/>
      <c r="M1415"/>
    </row>
    <row r="1416" spans="5:13" x14ac:dyDescent="0.25">
      <c r="E1416"/>
      <c r="M1416"/>
    </row>
    <row r="1417" spans="5:13" x14ac:dyDescent="0.25">
      <c r="E1417"/>
      <c r="M1417"/>
    </row>
    <row r="1418" spans="5:13" x14ac:dyDescent="0.25">
      <c r="E1418"/>
      <c r="M1418"/>
    </row>
    <row r="1419" spans="5:13" x14ac:dyDescent="0.25">
      <c r="E1419"/>
      <c r="M1419"/>
    </row>
    <row r="1420" spans="5:13" x14ac:dyDescent="0.25">
      <c r="E1420"/>
      <c r="M1420"/>
    </row>
    <row r="1421" spans="5:13" x14ac:dyDescent="0.25">
      <c r="E1421"/>
      <c r="M1421"/>
    </row>
    <row r="1422" spans="5:13" x14ac:dyDescent="0.25">
      <c r="E1422"/>
      <c r="M1422"/>
    </row>
    <row r="1423" spans="5:13" x14ac:dyDescent="0.25">
      <c r="E1423"/>
      <c r="M1423"/>
    </row>
    <row r="1424" spans="5:13" x14ac:dyDescent="0.25">
      <c r="E1424"/>
      <c r="M1424"/>
    </row>
    <row r="1425" spans="5:13" x14ac:dyDescent="0.25">
      <c r="E1425"/>
      <c r="M1425"/>
    </row>
    <row r="1426" spans="5:13" x14ac:dyDescent="0.25">
      <c r="E1426"/>
      <c r="M1426"/>
    </row>
    <row r="1427" spans="5:13" x14ac:dyDescent="0.25">
      <c r="E1427"/>
      <c r="M1427"/>
    </row>
    <row r="1428" spans="5:13" x14ac:dyDescent="0.25">
      <c r="E1428"/>
      <c r="M1428"/>
    </row>
    <row r="1429" spans="5:13" x14ac:dyDescent="0.25">
      <c r="E1429"/>
      <c r="M1429"/>
    </row>
    <row r="1430" spans="5:13" x14ac:dyDescent="0.25">
      <c r="E1430"/>
      <c r="M1430"/>
    </row>
    <row r="1431" spans="5:13" x14ac:dyDescent="0.25">
      <c r="E1431"/>
      <c r="M1431"/>
    </row>
    <row r="1432" spans="5:13" x14ac:dyDescent="0.25">
      <c r="E1432"/>
      <c r="M1432"/>
    </row>
    <row r="1433" spans="5:13" x14ac:dyDescent="0.25">
      <c r="E1433"/>
      <c r="M1433"/>
    </row>
    <row r="1434" spans="5:13" x14ac:dyDescent="0.25">
      <c r="E1434"/>
      <c r="M1434"/>
    </row>
    <row r="1435" spans="5:13" x14ac:dyDescent="0.25">
      <c r="E1435"/>
      <c r="M1435"/>
    </row>
    <row r="1436" spans="5:13" x14ac:dyDescent="0.25">
      <c r="E1436"/>
      <c r="M1436"/>
    </row>
    <row r="1437" spans="5:13" x14ac:dyDescent="0.25">
      <c r="E1437"/>
      <c r="M1437"/>
    </row>
    <row r="1438" spans="5:13" x14ac:dyDescent="0.25">
      <c r="E1438"/>
      <c r="M1438"/>
    </row>
    <row r="1439" spans="5:13" x14ac:dyDescent="0.25">
      <c r="E1439"/>
      <c r="M1439"/>
    </row>
    <row r="1440" spans="5:13" x14ac:dyDescent="0.25">
      <c r="E1440"/>
      <c r="M1440"/>
    </row>
    <row r="1441" spans="5:13" x14ac:dyDescent="0.25">
      <c r="E1441"/>
      <c r="M1441"/>
    </row>
    <row r="1442" spans="5:13" x14ac:dyDescent="0.25">
      <c r="E1442"/>
      <c r="M1442"/>
    </row>
    <row r="1443" spans="5:13" x14ac:dyDescent="0.25">
      <c r="E1443"/>
      <c r="M1443"/>
    </row>
    <row r="1444" spans="5:13" x14ac:dyDescent="0.25">
      <c r="E1444"/>
      <c r="M1444"/>
    </row>
    <row r="1445" spans="5:13" x14ac:dyDescent="0.25">
      <c r="E1445"/>
      <c r="M1445"/>
    </row>
    <row r="1446" spans="5:13" x14ac:dyDescent="0.25">
      <c r="E1446"/>
      <c r="M1446"/>
    </row>
    <row r="1447" spans="5:13" x14ac:dyDescent="0.25">
      <c r="E1447"/>
      <c r="M1447"/>
    </row>
    <row r="1448" spans="5:13" x14ac:dyDescent="0.25">
      <c r="E1448"/>
      <c r="M1448"/>
    </row>
    <row r="1449" spans="5:13" x14ac:dyDescent="0.25">
      <c r="E1449"/>
      <c r="M1449"/>
    </row>
    <row r="1450" spans="5:13" x14ac:dyDescent="0.25">
      <c r="E1450"/>
      <c r="M1450"/>
    </row>
    <row r="1451" spans="5:13" x14ac:dyDescent="0.25">
      <c r="E1451"/>
      <c r="M1451"/>
    </row>
    <row r="1452" spans="5:13" x14ac:dyDescent="0.25">
      <c r="E1452"/>
      <c r="M1452"/>
    </row>
    <row r="1453" spans="5:13" x14ac:dyDescent="0.25">
      <c r="E1453"/>
      <c r="M1453"/>
    </row>
    <row r="1454" spans="5:13" x14ac:dyDescent="0.25">
      <c r="E1454"/>
      <c r="M1454"/>
    </row>
    <row r="1455" spans="5:13" x14ac:dyDescent="0.25">
      <c r="E1455"/>
      <c r="M1455"/>
    </row>
    <row r="1456" spans="5:13" x14ac:dyDescent="0.25">
      <c r="E1456"/>
      <c r="M1456"/>
    </row>
    <row r="1457" spans="5:13" x14ac:dyDescent="0.25">
      <c r="E1457"/>
      <c r="M1457"/>
    </row>
    <row r="1458" spans="5:13" x14ac:dyDescent="0.25">
      <c r="E1458"/>
      <c r="M1458"/>
    </row>
    <row r="1459" spans="5:13" x14ac:dyDescent="0.25">
      <c r="E1459"/>
      <c r="M1459"/>
    </row>
    <row r="1460" spans="5:13" x14ac:dyDescent="0.25">
      <c r="E1460"/>
      <c r="M1460"/>
    </row>
    <row r="1461" spans="5:13" x14ac:dyDescent="0.25">
      <c r="E1461"/>
      <c r="M1461"/>
    </row>
    <row r="1462" spans="5:13" x14ac:dyDescent="0.25">
      <c r="E1462"/>
      <c r="M1462"/>
    </row>
    <row r="1463" spans="5:13" x14ac:dyDescent="0.25">
      <c r="E1463"/>
      <c r="M1463"/>
    </row>
    <row r="1464" spans="5:13" x14ac:dyDescent="0.25">
      <c r="E1464"/>
      <c r="M1464"/>
    </row>
    <row r="1465" spans="5:13" x14ac:dyDescent="0.25">
      <c r="E1465"/>
      <c r="M1465"/>
    </row>
    <row r="1466" spans="5:13" x14ac:dyDescent="0.25">
      <c r="E1466"/>
      <c r="M1466"/>
    </row>
    <row r="1467" spans="5:13" x14ac:dyDescent="0.25">
      <c r="E1467"/>
      <c r="M1467"/>
    </row>
    <row r="1468" spans="5:13" x14ac:dyDescent="0.25">
      <c r="E1468"/>
      <c r="M1468"/>
    </row>
    <row r="1469" spans="5:13" x14ac:dyDescent="0.25">
      <c r="E1469"/>
      <c r="M1469"/>
    </row>
    <row r="1470" spans="5:13" x14ac:dyDescent="0.25">
      <c r="E1470"/>
      <c r="M1470"/>
    </row>
    <row r="1471" spans="5:13" x14ac:dyDescent="0.25">
      <c r="E1471"/>
      <c r="M1471"/>
    </row>
    <row r="1472" spans="5:13" x14ac:dyDescent="0.25">
      <c r="E1472"/>
      <c r="M1472"/>
    </row>
    <row r="1473" spans="5:13" x14ac:dyDescent="0.25">
      <c r="E1473"/>
      <c r="M1473"/>
    </row>
    <row r="1474" spans="5:13" x14ac:dyDescent="0.25">
      <c r="E1474"/>
      <c r="M1474"/>
    </row>
    <row r="1475" spans="5:13" x14ac:dyDescent="0.25">
      <c r="E1475"/>
      <c r="M1475"/>
    </row>
    <row r="1476" spans="5:13" x14ac:dyDescent="0.25">
      <c r="E1476"/>
      <c r="M1476"/>
    </row>
    <row r="1477" spans="5:13" x14ac:dyDescent="0.25">
      <c r="E1477"/>
      <c r="M1477"/>
    </row>
    <row r="1478" spans="5:13" x14ac:dyDescent="0.25">
      <c r="E1478"/>
      <c r="M1478"/>
    </row>
    <row r="1479" spans="5:13" x14ac:dyDescent="0.25">
      <c r="E1479"/>
      <c r="M1479"/>
    </row>
    <row r="1480" spans="5:13" x14ac:dyDescent="0.25">
      <c r="E1480"/>
      <c r="M1480"/>
    </row>
    <row r="1481" spans="5:13" x14ac:dyDescent="0.25">
      <c r="E1481"/>
      <c r="M1481"/>
    </row>
    <row r="1482" spans="5:13" x14ac:dyDescent="0.25">
      <c r="E1482"/>
      <c r="M1482"/>
    </row>
    <row r="1483" spans="5:13" x14ac:dyDescent="0.25">
      <c r="E1483"/>
      <c r="M1483"/>
    </row>
    <row r="1484" spans="5:13" x14ac:dyDescent="0.25">
      <c r="E1484"/>
      <c r="M1484"/>
    </row>
    <row r="1485" spans="5:13" x14ac:dyDescent="0.25">
      <c r="E1485"/>
      <c r="M1485"/>
    </row>
    <row r="1486" spans="5:13" x14ac:dyDescent="0.25">
      <c r="E1486"/>
      <c r="M1486"/>
    </row>
    <row r="1487" spans="5:13" x14ac:dyDescent="0.25">
      <c r="E1487"/>
      <c r="M1487"/>
    </row>
    <row r="1488" spans="5:13" x14ac:dyDescent="0.25">
      <c r="E1488"/>
      <c r="M1488"/>
    </row>
    <row r="1489" spans="5:13" x14ac:dyDescent="0.25">
      <c r="E1489"/>
      <c r="M1489"/>
    </row>
    <row r="1490" spans="5:13" x14ac:dyDescent="0.25">
      <c r="E1490"/>
      <c r="M1490"/>
    </row>
    <row r="1491" spans="5:13" x14ac:dyDescent="0.25">
      <c r="E1491"/>
      <c r="M1491"/>
    </row>
    <row r="1492" spans="5:13" x14ac:dyDescent="0.25">
      <c r="E1492"/>
      <c r="M1492"/>
    </row>
    <row r="1493" spans="5:13" x14ac:dyDescent="0.25">
      <c r="E1493"/>
      <c r="M1493"/>
    </row>
    <row r="1494" spans="5:13" x14ac:dyDescent="0.25">
      <c r="E1494"/>
      <c r="M1494"/>
    </row>
    <row r="1495" spans="5:13" x14ac:dyDescent="0.25">
      <c r="E1495"/>
      <c r="M1495"/>
    </row>
    <row r="1496" spans="5:13" x14ac:dyDescent="0.25">
      <c r="E1496"/>
      <c r="M1496"/>
    </row>
    <row r="1497" spans="5:13" x14ac:dyDescent="0.25">
      <c r="E1497"/>
      <c r="M1497"/>
    </row>
    <row r="1498" spans="5:13" x14ac:dyDescent="0.25">
      <c r="E1498"/>
      <c r="M1498"/>
    </row>
    <row r="1499" spans="5:13" x14ac:dyDescent="0.25">
      <c r="E1499"/>
      <c r="M1499"/>
    </row>
    <row r="1500" spans="5:13" x14ac:dyDescent="0.25">
      <c r="E1500"/>
      <c r="M1500"/>
    </row>
    <row r="1501" spans="5:13" x14ac:dyDescent="0.25">
      <c r="E1501"/>
      <c r="M1501"/>
    </row>
    <row r="1502" spans="5:13" x14ac:dyDescent="0.25">
      <c r="E1502"/>
      <c r="M1502"/>
    </row>
    <row r="1503" spans="5:13" x14ac:dyDescent="0.25">
      <c r="E1503"/>
      <c r="M1503"/>
    </row>
    <row r="1504" spans="5:13" x14ac:dyDescent="0.25">
      <c r="E1504"/>
      <c r="M1504"/>
    </row>
    <row r="1505" spans="5:13" x14ac:dyDescent="0.25">
      <c r="E1505"/>
      <c r="M1505"/>
    </row>
    <row r="1506" spans="5:13" x14ac:dyDescent="0.25">
      <c r="E1506"/>
      <c r="M1506"/>
    </row>
    <row r="1507" spans="5:13" x14ac:dyDescent="0.25">
      <c r="E1507"/>
      <c r="M1507"/>
    </row>
    <row r="1508" spans="5:13" x14ac:dyDescent="0.25">
      <c r="E1508"/>
      <c r="M1508"/>
    </row>
    <row r="1509" spans="5:13" x14ac:dyDescent="0.25">
      <c r="E1509"/>
      <c r="M1509"/>
    </row>
    <row r="1510" spans="5:13" x14ac:dyDescent="0.25">
      <c r="E1510"/>
      <c r="M1510"/>
    </row>
    <row r="1511" spans="5:13" x14ac:dyDescent="0.25">
      <c r="E1511"/>
      <c r="M1511"/>
    </row>
    <row r="1512" spans="5:13" x14ac:dyDescent="0.25">
      <c r="E1512"/>
      <c r="M1512"/>
    </row>
    <row r="1513" spans="5:13" x14ac:dyDescent="0.25">
      <c r="E1513"/>
      <c r="M1513"/>
    </row>
    <row r="1514" spans="5:13" x14ac:dyDescent="0.25">
      <c r="E1514"/>
      <c r="M1514"/>
    </row>
    <row r="1515" spans="5:13" x14ac:dyDescent="0.25">
      <c r="E1515"/>
      <c r="M1515"/>
    </row>
    <row r="1516" spans="5:13" x14ac:dyDescent="0.25">
      <c r="E1516"/>
      <c r="M1516"/>
    </row>
    <row r="1517" spans="5:13" x14ac:dyDescent="0.25">
      <c r="E1517"/>
      <c r="M1517"/>
    </row>
    <row r="1518" spans="5:13" x14ac:dyDescent="0.25">
      <c r="E1518"/>
      <c r="M1518"/>
    </row>
    <row r="1519" spans="5:13" x14ac:dyDescent="0.25">
      <c r="E1519"/>
      <c r="M1519"/>
    </row>
    <row r="1520" spans="5:13" x14ac:dyDescent="0.25">
      <c r="E1520"/>
      <c r="M1520"/>
    </row>
    <row r="1521" spans="5:13" x14ac:dyDescent="0.25">
      <c r="E1521"/>
      <c r="M1521"/>
    </row>
    <row r="1522" spans="5:13" x14ac:dyDescent="0.25">
      <c r="E1522"/>
      <c r="M1522"/>
    </row>
    <row r="1523" spans="5:13" x14ac:dyDescent="0.25">
      <c r="E1523"/>
      <c r="M1523"/>
    </row>
    <row r="1524" spans="5:13" x14ac:dyDescent="0.25">
      <c r="E1524"/>
      <c r="M1524"/>
    </row>
    <row r="1525" spans="5:13" x14ac:dyDescent="0.25">
      <c r="E1525"/>
      <c r="M1525"/>
    </row>
    <row r="1526" spans="5:13" x14ac:dyDescent="0.25">
      <c r="E1526"/>
      <c r="M1526"/>
    </row>
    <row r="1527" spans="5:13" x14ac:dyDescent="0.25">
      <c r="E1527"/>
      <c r="M1527"/>
    </row>
    <row r="1528" spans="5:13" x14ac:dyDescent="0.25">
      <c r="E1528"/>
      <c r="M1528"/>
    </row>
    <row r="1529" spans="5:13" x14ac:dyDescent="0.25">
      <c r="E1529"/>
      <c r="M1529"/>
    </row>
    <row r="1530" spans="5:13" x14ac:dyDescent="0.25">
      <c r="E1530"/>
      <c r="M1530"/>
    </row>
    <row r="1531" spans="5:13" x14ac:dyDescent="0.25">
      <c r="E1531"/>
      <c r="M1531"/>
    </row>
    <row r="1532" spans="5:13" x14ac:dyDescent="0.25">
      <c r="E1532"/>
      <c r="M1532"/>
    </row>
    <row r="1533" spans="5:13" x14ac:dyDescent="0.25">
      <c r="E1533"/>
      <c r="M1533"/>
    </row>
    <row r="1534" spans="5:13" x14ac:dyDescent="0.25">
      <c r="E1534"/>
      <c r="M1534"/>
    </row>
    <row r="1535" spans="5:13" x14ac:dyDescent="0.25">
      <c r="E1535"/>
      <c r="M1535"/>
    </row>
    <row r="1536" spans="5:13" x14ac:dyDescent="0.25">
      <c r="E1536"/>
      <c r="M1536"/>
    </row>
    <row r="1537" spans="5:13" x14ac:dyDescent="0.25">
      <c r="E1537"/>
      <c r="M1537"/>
    </row>
    <row r="1538" spans="5:13" x14ac:dyDescent="0.25">
      <c r="E1538"/>
      <c r="M1538"/>
    </row>
    <row r="1539" spans="5:13" x14ac:dyDescent="0.25">
      <c r="E1539"/>
      <c r="M1539"/>
    </row>
    <row r="1540" spans="5:13" x14ac:dyDescent="0.25">
      <c r="E1540"/>
      <c r="M1540"/>
    </row>
    <row r="1541" spans="5:13" x14ac:dyDescent="0.25">
      <c r="E1541"/>
      <c r="M1541"/>
    </row>
    <row r="1542" spans="5:13" x14ac:dyDescent="0.25">
      <c r="E1542"/>
      <c r="M1542"/>
    </row>
    <row r="1543" spans="5:13" x14ac:dyDescent="0.25">
      <c r="E1543"/>
      <c r="M1543"/>
    </row>
    <row r="1544" spans="5:13" x14ac:dyDescent="0.25">
      <c r="E1544"/>
      <c r="M1544"/>
    </row>
    <row r="1545" spans="5:13" x14ac:dyDescent="0.25">
      <c r="E1545"/>
      <c r="M1545"/>
    </row>
    <row r="1546" spans="5:13" x14ac:dyDescent="0.25">
      <c r="E1546"/>
      <c r="M1546"/>
    </row>
    <row r="1547" spans="5:13" x14ac:dyDescent="0.25">
      <c r="E1547"/>
      <c r="M1547"/>
    </row>
    <row r="1548" spans="5:13" x14ac:dyDescent="0.25">
      <c r="E1548"/>
      <c r="M1548"/>
    </row>
    <row r="1549" spans="5:13" x14ac:dyDescent="0.25">
      <c r="E1549"/>
      <c r="M1549"/>
    </row>
    <row r="1550" spans="5:13" x14ac:dyDescent="0.25">
      <c r="E1550"/>
      <c r="M1550"/>
    </row>
    <row r="1551" spans="5:13" x14ac:dyDescent="0.25">
      <c r="E1551"/>
      <c r="M1551"/>
    </row>
    <row r="1552" spans="5:13" x14ac:dyDescent="0.25">
      <c r="E1552"/>
      <c r="M1552"/>
    </row>
    <row r="1553" spans="5:13" x14ac:dyDescent="0.25">
      <c r="E1553"/>
      <c r="M1553"/>
    </row>
    <row r="1554" spans="5:13" x14ac:dyDescent="0.25">
      <c r="E1554"/>
      <c r="M1554"/>
    </row>
    <row r="1555" spans="5:13" x14ac:dyDescent="0.25">
      <c r="E1555"/>
      <c r="M1555"/>
    </row>
    <row r="1556" spans="5:13" x14ac:dyDescent="0.25">
      <c r="E1556"/>
      <c r="M1556"/>
    </row>
    <row r="1557" spans="5:13" x14ac:dyDescent="0.25">
      <c r="E1557"/>
      <c r="M1557"/>
    </row>
    <row r="1558" spans="5:13" x14ac:dyDescent="0.25">
      <c r="E1558"/>
      <c r="M1558"/>
    </row>
    <row r="1559" spans="5:13" x14ac:dyDescent="0.25">
      <c r="E1559"/>
      <c r="M1559"/>
    </row>
    <row r="1560" spans="5:13" x14ac:dyDescent="0.25">
      <c r="E1560"/>
      <c r="M1560"/>
    </row>
    <row r="1561" spans="5:13" x14ac:dyDescent="0.25">
      <c r="E1561"/>
      <c r="M1561"/>
    </row>
    <row r="1562" spans="5:13" x14ac:dyDescent="0.25">
      <c r="E1562"/>
      <c r="M1562"/>
    </row>
    <row r="1563" spans="5:13" x14ac:dyDescent="0.25">
      <c r="E1563"/>
      <c r="M1563"/>
    </row>
    <row r="1564" spans="5:13" x14ac:dyDescent="0.25">
      <c r="E1564"/>
      <c r="M1564"/>
    </row>
    <row r="1565" spans="5:13" x14ac:dyDescent="0.25">
      <c r="E1565"/>
      <c r="M1565"/>
    </row>
    <row r="1566" spans="5:13" x14ac:dyDescent="0.25">
      <c r="E1566"/>
      <c r="M1566"/>
    </row>
    <row r="1567" spans="5:13" x14ac:dyDescent="0.25">
      <c r="E1567"/>
      <c r="M1567"/>
    </row>
    <row r="1568" spans="5:13" x14ac:dyDescent="0.25">
      <c r="E1568"/>
      <c r="M1568"/>
    </row>
    <row r="1569" spans="5:13" x14ac:dyDescent="0.25">
      <c r="E1569"/>
      <c r="M1569"/>
    </row>
    <row r="1570" spans="5:13" x14ac:dyDescent="0.25">
      <c r="E1570"/>
      <c r="M1570"/>
    </row>
    <row r="1571" spans="5:13" x14ac:dyDescent="0.25">
      <c r="E1571"/>
      <c r="M1571"/>
    </row>
    <row r="1572" spans="5:13" x14ac:dyDescent="0.25">
      <c r="E1572"/>
      <c r="M1572"/>
    </row>
    <row r="1573" spans="5:13" x14ac:dyDescent="0.25">
      <c r="E1573"/>
      <c r="M1573"/>
    </row>
    <row r="1574" spans="5:13" x14ac:dyDescent="0.25">
      <c r="E1574"/>
      <c r="M1574"/>
    </row>
    <row r="1575" spans="5:13" x14ac:dyDescent="0.25">
      <c r="E1575"/>
      <c r="M1575"/>
    </row>
    <row r="1576" spans="5:13" x14ac:dyDescent="0.25">
      <c r="E1576"/>
      <c r="M1576"/>
    </row>
    <row r="1577" spans="5:13" x14ac:dyDescent="0.25">
      <c r="E1577"/>
      <c r="M1577"/>
    </row>
    <row r="1578" spans="5:13" x14ac:dyDescent="0.25">
      <c r="E1578"/>
      <c r="M1578"/>
    </row>
    <row r="1579" spans="5:13" x14ac:dyDescent="0.25">
      <c r="E1579"/>
      <c r="M1579"/>
    </row>
    <row r="1580" spans="5:13" x14ac:dyDescent="0.25">
      <c r="E1580"/>
      <c r="M1580"/>
    </row>
    <row r="1581" spans="5:13" x14ac:dyDescent="0.25">
      <c r="E1581"/>
      <c r="M1581"/>
    </row>
    <row r="1582" spans="5:13" x14ac:dyDescent="0.25">
      <c r="E1582"/>
      <c r="M1582"/>
    </row>
    <row r="1583" spans="5:13" x14ac:dyDescent="0.25">
      <c r="E1583"/>
      <c r="M1583"/>
    </row>
    <row r="1584" spans="5:13" x14ac:dyDescent="0.25">
      <c r="E1584"/>
      <c r="M1584"/>
    </row>
    <row r="1585" spans="5:13" x14ac:dyDescent="0.25">
      <c r="E1585"/>
      <c r="M1585"/>
    </row>
    <row r="1586" spans="5:13" x14ac:dyDescent="0.25">
      <c r="E1586"/>
      <c r="M1586"/>
    </row>
    <row r="1587" spans="5:13" x14ac:dyDescent="0.25">
      <c r="E1587"/>
      <c r="M1587"/>
    </row>
    <row r="1588" spans="5:13" x14ac:dyDescent="0.25">
      <c r="E1588"/>
      <c r="M1588"/>
    </row>
    <row r="1589" spans="5:13" x14ac:dyDescent="0.25">
      <c r="E1589"/>
      <c r="M1589"/>
    </row>
    <row r="1590" spans="5:13" x14ac:dyDescent="0.25">
      <c r="E1590"/>
      <c r="M1590"/>
    </row>
    <row r="1591" spans="5:13" x14ac:dyDescent="0.25">
      <c r="E1591"/>
      <c r="M1591"/>
    </row>
    <row r="1592" spans="5:13" x14ac:dyDescent="0.25">
      <c r="E1592"/>
      <c r="M1592"/>
    </row>
    <row r="1593" spans="5:13" x14ac:dyDescent="0.25">
      <c r="E1593"/>
      <c r="M1593"/>
    </row>
    <row r="1594" spans="5:13" x14ac:dyDescent="0.25">
      <c r="E1594"/>
      <c r="M1594"/>
    </row>
    <row r="1595" spans="5:13" x14ac:dyDescent="0.25">
      <c r="E1595"/>
      <c r="M1595"/>
    </row>
    <row r="1596" spans="5:13" x14ac:dyDescent="0.25">
      <c r="E1596"/>
      <c r="M1596"/>
    </row>
    <row r="1597" spans="5:13" x14ac:dyDescent="0.25">
      <c r="E1597"/>
      <c r="M1597"/>
    </row>
    <row r="1598" spans="5:13" x14ac:dyDescent="0.25">
      <c r="E1598"/>
      <c r="M1598"/>
    </row>
    <row r="1599" spans="5:13" x14ac:dyDescent="0.25">
      <c r="E1599"/>
      <c r="M1599"/>
    </row>
    <row r="1600" spans="5:13" x14ac:dyDescent="0.25">
      <c r="E1600"/>
      <c r="M1600"/>
    </row>
    <row r="1601" spans="5:13" x14ac:dyDescent="0.25">
      <c r="E1601"/>
      <c r="M1601"/>
    </row>
    <row r="1602" spans="5:13" x14ac:dyDescent="0.25">
      <c r="E1602"/>
      <c r="M1602"/>
    </row>
    <row r="1603" spans="5:13" x14ac:dyDescent="0.25">
      <c r="E1603"/>
      <c r="M1603"/>
    </row>
    <row r="1604" spans="5:13" x14ac:dyDescent="0.25">
      <c r="E1604"/>
      <c r="M1604"/>
    </row>
    <row r="1605" spans="5:13" x14ac:dyDescent="0.25">
      <c r="E1605"/>
      <c r="M1605"/>
    </row>
    <row r="1606" spans="5:13" x14ac:dyDescent="0.25">
      <c r="E1606"/>
      <c r="M1606"/>
    </row>
    <row r="1607" spans="5:13" x14ac:dyDescent="0.25">
      <c r="E1607"/>
      <c r="M1607"/>
    </row>
    <row r="1608" spans="5:13" x14ac:dyDescent="0.25">
      <c r="E1608"/>
      <c r="M1608"/>
    </row>
    <row r="1609" spans="5:13" x14ac:dyDescent="0.25">
      <c r="E1609"/>
      <c r="M1609"/>
    </row>
    <row r="1610" spans="5:13" x14ac:dyDescent="0.25">
      <c r="E1610"/>
      <c r="M1610"/>
    </row>
    <row r="1611" spans="5:13" x14ac:dyDescent="0.25">
      <c r="E1611"/>
      <c r="M1611"/>
    </row>
    <row r="1612" spans="5:13" x14ac:dyDescent="0.25">
      <c r="E1612"/>
      <c r="M1612"/>
    </row>
    <row r="1613" spans="5:13" x14ac:dyDescent="0.25">
      <c r="E1613"/>
      <c r="M1613"/>
    </row>
    <row r="1614" spans="5:13" x14ac:dyDescent="0.25">
      <c r="E1614"/>
      <c r="M1614"/>
    </row>
    <row r="1615" spans="5:13" x14ac:dyDescent="0.25">
      <c r="E1615"/>
      <c r="M1615"/>
    </row>
    <row r="1616" spans="5:13" x14ac:dyDescent="0.25">
      <c r="E1616"/>
      <c r="M1616"/>
    </row>
    <row r="1617" spans="5:13" x14ac:dyDescent="0.25">
      <c r="E1617"/>
      <c r="M1617"/>
    </row>
    <row r="1618" spans="5:13" x14ac:dyDescent="0.25">
      <c r="E1618"/>
      <c r="M1618"/>
    </row>
    <row r="1619" spans="5:13" x14ac:dyDescent="0.25">
      <c r="E1619"/>
      <c r="M1619"/>
    </row>
    <row r="1620" spans="5:13" x14ac:dyDescent="0.25">
      <c r="E1620"/>
      <c r="M1620"/>
    </row>
    <row r="1621" spans="5:13" x14ac:dyDescent="0.25">
      <c r="E1621"/>
      <c r="M1621"/>
    </row>
    <row r="1622" spans="5:13" x14ac:dyDescent="0.25">
      <c r="E1622"/>
      <c r="M1622"/>
    </row>
    <row r="1623" spans="5:13" x14ac:dyDescent="0.25">
      <c r="E1623"/>
      <c r="M1623"/>
    </row>
    <row r="1624" spans="5:13" x14ac:dyDescent="0.25">
      <c r="E1624"/>
      <c r="M1624"/>
    </row>
    <row r="1625" spans="5:13" x14ac:dyDescent="0.25">
      <c r="E1625"/>
      <c r="M1625"/>
    </row>
    <row r="1626" spans="5:13" x14ac:dyDescent="0.25">
      <c r="E1626"/>
      <c r="M1626"/>
    </row>
    <row r="1627" spans="5:13" x14ac:dyDescent="0.25">
      <c r="E1627"/>
      <c r="M1627"/>
    </row>
    <row r="1628" spans="5:13" x14ac:dyDescent="0.25">
      <c r="E1628"/>
      <c r="M1628"/>
    </row>
    <row r="1629" spans="5:13" x14ac:dyDescent="0.25">
      <c r="E1629"/>
      <c r="M1629"/>
    </row>
    <row r="1630" spans="5:13" x14ac:dyDescent="0.25">
      <c r="E1630"/>
      <c r="M1630"/>
    </row>
    <row r="1631" spans="5:13" x14ac:dyDescent="0.25">
      <c r="E1631"/>
      <c r="M1631"/>
    </row>
    <row r="1632" spans="5:13" x14ac:dyDescent="0.25">
      <c r="E1632"/>
      <c r="M1632"/>
    </row>
    <row r="1633" spans="5:13" x14ac:dyDescent="0.25">
      <c r="E1633"/>
      <c r="M1633"/>
    </row>
    <row r="1634" spans="5:13" x14ac:dyDescent="0.25">
      <c r="E1634"/>
      <c r="M1634"/>
    </row>
    <row r="1635" spans="5:13" x14ac:dyDescent="0.25">
      <c r="E1635"/>
      <c r="M1635"/>
    </row>
    <row r="1636" spans="5:13" x14ac:dyDescent="0.25">
      <c r="E1636"/>
      <c r="M1636"/>
    </row>
    <row r="1637" spans="5:13" x14ac:dyDescent="0.25">
      <c r="E1637"/>
      <c r="M1637"/>
    </row>
    <row r="1638" spans="5:13" x14ac:dyDescent="0.25">
      <c r="E1638"/>
      <c r="M1638"/>
    </row>
    <row r="1639" spans="5:13" x14ac:dyDescent="0.25">
      <c r="E1639"/>
      <c r="M1639"/>
    </row>
    <row r="1640" spans="5:13" x14ac:dyDescent="0.25">
      <c r="E1640"/>
      <c r="M1640"/>
    </row>
    <row r="1641" spans="5:13" x14ac:dyDescent="0.25">
      <c r="E1641"/>
      <c r="M1641"/>
    </row>
    <row r="1642" spans="5:13" x14ac:dyDescent="0.25">
      <c r="E1642"/>
      <c r="M1642"/>
    </row>
    <row r="1643" spans="5:13" x14ac:dyDescent="0.25">
      <c r="E1643"/>
      <c r="M1643"/>
    </row>
    <row r="1644" spans="5:13" x14ac:dyDescent="0.25">
      <c r="E1644"/>
      <c r="M1644"/>
    </row>
    <row r="1645" spans="5:13" x14ac:dyDescent="0.25">
      <c r="E1645"/>
      <c r="M1645"/>
    </row>
    <row r="1646" spans="5:13" x14ac:dyDescent="0.25">
      <c r="E1646"/>
      <c r="M1646"/>
    </row>
    <row r="1647" spans="5:13" x14ac:dyDescent="0.25">
      <c r="E1647"/>
      <c r="M1647"/>
    </row>
    <row r="1648" spans="5:13" x14ac:dyDescent="0.25">
      <c r="E1648"/>
      <c r="M1648"/>
    </row>
    <row r="1649" spans="5:13" x14ac:dyDescent="0.25">
      <c r="E1649"/>
      <c r="M1649"/>
    </row>
    <row r="1650" spans="5:13" x14ac:dyDescent="0.25">
      <c r="E1650"/>
      <c r="M1650"/>
    </row>
    <row r="1651" spans="5:13" x14ac:dyDescent="0.25">
      <c r="E1651"/>
      <c r="M1651"/>
    </row>
    <row r="1652" spans="5:13" x14ac:dyDescent="0.25">
      <c r="E1652"/>
      <c r="M1652"/>
    </row>
    <row r="1653" spans="5:13" x14ac:dyDescent="0.25">
      <c r="E1653"/>
      <c r="M1653"/>
    </row>
    <row r="1654" spans="5:13" x14ac:dyDescent="0.25">
      <c r="E1654"/>
      <c r="M1654"/>
    </row>
    <row r="1655" spans="5:13" x14ac:dyDescent="0.25">
      <c r="E1655"/>
      <c r="M1655"/>
    </row>
    <row r="1656" spans="5:13" x14ac:dyDescent="0.25">
      <c r="E1656"/>
      <c r="M1656"/>
    </row>
    <row r="1657" spans="5:13" x14ac:dyDescent="0.25">
      <c r="E1657"/>
      <c r="M1657"/>
    </row>
    <row r="1658" spans="5:13" x14ac:dyDescent="0.25">
      <c r="E1658"/>
      <c r="M1658"/>
    </row>
    <row r="1659" spans="5:13" x14ac:dyDescent="0.25">
      <c r="E1659"/>
      <c r="M1659"/>
    </row>
    <row r="1660" spans="5:13" x14ac:dyDescent="0.25">
      <c r="E1660"/>
      <c r="M1660"/>
    </row>
    <row r="1661" spans="5:13" x14ac:dyDescent="0.25">
      <c r="E1661"/>
      <c r="M1661"/>
    </row>
    <row r="1662" spans="5:13" x14ac:dyDescent="0.25">
      <c r="E1662"/>
      <c r="M1662"/>
    </row>
    <row r="1663" spans="5:13" x14ac:dyDescent="0.25">
      <c r="E1663"/>
      <c r="M1663"/>
    </row>
    <row r="1664" spans="5:13" x14ac:dyDescent="0.25">
      <c r="E1664"/>
      <c r="M1664"/>
    </row>
    <row r="1665" spans="5:13" x14ac:dyDescent="0.25">
      <c r="E1665"/>
      <c r="M1665"/>
    </row>
    <row r="1666" spans="5:13" x14ac:dyDescent="0.25">
      <c r="E1666"/>
      <c r="M1666"/>
    </row>
    <row r="1667" spans="5:13" x14ac:dyDescent="0.25">
      <c r="E1667"/>
      <c r="M1667"/>
    </row>
    <row r="1668" spans="5:13" x14ac:dyDescent="0.25">
      <c r="E1668"/>
      <c r="M1668"/>
    </row>
    <row r="1669" spans="5:13" x14ac:dyDescent="0.25">
      <c r="E1669"/>
      <c r="M1669"/>
    </row>
    <row r="1670" spans="5:13" x14ac:dyDescent="0.25">
      <c r="E1670"/>
      <c r="M1670"/>
    </row>
    <row r="1671" spans="5:13" x14ac:dyDescent="0.25">
      <c r="E1671"/>
      <c r="M1671"/>
    </row>
    <row r="1672" spans="5:13" x14ac:dyDescent="0.25">
      <c r="E1672"/>
      <c r="M1672"/>
    </row>
    <row r="1673" spans="5:13" x14ac:dyDescent="0.25">
      <c r="E1673"/>
      <c r="M1673"/>
    </row>
    <row r="1674" spans="5:13" x14ac:dyDescent="0.25">
      <c r="E1674"/>
      <c r="M1674"/>
    </row>
    <row r="1675" spans="5:13" x14ac:dyDescent="0.25">
      <c r="E1675"/>
      <c r="M1675"/>
    </row>
    <row r="1676" spans="5:13" x14ac:dyDescent="0.25">
      <c r="E1676"/>
      <c r="M1676"/>
    </row>
    <row r="1677" spans="5:13" x14ac:dyDescent="0.25">
      <c r="E1677"/>
      <c r="M1677"/>
    </row>
    <row r="1678" spans="5:13" x14ac:dyDescent="0.25">
      <c r="E1678"/>
      <c r="M1678"/>
    </row>
    <row r="1679" spans="5:13" x14ac:dyDescent="0.25">
      <c r="E1679"/>
      <c r="M1679"/>
    </row>
    <row r="1680" spans="5:13" x14ac:dyDescent="0.25">
      <c r="E1680"/>
      <c r="M1680"/>
    </row>
    <row r="1681" spans="5:13" x14ac:dyDescent="0.25">
      <c r="E1681"/>
      <c r="M1681"/>
    </row>
    <row r="1682" spans="5:13" x14ac:dyDescent="0.25">
      <c r="E1682"/>
      <c r="M1682"/>
    </row>
    <row r="1683" spans="5:13" x14ac:dyDescent="0.25">
      <c r="E1683"/>
      <c r="M1683"/>
    </row>
    <row r="1684" spans="5:13" x14ac:dyDescent="0.25">
      <c r="E1684"/>
      <c r="M1684"/>
    </row>
    <row r="1685" spans="5:13" x14ac:dyDescent="0.25">
      <c r="E1685"/>
      <c r="M1685"/>
    </row>
    <row r="1686" spans="5:13" x14ac:dyDescent="0.25">
      <c r="E1686"/>
      <c r="M1686"/>
    </row>
    <row r="1687" spans="5:13" x14ac:dyDescent="0.25">
      <c r="E1687"/>
      <c r="M1687"/>
    </row>
    <row r="1688" spans="5:13" x14ac:dyDescent="0.25">
      <c r="E1688"/>
      <c r="M1688"/>
    </row>
    <row r="1689" spans="5:13" x14ac:dyDescent="0.25">
      <c r="E1689"/>
      <c r="M1689"/>
    </row>
    <row r="1690" spans="5:13" x14ac:dyDescent="0.25">
      <c r="E1690"/>
      <c r="M1690"/>
    </row>
    <row r="1691" spans="5:13" x14ac:dyDescent="0.25">
      <c r="E1691"/>
      <c r="M1691"/>
    </row>
    <row r="1692" spans="5:13" x14ac:dyDescent="0.25">
      <c r="E1692"/>
      <c r="M1692"/>
    </row>
    <row r="1693" spans="5:13" x14ac:dyDescent="0.25">
      <c r="E1693"/>
      <c r="M1693"/>
    </row>
    <row r="1694" spans="5:13" x14ac:dyDescent="0.25">
      <c r="E1694"/>
      <c r="M1694"/>
    </row>
    <row r="1695" spans="5:13" x14ac:dyDescent="0.25">
      <c r="E1695"/>
      <c r="M1695"/>
    </row>
    <row r="1696" spans="5:13" x14ac:dyDescent="0.25">
      <c r="E1696"/>
      <c r="M1696"/>
    </row>
    <row r="1697" spans="5:13" x14ac:dyDescent="0.25">
      <c r="E1697"/>
      <c r="M1697"/>
    </row>
    <row r="1698" spans="5:13" x14ac:dyDescent="0.25">
      <c r="E1698"/>
      <c r="M1698"/>
    </row>
    <row r="1699" spans="5:13" x14ac:dyDescent="0.25">
      <c r="E1699"/>
      <c r="M1699"/>
    </row>
    <row r="1700" spans="5:13" x14ac:dyDescent="0.25">
      <c r="E1700"/>
      <c r="M1700"/>
    </row>
    <row r="1701" spans="5:13" x14ac:dyDescent="0.25">
      <c r="E1701"/>
      <c r="M1701"/>
    </row>
    <row r="1702" spans="5:13" x14ac:dyDescent="0.25">
      <c r="E1702"/>
      <c r="M1702"/>
    </row>
    <row r="1703" spans="5:13" x14ac:dyDescent="0.25">
      <c r="E1703"/>
      <c r="M1703"/>
    </row>
    <row r="1704" spans="5:13" x14ac:dyDescent="0.25">
      <c r="E1704"/>
      <c r="M1704"/>
    </row>
    <row r="1705" spans="5:13" x14ac:dyDescent="0.25">
      <c r="E1705"/>
      <c r="M1705"/>
    </row>
    <row r="1706" spans="5:13" x14ac:dyDescent="0.25">
      <c r="E1706"/>
      <c r="M1706"/>
    </row>
    <row r="1707" spans="5:13" x14ac:dyDescent="0.25">
      <c r="E1707"/>
      <c r="M1707"/>
    </row>
    <row r="1708" spans="5:13" x14ac:dyDescent="0.25">
      <c r="E1708"/>
      <c r="M1708"/>
    </row>
    <row r="1709" spans="5:13" x14ac:dyDescent="0.25">
      <c r="E1709"/>
      <c r="M1709"/>
    </row>
    <row r="1710" spans="5:13" x14ac:dyDescent="0.25">
      <c r="E1710"/>
      <c r="M1710"/>
    </row>
    <row r="1711" spans="5:13" x14ac:dyDescent="0.25">
      <c r="E1711"/>
      <c r="M1711"/>
    </row>
    <row r="1712" spans="5:13" x14ac:dyDescent="0.25">
      <c r="E1712"/>
      <c r="M1712"/>
    </row>
    <row r="1713" spans="5:13" x14ac:dyDescent="0.25">
      <c r="E1713"/>
      <c r="M1713"/>
    </row>
    <row r="1714" spans="5:13" x14ac:dyDescent="0.25">
      <c r="E1714"/>
      <c r="M1714"/>
    </row>
    <row r="1715" spans="5:13" x14ac:dyDescent="0.25">
      <c r="E1715"/>
      <c r="M1715"/>
    </row>
    <row r="1716" spans="5:13" x14ac:dyDescent="0.25">
      <c r="E1716"/>
      <c r="M1716"/>
    </row>
    <row r="1717" spans="5:13" x14ac:dyDescent="0.25">
      <c r="E1717"/>
      <c r="M1717"/>
    </row>
    <row r="1718" spans="5:13" x14ac:dyDescent="0.25">
      <c r="E1718"/>
      <c r="M1718"/>
    </row>
    <row r="1719" spans="5:13" x14ac:dyDescent="0.25">
      <c r="E1719"/>
      <c r="M1719"/>
    </row>
    <row r="1720" spans="5:13" x14ac:dyDescent="0.25">
      <c r="E1720"/>
      <c r="M1720"/>
    </row>
    <row r="1721" spans="5:13" x14ac:dyDescent="0.25">
      <c r="E1721"/>
      <c r="M1721"/>
    </row>
    <row r="1722" spans="5:13" x14ac:dyDescent="0.25">
      <c r="E1722"/>
      <c r="M1722"/>
    </row>
    <row r="1723" spans="5:13" x14ac:dyDescent="0.25">
      <c r="E1723"/>
      <c r="M1723"/>
    </row>
    <row r="1724" spans="5:13" x14ac:dyDescent="0.25">
      <c r="E1724"/>
      <c r="M1724"/>
    </row>
    <row r="1725" spans="5:13" x14ac:dyDescent="0.25">
      <c r="E1725"/>
      <c r="M1725"/>
    </row>
    <row r="1726" spans="5:13" x14ac:dyDescent="0.25">
      <c r="E1726"/>
      <c r="M1726"/>
    </row>
    <row r="1727" spans="5:13" x14ac:dyDescent="0.25">
      <c r="E1727"/>
      <c r="M1727"/>
    </row>
    <row r="1728" spans="5:13" x14ac:dyDescent="0.25">
      <c r="E1728"/>
      <c r="M1728"/>
    </row>
    <row r="1729" spans="5:13" x14ac:dyDescent="0.25">
      <c r="E1729"/>
      <c r="M1729"/>
    </row>
    <row r="1730" spans="5:13" x14ac:dyDescent="0.25">
      <c r="E1730"/>
      <c r="M1730"/>
    </row>
    <row r="1731" spans="5:13" x14ac:dyDescent="0.25">
      <c r="E1731"/>
      <c r="M1731"/>
    </row>
    <row r="1732" spans="5:13" x14ac:dyDescent="0.25">
      <c r="E1732"/>
      <c r="M1732"/>
    </row>
    <row r="1733" spans="5:13" x14ac:dyDescent="0.25">
      <c r="E1733"/>
      <c r="M1733"/>
    </row>
    <row r="1734" spans="5:13" x14ac:dyDescent="0.25">
      <c r="E1734"/>
      <c r="M1734"/>
    </row>
    <row r="1735" spans="5:13" x14ac:dyDescent="0.25">
      <c r="E1735"/>
      <c r="M1735"/>
    </row>
    <row r="1736" spans="5:13" x14ac:dyDescent="0.25">
      <c r="E1736"/>
      <c r="M1736"/>
    </row>
    <row r="1737" spans="5:13" x14ac:dyDescent="0.25">
      <c r="E1737"/>
      <c r="M1737"/>
    </row>
    <row r="1738" spans="5:13" x14ac:dyDescent="0.25">
      <c r="E1738"/>
      <c r="M1738"/>
    </row>
    <row r="1739" spans="5:13" x14ac:dyDescent="0.25">
      <c r="E1739"/>
      <c r="M1739"/>
    </row>
    <row r="1740" spans="5:13" x14ac:dyDescent="0.25">
      <c r="E1740"/>
      <c r="M1740"/>
    </row>
    <row r="1741" spans="5:13" x14ac:dyDescent="0.25">
      <c r="E1741"/>
      <c r="M1741"/>
    </row>
    <row r="1742" spans="5:13" x14ac:dyDescent="0.25">
      <c r="E1742"/>
      <c r="M1742"/>
    </row>
    <row r="1743" spans="5:13" x14ac:dyDescent="0.25">
      <c r="E1743"/>
      <c r="M1743"/>
    </row>
    <row r="1744" spans="5:13" x14ac:dyDescent="0.25">
      <c r="E1744"/>
      <c r="M1744"/>
    </row>
    <row r="1745" spans="5:13" x14ac:dyDescent="0.25">
      <c r="E1745"/>
      <c r="M1745"/>
    </row>
    <row r="1746" spans="5:13" x14ac:dyDescent="0.25">
      <c r="E1746"/>
      <c r="M1746"/>
    </row>
    <row r="1747" spans="5:13" x14ac:dyDescent="0.25">
      <c r="E1747"/>
      <c r="M1747"/>
    </row>
    <row r="1748" spans="5:13" x14ac:dyDescent="0.25">
      <c r="E1748"/>
      <c r="M1748"/>
    </row>
    <row r="1749" spans="5:13" x14ac:dyDescent="0.25">
      <c r="E1749"/>
      <c r="M1749"/>
    </row>
    <row r="1750" spans="5:13" x14ac:dyDescent="0.25">
      <c r="E1750"/>
      <c r="M1750"/>
    </row>
    <row r="1751" spans="5:13" x14ac:dyDescent="0.25">
      <c r="E1751"/>
      <c r="M1751"/>
    </row>
    <row r="1752" spans="5:13" x14ac:dyDescent="0.25">
      <c r="E1752"/>
      <c r="M1752"/>
    </row>
    <row r="1753" spans="5:13" x14ac:dyDescent="0.25">
      <c r="E1753"/>
      <c r="M1753"/>
    </row>
    <row r="1754" spans="5:13" x14ac:dyDescent="0.25">
      <c r="E1754"/>
      <c r="M1754"/>
    </row>
    <row r="1755" spans="5:13" x14ac:dyDescent="0.25">
      <c r="E1755"/>
      <c r="M1755"/>
    </row>
    <row r="1756" spans="5:13" x14ac:dyDescent="0.25">
      <c r="E1756"/>
      <c r="M1756"/>
    </row>
    <row r="1757" spans="5:13" x14ac:dyDescent="0.25">
      <c r="E1757"/>
      <c r="M1757"/>
    </row>
    <row r="1758" spans="5:13" x14ac:dyDescent="0.25">
      <c r="E1758"/>
      <c r="M1758"/>
    </row>
    <row r="1759" spans="5:13" x14ac:dyDescent="0.25">
      <c r="E1759"/>
      <c r="M1759"/>
    </row>
    <row r="1760" spans="5:13" x14ac:dyDescent="0.25">
      <c r="E1760"/>
      <c r="M1760"/>
    </row>
    <row r="1761" spans="5:13" x14ac:dyDescent="0.25">
      <c r="E1761"/>
      <c r="M1761"/>
    </row>
    <row r="1762" spans="5:13" x14ac:dyDescent="0.25">
      <c r="E1762"/>
      <c r="M1762"/>
    </row>
    <row r="1763" spans="5:13" x14ac:dyDescent="0.25">
      <c r="E1763"/>
      <c r="M1763"/>
    </row>
    <row r="1764" spans="5:13" x14ac:dyDescent="0.25">
      <c r="E1764"/>
      <c r="M1764"/>
    </row>
    <row r="1765" spans="5:13" x14ac:dyDescent="0.25">
      <c r="E1765"/>
      <c r="M1765"/>
    </row>
    <row r="1766" spans="5:13" x14ac:dyDescent="0.25">
      <c r="E1766"/>
      <c r="M1766"/>
    </row>
    <row r="1767" spans="5:13" x14ac:dyDescent="0.25">
      <c r="E1767"/>
      <c r="M1767"/>
    </row>
    <row r="1768" spans="5:13" x14ac:dyDescent="0.25">
      <c r="E1768"/>
      <c r="M1768"/>
    </row>
    <row r="1769" spans="5:13" x14ac:dyDescent="0.25">
      <c r="E1769"/>
      <c r="M1769"/>
    </row>
    <row r="1770" spans="5:13" x14ac:dyDescent="0.25">
      <c r="E1770"/>
      <c r="M1770"/>
    </row>
    <row r="1771" spans="5:13" x14ac:dyDescent="0.25">
      <c r="E1771"/>
      <c r="M1771"/>
    </row>
    <row r="1772" spans="5:13" x14ac:dyDescent="0.25">
      <c r="E1772"/>
      <c r="M1772"/>
    </row>
    <row r="1773" spans="5:13" x14ac:dyDescent="0.25">
      <c r="E1773"/>
      <c r="M1773"/>
    </row>
    <row r="1774" spans="5:13" x14ac:dyDescent="0.25">
      <c r="E1774"/>
      <c r="M1774"/>
    </row>
    <row r="1775" spans="5:13" x14ac:dyDescent="0.25">
      <c r="E1775"/>
      <c r="M1775"/>
    </row>
    <row r="1776" spans="5:13" x14ac:dyDescent="0.25">
      <c r="E1776"/>
      <c r="M1776"/>
    </row>
    <row r="1777" spans="5:13" x14ac:dyDescent="0.25">
      <c r="E1777"/>
      <c r="M1777"/>
    </row>
    <row r="1778" spans="5:13" x14ac:dyDescent="0.25">
      <c r="E1778"/>
      <c r="M1778"/>
    </row>
    <row r="1779" spans="5:13" x14ac:dyDescent="0.25">
      <c r="E1779"/>
      <c r="M1779"/>
    </row>
    <row r="1780" spans="5:13" x14ac:dyDescent="0.25">
      <c r="E1780"/>
      <c r="M1780"/>
    </row>
    <row r="1781" spans="5:13" x14ac:dyDescent="0.25">
      <c r="E1781"/>
      <c r="M1781"/>
    </row>
    <row r="1782" spans="5:13" x14ac:dyDescent="0.25">
      <c r="E1782"/>
      <c r="M1782"/>
    </row>
    <row r="1783" spans="5:13" x14ac:dyDescent="0.25">
      <c r="E1783"/>
      <c r="M1783"/>
    </row>
    <row r="1784" spans="5:13" x14ac:dyDescent="0.25">
      <c r="E1784"/>
      <c r="M1784"/>
    </row>
    <row r="1785" spans="5:13" x14ac:dyDescent="0.25">
      <c r="E1785"/>
      <c r="M1785"/>
    </row>
    <row r="1786" spans="5:13" x14ac:dyDescent="0.25">
      <c r="E1786"/>
      <c r="M1786"/>
    </row>
    <row r="1787" spans="5:13" x14ac:dyDescent="0.25">
      <c r="E1787"/>
      <c r="M1787"/>
    </row>
    <row r="1788" spans="5:13" x14ac:dyDescent="0.25">
      <c r="E1788"/>
      <c r="M1788"/>
    </row>
    <row r="1789" spans="5:13" x14ac:dyDescent="0.25">
      <c r="E1789"/>
      <c r="M1789"/>
    </row>
    <row r="1790" spans="5:13" x14ac:dyDescent="0.25">
      <c r="E1790"/>
      <c r="M1790"/>
    </row>
    <row r="1791" spans="5:13" x14ac:dyDescent="0.25">
      <c r="E1791"/>
      <c r="M1791"/>
    </row>
    <row r="1792" spans="5:13" x14ac:dyDescent="0.25">
      <c r="E1792"/>
      <c r="M1792"/>
    </row>
    <row r="1793" spans="5:13" x14ac:dyDescent="0.25">
      <c r="E1793"/>
      <c r="M1793"/>
    </row>
    <row r="1794" spans="5:13" x14ac:dyDescent="0.25">
      <c r="E1794"/>
      <c r="M1794"/>
    </row>
    <row r="1795" spans="5:13" x14ac:dyDescent="0.25">
      <c r="E1795"/>
      <c r="M1795"/>
    </row>
    <row r="1796" spans="5:13" x14ac:dyDescent="0.25">
      <c r="E1796"/>
      <c r="M1796"/>
    </row>
    <row r="1797" spans="5:13" x14ac:dyDescent="0.25">
      <c r="E1797"/>
      <c r="M1797"/>
    </row>
    <row r="1798" spans="5:13" x14ac:dyDescent="0.25">
      <c r="E1798"/>
      <c r="M1798"/>
    </row>
    <row r="1799" spans="5:13" x14ac:dyDescent="0.25">
      <c r="E1799"/>
      <c r="M1799"/>
    </row>
    <row r="1800" spans="5:13" x14ac:dyDescent="0.25">
      <c r="E1800"/>
      <c r="M1800"/>
    </row>
    <row r="1801" spans="5:13" x14ac:dyDescent="0.25">
      <c r="E1801"/>
      <c r="M1801"/>
    </row>
    <row r="1802" spans="5:13" x14ac:dyDescent="0.25">
      <c r="E1802"/>
      <c r="M1802"/>
    </row>
    <row r="1803" spans="5:13" x14ac:dyDescent="0.25">
      <c r="E1803"/>
      <c r="M1803"/>
    </row>
    <row r="1804" spans="5:13" x14ac:dyDescent="0.25">
      <c r="E1804"/>
      <c r="M1804"/>
    </row>
    <row r="1805" spans="5:13" x14ac:dyDescent="0.25">
      <c r="E1805"/>
      <c r="M1805"/>
    </row>
    <row r="1806" spans="5:13" x14ac:dyDescent="0.25">
      <c r="E1806"/>
      <c r="M1806"/>
    </row>
    <row r="1807" spans="5:13" x14ac:dyDescent="0.25">
      <c r="E1807"/>
      <c r="M1807"/>
    </row>
    <row r="1808" spans="5:13" x14ac:dyDescent="0.25">
      <c r="E1808"/>
      <c r="M1808"/>
    </row>
    <row r="1809" spans="5:13" x14ac:dyDescent="0.25">
      <c r="E1809"/>
      <c r="M1809"/>
    </row>
    <row r="1810" spans="5:13" x14ac:dyDescent="0.25">
      <c r="E1810"/>
      <c r="M1810"/>
    </row>
    <row r="1811" spans="5:13" x14ac:dyDescent="0.25">
      <c r="E1811"/>
      <c r="M1811"/>
    </row>
    <row r="1812" spans="5:13" x14ac:dyDescent="0.25">
      <c r="E1812"/>
      <c r="M1812"/>
    </row>
    <row r="1813" spans="5:13" x14ac:dyDescent="0.25">
      <c r="E1813"/>
      <c r="M1813"/>
    </row>
    <row r="1814" spans="5:13" x14ac:dyDescent="0.25">
      <c r="E1814"/>
      <c r="M1814"/>
    </row>
    <row r="1815" spans="5:13" x14ac:dyDescent="0.25">
      <c r="E1815"/>
      <c r="M1815"/>
    </row>
    <row r="1816" spans="5:13" x14ac:dyDescent="0.25">
      <c r="E1816"/>
      <c r="M1816"/>
    </row>
    <row r="1817" spans="5:13" x14ac:dyDescent="0.25">
      <c r="E1817"/>
      <c r="M1817"/>
    </row>
    <row r="1818" spans="5:13" x14ac:dyDescent="0.25">
      <c r="E1818"/>
      <c r="M1818"/>
    </row>
    <row r="1819" spans="5:13" x14ac:dyDescent="0.25">
      <c r="E1819"/>
      <c r="M1819"/>
    </row>
    <row r="1820" spans="5:13" x14ac:dyDescent="0.25">
      <c r="E1820"/>
      <c r="M1820"/>
    </row>
    <row r="1821" spans="5:13" x14ac:dyDescent="0.25">
      <c r="E1821"/>
      <c r="M1821"/>
    </row>
    <row r="1822" spans="5:13" x14ac:dyDescent="0.25">
      <c r="E1822"/>
      <c r="M1822"/>
    </row>
    <row r="1823" spans="5:13" x14ac:dyDescent="0.25">
      <c r="E1823"/>
      <c r="M1823"/>
    </row>
    <row r="1824" spans="5:13" x14ac:dyDescent="0.25">
      <c r="E1824"/>
      <c r="M1824"/>
    </row>
    <row r="1825" spans="5:13" x14ac:dyDescent="0.25">
      <c r="E1825"/>
      <c r="M1825"/>
    </row>
    <row r="1826" spans="5:13" x14ac:dyDescent="0.25">
      <c r="E1826"/>
      <c r="M1826"/>
    </row>
    <row r="1827" spans="5:13" x14ac:dyDescent="0.25">
      <c r="E1827"/>
      <c r="M1827"/>
    </row>
    <row r="1828" spans="5:13" x14ac:dyDescent="0.25">
      <c r="E1828"/>
      <c r="M1828"/>
    </row>
    <row r="1829" spans="5:13" x14ac:dyDescent="0.25">
      <c r="E1829"/>
      <c r="M1829"/>
    </row>
    <row r="1830" spans="5:13" x14ac:dyDescent="0.25">
      <c r="E1830"/>
      <c r="M1830"/>
    </row>
    <row r="1831" spans="5:13" x14ac:dyDescent="0.25">
      <c r="E1831"/>
      <c r="M1831"/>
    </row>
    <row r="1832" spans="5:13" x14ac:dyDescent="0.25">
      <c r="E1832"/>
      <c r="M1832"/>
    </row>
    <row r="1833" spans="5:13" x14ac:dyDescent="0.25">
      <c r="E1833"/>
      <c r="M1833"/>
    </row>
    <row r="1834" spans="5:13" x14ac:dyDescent="0.25">
      <c r="E1834"/>
      <c r="M1834"/>
    </row>
    <row r="1835" spans="5:13" x14ac:dyDescent="0.25">
      <c r="E1835"/>
      <c r="M1835"/>
    </row>
    <row r="1836" spans="5:13" x14ac:dyDescent="0.25">
      <c r="E1836"/>
      <c r="M1836"/>
    </row>
    <row r="1837" spans="5:13" x14ac:dyDescent="0.25">
      <c r="E1837"/>
      <c r="M1837"/>
    </row>
    <row r="1838" spans="5:13" x14ac:dyDescent="0.25">
      <c r="E1838"/>
      <c r="M1838"/>
    </row>
    <row r="1839" spans="5:13" x14ac:dyDescent="0.25">
      <c r="E1839"/>
      <c r="M1839"/>
    </row>
    <row r="1840" spans="5:13" x14ac:dyDescent="0.25">
      <c r="E1840"/>
      <c r="M1840"/>
    </row>
    <row r="1841" spans="5:13" x14ac:dyDescent="0.25">
      <c r="E1841"/>
      <c r="M1841"/>
    </row>
    <row r="1842" spans="5:13" x14ac:dyDescent="0.25">
      <c r="E1842"/>
      <c r="M1842"/>
    </row>
    <row r="1843" spans="5:13" x14ac:dyDescent="0.25">
      <c r="E1843"/>
      <c r="M1843"/>
    </row>
    <row r="1844" spans="5:13" x14ac:dyDescent="0.25">
      <c r="E1844"/>
      <c r="M1844"/>
    </row>
    <row r="1845" spans="5:13" x14ac:dyDescent="0.25">
      <c r="E1845"/>
      <c r="M1845"/>
    </row>
    <row r="1846" spans="5:13" x14ac:dyDescent="0.25">
      <c r="E1846"/>
      <c r="M1846"/>
    </row>
    <row r="1847" spans="5:13" x14ac:dyDescent="0.25">
      <c r="E1847"/>
      <c r="M1847"/>
    </row>
    <row r="1848" spans="5:13" x14ac:dyDescent="0.25">
      <c r="E1848"/>
      <c r="M1848"/>
    </row>
    <row r="1849" spans="5:13" x14ac:dyDescent="0.25">
      <c r="E1849"/>
      <c r="M1849"/>
    </row>
    <row r="1850" spans="5:13" x14ac:dyDescent="0.25">
      <c r="E1850"/>
      <c r="M1850"/>
    </row>
    <row r="1851" spans="5:13" x14ac:dyDescent="0.25">
      <c r="E1851"/>
      <c r="M1851"/>
    </row>
    <row r="1852" spans="5:13" x14ac:dyDescent="0.25">
      <c r="E1852"/>
      <c r="M1852"/>
    </row>
    <row r="1853" spans="5:13" x14ac:dyDescent="0.25">
      <c r="E1853"/>
      <c r="M1853"/>
    </row>
    <row r="1854" spans="5:13" x14ac:dyDescent="0.25">
      <c r="E1854"/>
      <c r="M1854"/>
    </row>
    <row r="1855" spans="5:13" x14ac:dyDescent="0.25">
      <c r="E1855"/>
      <c r="M1855"/>
    </row>
    <row r="1856" spans="5:13" x14ac:dyDescent="0.25">
      <c r="E1856"/>
      <c r="M1856"/>
    </row>
    <row r="1857" spans="5:13" x14ac:dyDescent="0.25">
      <c r="E1857"/>
      <c r="M1857"/>
    </row>
    <row r="1858" spans="5:13" x14ac:dyDescent="0.25">
      <c r="E1858"/>
      <c r="M1858"/>
    </row>
    <row r="1859" spans="5:13" x14ac:dyDescent="0.25">
      <c r="E1859"/>
      <c r="M1859"/>
    </row>
    <row r="1860" spans="5:13" x14ac:dyDescent="0.25">
      <c r="E1860"/>
      <c r="M1860"/>
    </row>
    <row r="1861" spans="5:13" x14ac:dyDescent="0.25">
      <c r="E1861"/>
      <c r="M1861"/>
    </row>
    <row r="1862" spans="5:13" x14ac:dyDescent="0.25">
      <c r="E1862"/>
      <c r="M1862"/>
    </row>
    <row r="1863" spans="5:13" x14ac:dyDescent="0.25">
      <c r="E1863"/>
      <c r="M1863"/>
    </row>
    <row r="1864" spans="5:13" x14ac:dyDescent="0.25">
      <c r="E1864"/>
      <c r="M1864"/>
    </row>
    <row r="1865" spans="5:13" x14ac:dyDescent="0.25">
      <c r="E1865"/>
      <c r="M1865"/>
    </row>
    <row r="1866" spans="5:13" x14ac:dyDescent="0.25">
      <c r="E1866"/>
      <c r="M1866"/>
    </row>
    <row r="1867" spans="5:13" x14ac:dyDescent="0.25">
      <c r="E1867"/>
      <c r="M1867"/>
    </row>
    <row r="1868" spans="5:13" x14ac:dyDescent="0.25">
      <c r="E1868"/>
      <c r="M1868"/>
    </row>
    <row r="1869" spans="5:13" x14ac:dyDescent="0.25">
      <c r="E1869"/>
      <c r="M1869"/>
    </row>
    <row r="1870" spans="5:13" x14ac:dyDescent="0.25">
      <c r="E1870"/>
      <c r="M1870"/>
    </row>
    <row r="1871" spans="5:13" x14ac:dyDescent="0.25">
      <c r="E1871"/>
      <c r="M1871"/>
    </row>
    <row r="1872" spans="5:13" x14ac:dyDescent="0.25">
      <c r="E1872"/>
      <c r="M1872"/>
    </row>
    <row r="1873" spans="5:13" x14ac:dyDescent="0.25">
      <c r="E1873"/>
      <c r="M1873"/>
    </row>
    <row r="1874" spans="5:13" x14ac:dyDescent="0.25">
      <c r="E1874"/>
      <c r="M1874"/>
    </row>
    <row r="1875" spans="5:13" x14ac:dyDescent="0.25">
      <c r="E1875"/>
      <c r="M1875"/>
    </row>
    <row r="1876" spans="5:13" x14ac:dyDescent="0.25">
      <c r="E1876"/>
      <c r="M1876"/>
    </row>
    <row r="1877" spans="5:13" x14ac:dyDescent="0.25">
      <c r="E1877"/>
      <c r="M1877"/>
    </row>
    <row r="1878" spans="5:13" x14ac:dyDescent="0.25">
      <c r="E1878"/>
      <c r="M1878"/>
    </row>
    <row r="1879" spans="5:13" x14ac:dyDescent="0.25">
      <c r="E1879"/>
      <c r="M1879"/>
    </row>
    <row r="1880" spans="5:13" x14ac:dyDescent="0.25">
      <c r="E1880"/>
      <c r="M1880"/>
    </row>
    <row r="1881" spans="5:13" x14ac:dyDescent="0.25">
      <c r="E1881"/>
      <c r="M1881"/>
    </row>
    <row r="1882" spans="5:13" x14ac:dyDescent="0.25">
      <c r="E1882"/>
      <c r="M1882"/>
    </row>
    <row r="1883" spans="5:13" x14ac:dyDescent="0.25">
      <c r="E1883"/>
      <c r="M1883"/>
    </row>
    <row r="1884" spans="5:13" x14ac:dyDescent="0.25">
      <c r="E1884"/>
      <c r="M1884"/>
    </row>
    <row r="1885" spans="5:13" x14ac:dyDescent="0.25">
      <c r="E1885"/>
      <c r="M1885"/>
    </row>
    <row r="1886" spans="5:13" x14ac:dyDescent="0.25">
      <c r="E1886"/>
      <c r="M1886"/>
    </row>
    <row r="1887" spans="5:13" x14ac:dyDescent="0.25">
      <c r="E1887"/>
      <c r="M1887"/>
    </row>
    <row r="1888" spans="5:13" x14ac:dyDescent="0.25">
      <c r="E1888"/>
      <c r="M1888"/>
    </row>
    <row r="1889" spans="5:13" x14ac:dyDescent="0.25">
      <c r="E1889"/>
      <c r="M1889"/>
    </row>
    <row r="1890" spans="5:13" x14ac:dyDescent="0.25">
      <c r="E1890"/>
      <c r="M1890"/>
    </row>
    <row r="1891" spans="5:13" x14ac:dyDescent="0.25">
      <c r="E1891"/>
      <c r="M1891"/>
    </row>
    <row r="1892" spans="5:13" x14ac:dyDescent="0.25">
      <c r="E1892"/>
      <c r="M1892"/>
    </row>
    <row r="1893" spans="5:13" x14ac:dyDescent="0.25">
      <c r="E1893"/>
      <c r="M1893"/>
    </row>
    <row r="1894" spans="5:13" x14ac:dyDescent="0.25">
      <c r="E1894"/>
      <c r="M1894"/>
    </row>
    <row r="1895" spans="5:13" x14ac:dyDescent="0.25">
      <c r="E1895"/>
      <c r="M1895"/>
    </row>
    <row r="1896" spans="5:13" x14ac:dyDescent="0.25">
      <c r="E1896"/>
      <c r="M1896"/>
    </row>
    <row r="1897" spans="5:13" x14ac:dyDescent="0.25">
      <c r="E1897"/>
      <c r="M1897"/>
    </row>
    <row r="1898" spans="5:13" x14ac:dyDescent="0.25">
      <c r="E1898"/>
      <c r="M1898"/>
    </row>
    <row r="1899" spans="5:13" x14ac:dyDescent="0.25">
      <c r="E1899"/>
      <c r="M1899"/>
    </row>
    <row r="1900" spans="5:13" x14ac:dyDescent="0.25">
      <c r="E1900"/>
      <c r="M1900"/>
    </row>
    <row r="1901" spans="5:13" x14ac:dyDescent="0.25">
      <c r="E1901"/>
      <c r="M1901"/>
    </row>
    <row r="1902" spans="5:13" x14ac:dyDescent="0.25">
      <c r="E1902"/>
      <c r="M1902"/>
    </row>
    <row r="1903" spans="5:13" x14ac:dyDescent="0.25">
      <c r="E1903"/>
      <c r="M1903"/>
    </row>
    <row r="1904" spans="5:13" x14ac:dyDescent="0.25">
      <c r="E1904"/>
      <c r="M1904"/>
    </row>
    <row r="1905" spans="5:13" x14ac:dyDescent="0.25">
      <c r="E1905"/>
      <c r="M1905"/>
    </row>
    <row r="1906" spans="5:13" x14ac:dyDescent="0.25">
      <c r="E1906"/>
      <c r="M1906"/>
    </row>
    <row r="1907" spans="5:13" x14ac:dyDescent="0.25">
      <c r="E1907"/>
      <c r="M1907"/>
    </row>
    <row r="1908" spans="5:13" x14ac:dyDescent="0.25">
      <c r="E1908"/>
      <c r="M1908"/>
    </row>
    <row r="1909" spans="5:13" x14ac:dyDescent="0.25">
      <c r="E1909"/>
      <c r="M1909"/>
    </row>
    <row r="1910" spans="5:13" x14ac:dyDescent="0.25">
      <c r="E1910"/>
      <c r="M1910"/>
    </row>
    <row r="1911" spans="5:13" x14ac:dyDescent="0.25">
      <c r="E1911"/>
      <c r="M1911"/>
    </row>
    <row r="1912" spans="5:13" x14ac:dyDescent="0.25">
      <c r="E1912"/>
      <c r="M1912"/>
    </row>
    <row r="1913" spans="5:13" x14ac:dyDescent="0.25">
      <c r="E1913"/>
      <c r="M1913"/>
    </row>
    <row r="1914" spans="5:13" x14ac:dyDescent="0.25">
      <c r="E1914"/>
      <c r="M1914"/>
    </row>
    <row r="1915" spans="5:13" x14ac:dyDescent="0.25">
      <c r="E1915"/>
      <c r="M1915"/>
    </row>
    <row r="1916" spans="5:13" x14ac:dyDescent="0.25">
      <c r="E1916"/>
      <c r="M1916"/>
    </row>
    <row r="1917" spans="5:13" x14ac:dyDescent="0.25">
      <c r="E1917"/>
      <c r="M1917"/>
    </row>
    <row r="1918" spans="5:13" x14ac:dyDescent="0.25">
      <c r="E1918"/>
      <c r="M1918"/>
    </row>
    <row r="1919" spans="5:13" x14ac:dyDescent="0.25">
      <c r="E1919"/>
      <c r="M1919"/>
    </row>
    <row r="1920" spans="5:13" x14ac:dyDescent="0.25">
      <c r="E1920"/>
      <c r="M1920"/>
    </row>
    <row r="1921" spans="5:13" x14ac:dyDescent="0.25">
      <c r="E1921"/>
      <c r="M1921"/>
    </row>
    <row r="1922" spans="5:13" x14ac:dyDescent="0.25">
      <c r="E1922"/>
      <c r="M1922"/>
    </row>
    <row r="1923" spans="5:13" x14ac:dyDescent="0.25">
      <c r="E1923"/>
      <c r="M1923"/>
    </row>
    <row r="1924" spans="5:13" x14ac:dyDescent="0.25">
      <c r="E1924"/>
      <c r="M1924"/>
    </row>
    <row r="1925" spans="5:13" x14ac:dyDescent="0.25">
      <c r="E1925"/>
      <c r="M1925"/>
    </row>
    <row r="1926" spans="5:13" x14ac:dyDescent="0.25">
      <c r="E1926"/>
      <c r="M1926"/>
    </row>
    <row r="1927" spans="5:13" x14ac:dyDescent="0.25">
      <c r="E1927"/>
      <c r="M1927"/>
    </row>
    <row r="1928" spans="5:13" x14ac:dyDescent="0.25">
      <c r="E1928"/>
      <c r="M1928"/>
    </row>
    <row r="1929" spans="5:13" x14ac:dyDescent="0.25">
      <c r="E1929"/>
      <c r="M1929"/>
    </row>
    <row r="1930" spans="5:13" x14ac:dyDescent="0.25">
      <c r="E1930"/>
      <c r="M1930"/>
    </row>
    <row r="1931" spans="5:13" x14ac:dyDescent="0.25">
      <c r="E1931"/>
      <c r="M1931"/>
    </row>
    <row r="1932" spans="5:13" x14ac:dyDescent="0.25">
      <c r="E1932"/>
      <c r="M1932"/>
    </row>
    <row r="1933" spans="5:13" x14ac:dyDescent="0.25">
      <c r="E1933"/>
      <c r="M1933"/>
    </row>
    <row r="1934" spans="5:13" x14ac:dyDescent="0.25">
      <c r="E1934"/>
      <c r="M1934"/>
    </row>
    <row r="1935" spans="5:13" x14ac:dyDescent="0.25">
      <c r="E1935"/>
      <c r="M1935"/>
    </row>
    <row r="1936" spans="5:13" x14ac:dyDescent="0.25">
      <c r="E1936"/>
      <c r="M1936"/>
    </row>
    <row r="1937" spans="5:13" x14ac:dyDescent="0.25">
      <c r="E1937"/>
      <c r="M1937"/>
    </row>
    <row r="1938" spans="5:13" x14ac:dyDescent="0.25">
      <c r="E1938"/>
      <c r="M1938"/>
    </row>
    <row r="1939" spans="5:13" x14ac:dyDescent="0.25">
      <c r="E1939"/>
      <c r="M1939"/>
    </row>
    <row r="1940" spans="5:13" x14ac:dyDescent="0.25">
      <c r="E1940"/>
      <c r="M1940"/>
    </row>
    <row r="1941" spans="5:13" x14ac:dyDescent="0.25">
      <c r="E1941"/>
      <c r="M1941"/>
    </row>
    <row r="1942" spans="5:13" x14ac:dyDescent="0.25">
      <c r="E1942"/>
      <c r="M1942"/>
    </row>
    <row r="1943" spans="5:13" x14ac:dyDescent="0.25">
      <c r="E1943"/>
      <c r="M1943"/>
    </row>
    <row r="1944" spans="5:13" x14ac:dyDescent="0.25">
      <c r="E1944"/>
      <c r="M1944"/>
    </row>
    <row r="1945" spans="5:13" x14ac:dyDescent="0.25">
      <c r="E1945"/>
      <c r="M1945"/>
    </row>
    <row r="1946" spans="5:13" x14ac:dyDescent="0.25">
      <c r="E1946"/>
      <c r="M1946"/>
    </row>
    <row r="1947" spans="5:13" x14ac:dyDescent="0.25">
      <c r="E1947"/>
      <c r="M1947"/>
    </row>
    <row r="1948" spans="5:13" x14ac:dyDescent="0.25">
      <c r="E1948"/>
      <c r="M1948"/>
    </row>
    <row r="1949" spans="5:13" x14ac:dyDescent="0.25">
      <c r="E1949"/>
      <c r="M1949"/>
    </row>
    <row r="1950" spans="5:13" x14ac:dyDescent="0.25">
      <c r="E1950"/>
      <c r="M1950"/>
    </row>
    <row r="1951" spans="5:13" x14ac:dyDescent="0.25">
      <c r="E1951"/>
      <c r="M1951"/>
    </row>
    <row r="1952" spans="5:13" x14ac:dyDescent="0.25">
      <c r="E1952"/>
      <c r="M1952"/>
    </row>
    <row r="1953" spans="5:13" x14ac:dyDescent="0.25">
      <c r="E1953"/>
      <c r="M1953"/>
    </row>
    <row r="1954" spans="5:13" x14ac:dyDescent="0.25">
      <c r="E1954"/>
      <c r="M1954"/>
    </row>
    <row r="1955" spans="5:13" x14ac:dyDescent="0.25">
      <c r="E1955"/>
      <c r="M1955"/>
    </row>
    <row r="1956" spans="5:13" x14ac:dyDescent="0.25">
      <c r="E1956"/>
      <c r="M1956"/>
    </row>
    <row r="1957" spans="5:13" x14ac:dyDescent="0.25">
      <c r="E1957"/>
      <c r="M1957"/>
    </row>
    <row r="1958" spans="5:13" x14ac:dyDescent="0.25">
      <c r="E1958"/>
      <c r="M1958"/>
    </row>
    <row r="1959" spans="5:13" x14ac:dyDescent="0.25">
      <c r="E1959"/>
      <c r="M1959"/>
    </row>
    <row r="1960" spans="5:13" x14ac:dyDescent="0.25">
      <c r="E1960"/>
      <c r="M1960"/>
    </row>
    <row r="1961" spans="5:13" x14ac:dyDescent="0.25">
      <c r="E1961"/>
      <c r="M1961"/>
    </row>
    <row r="1962" spans="5:13" x14ac:dyDescent="0.25">
      <c r="E1962"/>
      <c r="M1962"/>
    </row>
    <row r="1963" spans="5:13" x14ac:dyDescent="0.25">
      <c r="E1963"/>
      <c r="M1963"/>
    </row>
    <row r="1964" spans="5:13" x14ac:dyDescent="0.25">
      <c r="E1964"/>
      <c r="M1964"/>
    </row>
    <row r="1965" spans="5:13" x14ac:dyDescent="0.25">
      <c r="E1965"/>
      <c r="M1965"/>
    </row>
    <row r="1966" spans="5:13" x14ac:dyDescent="0.25">
      <c r="E1966"/>
      <c r="M1966"/>
    </row>
    <row r="1967" spans="5:13" x14ac:dyDescent="0.25">
      <c r="E1967"/>
      <c r="M1967"/>
    </row>
    <row r="1968" spans="5:13" x14ac:dyDescent="0.25">
      <c r="E1968"/>
      <c r="M1968"/>
    </row>
    <row r="1969" spans="5:13" x14ac:dyDescent="0.25">
      <c r="E1969"/>
      <c r="M1969"/>
    </row>
    <row r="1970" spans="5:13" x14ac:dyDescent="0.25">
      <c r="E1970"/>
      <c r="M1970"/>
    </row>
    <row r="1971" spans="5:13" x14ac:dyDescent="0.25">
      <c r="E1971"/>
      <c r="M1971"/>
    </row>
    <row r="1972" spans="5:13" x14ac:dyDescent="0.25">
      <c r="E1972"/>
      <c r="M1972"/>
    </row>
    <row r="1973" spans="5:13" x14ac:dyDescent="0.25">
      <c r="E1973"/>
      <c r="M1973"/>
    </row>
    <row r="1974" spans="5:13" x14ac:dyDescent="0.25">
      <c r="E1974"/>
      <c r="M1974"/>
    </row>
    <row r="1975" spans="5:13" x14ac:dyDescent="0.25">
      <c r="E1975"/>
      <c r="M1975"/>
    </row>
    <row r="1976" spans="5:13" x14ac:dyDescent="0.25">
      <c r="E1976"/>
      <c r="M1976"/>
    </row>
    <row r="1977" spans="5:13" x14ac:dyDescent="0.25">
      <c r="E1977"/>
      <c r="M1977"/>
    </row>
    <row r="1978" spans="5:13" x14ac:dyDescent="0.25">
      <c r="E1978"/>
      <c r="M1978"/>
    </row>
    <row r="1979" spans="5:13" x14ac:dyDescent="0.25">
      <c r="E1979"/>
      <c r="M1979"/>
    </row>
    <row r="1980" spans="5:13" x14ac:dyDescent="0.25">
      <c r="E1980"/>
      <c r="M1980"/>
    </row>
    <row r="1981" spans="5:13" x14ac:dyDescent="0.25">
      <c r="E1981"/>
      <c r="M1981"/>
    </row>
    <row r="1982" spans="5:13" x14ac:dyDescent="0.25">
      <c r="E1982"/>
      <c r="M1982"/>
    </row>
    <row r="1983" spans="5:13" x14ac:dyDescent="0.25">
      <c r="E1983"/>
      <c r="M1983"/>
    </row>
    <row r="1984" spans="5:13" x14ac:dyDescent="0.25">
      <c r="E1984"/>
      <c r="M1984"/>
    </row>
    <row r="1985" spans="5:13" x14ac:dyDescent="0.25">
      <c r="E1985"/>
      <c r="M1985"/>
    </row>
    <row r="1986" spans="5:13" x14ac:dyDescent="0.25">
      <c r="E1986"/>
      <c r="M1986"/>
    </row>
    <row r="1987" spans="5:13" x14ac:dyDescent="0.25">
      <c r="E1987"/>
      <c r="M1987"/>
    </row>
    <row r="1988" spans="5:13" x14ac:dyDescent="0.25">
      <c r="E1988"/>
      <c r="M1988"/>
    </row>
    <row r="1989" spans="5:13" x14ac:dyDescent="0.25">
      <c r="E1989"/>
      <c r="M1989"/>
    </row>
    <row r="1990" spans="5:13" x14ac:dyDescent="0.25">
      <c r="E1990"/>
      <c r="M1990"/>
    </row>
    <row r="1991" spans="5:13" x14ac:dyDescent="0.25">
      <c r="E1991"/>
      <c r="M1991"/>
    </row>
    <row r="1992" spans="5:13" x14ac:dyDescent="0.25">
      <c r="E1992"/>
      <c r="M1992"/>
    </row>
    <row r="1993" spans="5:13" x14ac:dyDescent="0.25">
      <c r="E1993"/>
      <c r="M1993"/>
    </row>
    <row r="1994" spans="5:13" x14ac:dyDescent="0.25">
      <c r="E1994"/>
      <c r="M1994"/>
    </row>
    <row r="1995" spans="5:13" x14ac:dyDescent="0.25">
      <c r="E1995"/>
      <c r="M1995"/>
    </row>
    <row r="1996" spans="5:13" x14ac:dyDescent="0.25">
      <c r="E1996"/>
      <c r="M1996"/>
    </row>
    <row r="1997" spans="5:13" x14ac:dyDescent="0.25">
      <c r="E1997"/>
      <c r="M1997"/>
    </row>
    <row r="1998" spans="5:13" x14ac:dyDescent="0.25">
      <c r="E1998"/>
      <c r="M1998"/>
    </row>
    <row r="1999" spans="5:13" x14ac:dyDescent="0.25">
      <c r="E1999"/>
      <c r="M1999"/>
    </row>
    <row r="2000" spans="5:13" x14ac:dyDescent="0.25">
      <c r="E2000"/>
      <c r="M2000"/>
    </row>
    <row r="2001" spans="5:13" x14ac:dyDescent="0.25">
      <c r="E2001"/>
      <c r="M2001"/>
    </row>
    <row r="2002" spans="5:13" x14ac:dyDescent="0.25">
      <c r="E2002"/>
      <c r="M2002"/>
    </row>
    <row r="2003" spans="5:13" x14ac:dyDescent="0.25">
      <c r="E2003"/>
      <c r="M2003"/>
    </row>
    <row r="2004" spans="5:13" x14ac:dyDescent="0.25">
      <c r="E2004"/>
      <c r="M2004"/>
    </row>
    <row r="2005" spans="5:13" x14ac:dyDescent="0.25">
      <c r="E2005"/>
      <c r="M2005"/>
    </row>
    <row r="2006" spans="5:13" x14ac:dyDescent="0.25">
      <c r="E2006"/>
      <c r="M2006"/>
    </row>
    <row r="2007" spans="5:13" x14ac:dyDescent="0.25">
      <c r="E2007"/>
      <c r="M2007"/>
    </row>
    <row r="2008" spans="5:13" x14ac:dyDescent="0.25">
      <c r="E2008"/>
      <c r="M2008"/>
    </row>
    <row r="2009" spans="5:13" x14ac:dyDescent="0.25">
      <c r="E2009"/>
      <c r="M2009"/>
    </row>
    <row r="2010" spans="5:13" x14ac:dyDescent="0.25">
      <c r="E2010"/>
      <c r="M2010"/>
    </row>
    <row r="2011" spans="5:13" x14ac:dyDescent="0.25">
      <c r="E2011"/>
      <c r="M2011"/>
    </row>
    <row r="2012" spans="5:13" x14ac:dyDescent="0.25">
      <c r="E2012"/>
      <c r="M2012"/>
    </row>
    <row r="2013" spans="5:13" x14ac:dyDescent="0.25">
      <c r="E2013"/>
      <c r="M2013"/>
    </row>
    <row r="2014" spans="5:13" x14ac:dyDescent="0.25">
      <c r="E2014"/>
      <c r="M2014"/>
    </row>
    <row r="2015" spans="5:13" x14ac:dyDescent="0.25">
      <c r="E2015"/>
      <c r="M2015"/>
    </row>
    <row r="2016" spans="5:13" x14ac:dyDescent="0.25">
      <c r="E2016"/>
      <c r="M2016"/>
    </row>
    <row r="2017" spans="5:13" x14ac:dyDescent="0.25">
      <c r="E2017"/>
      <c r="M2017"/>
    </row>
    <row r="2018" spans="5:13" x14ac:dyDescent="0.25">
      <c r="E2018"/>
      <c r="M2018"/>
    </row>
    <row r="2019" spans="5:13" x14ac:dyDescent="0.25">
      <c r="E2019"/>
      <c r="M2019"/>
    </row>
    <row r="2020" spans="5:13" x14ac:dyDescent="0.25">
      <c r="E2020"/>
      <c r="M2020"/>
    </row>
    <row r="2021" spans="5:13" x14ac:dyDescent="0.25">
      <c r="E2021"/>
      <c r="M2021"/>
    </row>
    <row r="2022" spans="5:13" x14ac:dyDescent="0.25">
      <c r="E2022"/>
      <c r="M2022"/>
    </row>
    <row r="2023" spans="5:13" x14ac:dyDescent="0.25">
      <c r="E2023"/>
      <c r="M2023"/>
    </row>
    <row r="2024" spans="5:13" x14ac:dyDescent="0.25">
      <c r="E2024"/>
      <c r="M2024"/>
    </row>
    <row r="2025" spans="5:13" x14ac:dyDescent="0.25">
      <c r="E2025"/>
      <c r="M2025"/>
    </row>
    <row r="2026" spans="5:13" x14ac:dyDescent="0.25">
      <c r="E2026"/>
      <c r="M2026"/>
    </row>
    <row r="2027" spans="5:13" x14ac:dyDescent="0.25">
      <c r="E2027"/>
      <c r="M2027"/>
    </row>
    <row r="2028" spans="5:13" x14ac:dyDescent="0.25">
      <c r="E2028"/>
      <c r="M2028"/>
    </row>
    <row r="2029" spans="5:13" x14ac:dyDescent="0.25">
      <c r="E2029"/>
      <c r="M2029"/>
    </row>
    <row r="2030" spans="5:13" x14ac:dyDescent="0.25">
      <c r="E2030"/>
      <c r="M2030"/>
    </row>
    <row r="2031" spans="5:13" x14ac:dyDescent="0.25">
      <c r="E2031"/>
      <c r="M2031"/>
    </row>
    <row r="2032" spans="5:13" x14ac:dyDescent="0.25">
      <c r="E2032"/>
      <c r="M2032"/>
    </row>
    <row r="2033" spans="5:13" x14ac:dyDescent="0.25">
      <c r="E2033"/>
      <c r="M2033"/>
    </row>
    <row r="2034" spans="5:13" x14ac:dyDescent="0.25">
      <c r="E2034"/>
      <c r="M2034"/>
    </row>
    <row r="2035" spans="5:13" x14ac:dyDescent="0.25">
      <c r="E2035"/>
      <c r="M2035"/>
    </row>
    <row r="2036" spans="5:13" x14ac:dyDescent="0.25">
      <c r="E2036"/>
      <c r="M2036"/>
    </row>
    <row r="2037" spans="5:13" x14ac:dyDescent="0.25">
      <c r="E2037"/>
      <c r="M2037"/>
    </row>
    <row r="2038" spans="5:13" x14ac:dyDescent="0.25">
      <c r="E2038"/>
      <c r="M2038"/>
    </row>
    <row r="2039" spans="5:13" x14ac:dyDescent="0.25">
      <c r="E2039"/>
      <c r="M2039"/>
    </row>
    <row r="2040" spans="5:13" x14ac:dyDescent="0.25">
      <c r="E2040"/>
      <c r="M2040"/>
    </row>
    <row r="2041" spans="5:13" x14ac:dyDescent="0.25">
      <c r="E2041"/>
      <c r="M2041"/>
    </row>
    <row r="2042" spans="5:13" x14ac:dyDescent="0.25">
      <c r="E2042"/>
      <c r="M2042"/>
    </row>
    <row r="2043" spans="5:13" x14ac:dyDescent="0.25">
      <c r="E2043"/>
      <c r="M2043"/>
    </row>
    <row r="2044" spans="5:13" x14ac:dyDescent="0.25">
      <c r="E2044"/>
      <c r="M2044"/>
    </row>
    <row r="2045" spans="5:13" x14ac:dyDescent="0.25">
      <c r="E2045"/>
      <c r="M2045"/>
    </row>
    <row r="2046" spans="5:13" x14ac:dyDescent="0.25">
      <c r="E2046"/>
      <c r="M2046"/>
    </row>
    <row r="2047" spans="5:13" x14ac:dyDescent="0.25">
      <c r="E2047"/>
      <c r="M2047"/>
    </row>
    <row r="2048" spans="5:13" x14ac:dyDescent="0.25">
      <c r="E2048"/>
      <c r="M2048"/>
    </row>
    <row r="2049" spans="5:13" x14ac:dyDescent="0.25">
      <c r="E2049"/>
      <c r="M2049"/>
    </row>
    <row r="2050" spans="5:13" x14ac:dyDescent="0.25">
      <c r="E2050"/>
      <c r="M2050"/>
    </row>
    <row r="2051" spans="5:13" x14ac:dyDescent="0.25">
      <c r="E2051"/>
      <c r="M2051"/>
    </row>
    <row r="2052" spans="5:13" x14ac:dyDescent="0.25">
      <c r="E2052"/>
      <c r="M2052"/>
    </row>
    <row r="2053" spans="5:13" x14ac:dyDescent="0.25">
      <c r="E2053"/>
      <c r="M2053"/>
    </row>
    <row r="2054" spans="5:13" x14ac:dyDescent="0.25">
      <c r="E2054"/>
      <c r="M2054"/>
    </row>
    <row r="2055" spans="5:13" x14ac:dyDescent="0.25">
      <c r="E2055"/>
      <c r="M2055"/>
    </row>
    <row r="2056" spans="5:13" x14ac:dyDescent="0.25">
      <c r="E2056"/>
      <c r="M2056"/>
    </row>
    <row r="2057" spans="5:13" x14ac:dyDescent="0.25">
      <c r="E2057"/>
      <c r="M2057"/>
    </row>
    <row r="2058" spans="5:13" x14ac:dyDescent="0.25">
      <c r="E2058"/>
      <c r="M2058"/>
    </row>
    <row r="2059" spans="5:13" x14ac:dyDescent="0.25">
      <c r="E2059"/>
      <c r="M2059"/>
    </row>
    <row r="2060" spans="5:13" x14ac:dyDescent="0.25">
      <c r="E2060"/>
      <c r="M2060"/>
    </row>
    <row r="2061" spans="5:13" x14ac:dyDescent="0.25">
      <c r="E2061"/>
      <c r="M2061"/>
    </row>
    <row r="2062" spans="5:13" x14ac:dyDescent="0.25">
      <c r="E2062"/>
      <c r="M2062"/>
    </row>
    <row r="2063" spans="5:13" x14ac:dyDescent="0.25">
      <c r="E2063"/>
      <c r="M2063"/>
    </row>
    <row r="2064" spans="5:13" x14ac:dyDescent="0.25">
      <c r="E2064"/>
      <c r="M2064"/>
    </row>
    <row r="2065" spans="5:13" x14ac:dyDescent="0.25">
      <c r="E2065"/>
      <c r="M2065"/>
    </row>
    <row r="2066" spans="5:13" x14ac:dyDescent="0.25">
      <c r="E2066"/>
      <c r="M2066"/>
    </row>
    <row r="2067" spans="5:13" x14ac:dyDescent="0.25">
      <c r="E2067"/>
      <c r="M2067"/>
    </row>
    <row r="2068" spans="5:13" x14ac:dyDescent="0.25">
      <c r="E2068"/>
      <c r="M2068"/>
    </row>
    <row r="2069" spans="5:13" x14ac:dyDescent="0.25">
      <c r="E2069"/>
      <c r="M2069"/>
    </row>
    <row r="2070" spans="5:13" x14ac:dyDescent="0.25">
      <c r="E2070"/>
      <c r="M2070"/>
    </row>
    <row r="2071" spans="5:13" x14ac:dyDescent="0.25">
      <c r="E2071"/>
      <c r="M2071"/>
    </row>
    <row r="2072" spans="5:13" x14ac:dyDescent="0.25">
      <c r="E2072"/>
      <c r="M2072"/>
    </row>
    <row r="2073" spans="5:13" x14ac:dyDescent="0.25">
      <c r="E2073"/>
      <c r="M2073"/>
    </row>
    <row r="2074" spans="5:13" x14ac:dyDescent="0.25">
      <c r="E2074"/>
      <c r="M2074"/>
    </row>
    <row r="2075" spans="5:13" x14ac:dyDescent="0.25">
      <c r="E2075"/>
      <c r="M2075"/>
    </row>
    <row r="2076" spans="5:13" x14ac:dyDescent="0.25">
      <c r="E2076"/>
      <c r="M2076"/>
    </row>
    <row r="2077" spans="5:13" x14ac:dyDescent="0.25">
      <c r="E2077"/>
      <c r="M2077"/>
    </row>
    <row r="2078" spans="5:13" x14ac:dyDescent="0.25">
      <c r="E2078"/>
      <c r="M2078"/>
    </row>
    <row r="2079" spans="5:13" x14ac:dyDescent="0.25">
      <c r="E2079"/>
      <c r="M2079"/>
    </row>
    <row r="2080" spans="5:13" x14ac:dyDescent="0.25">
      <c r="E2080"/>
      <c r="M2080"/>
    </row>
    <row r="2081" spans="5:13" x14ac:dyDescent="0.25">
      <c r="E2081"/>
      <c r="M2081"/>
    </row>
    <row r="2082" spans="5:13" x14ac:dyDescent="0.25">
      <c r="E2082"/>
      <c r="M2082"/>
    </row>
    <row r="2083" spans="5:13" x14ac:dyDescent="0.25">
      <c r="E2083"/>
      <c r="M2083"/>
    </row>
    <row r="2084" spans="5:13" x14ac:dyDescent="0.25">
      <c r="E2084"/>
      <c r="M2084"/>
    </row>
    <row r="2085" spans="5:13" x14ac:dyDescent="0.25">
      <c r="E2085"/>
      <c r="M2085"/>
    </row>
    <row r="2086" spans="5:13" x14ac:dyDescent="0.25">
      <c r="E2086"/>
      <c r="M2086"/>
    </row>
    <row r="2087" spans="5:13" x14ac:dyDescent="0.25">
      <c r="E2087"/>
      <c r="M2087"/>
    </row>
    <row r="2088" spans="5:13" x14ac:dyDescent="0.25">
      <c r="E2088"/>
      <c r="M2088"/>
    </row>
    <row r="2089" spans="5:13" x14ac:dyDescent="0.25">
      <c r="E2089"/>
      <c r="M2089"/>
    </row>
    <row r="2090" spans="5:13" x14ac:dyDescent="0.25">
      <c r="E2090"/>
      <c r="M2090"/>
    </row>
    <row r="2091" spans="5:13" x14ac:dyDescent="0.25">
      <c r="E2091"/>
      <c r="M2091"/>
    </row>
    <row r="2092" spans="5:13" x14ac:dyDescent="0.25">
      <c r="E2092"/>
      <c r="M2092"/>
    </row>
    <row r="2093" spans="5:13" x14ac:dyDescent="0.25">
      <c r="E2093"/>
      <c r="M2093"/>
    </row>
    <row r="2094" spans="5:13" x14ac:dyDescent="0.25">
      <c r="E2094"/>
      <c r="M2094"/>
    </row>
    <row r="2095" spans="5:13" x14ac:dyDescent="0.25">
      <c r="E2095"/>
      <c r="M2095"/>
    </row>
    <row r="2096" spans="5:13" x14ac:dyDescent="0.25">
      <c r="E2096"/>
      <c r="M2096"/>
    </row>
    <row r="2097" spans="5:13" x14ac:dyDescent="0.25">
      <c r="E2097"/>
      <c r="M2097"/>
    </row>
    <row r="2098" spans="5:13" x14ac:dyDescent="0.25">
      <c r="E2098"/>
      <c r="M2098"/>
    </row>
    <row r="2099" spans="5:13" x14ac:dyDescent="0.25">
      <c r="E2099"/>
      <c r="M2099"/>
    </row>
    <row r="2100" spans="5:13" x14ac:dyDescent="0.25">
      <c r="E2100"/>
      <c r="M2100"/>
    </row>
    <row r="2101" spans="5:13" x14ac:dyDescent="0.25">
      <c r="E2101"/>
      <c r="M2101"/>
    </row>
    <row r="2102" spans="5:13" x14ac:dyDescent="0.25">
      <c r="E2102"/>
      <c r="M2102"/>
    </row>
    <row r="2103" spans="5:13" x14ac:dyDescent="0.25">
      <c r="E2103"/>
      <c r="M2103"/>
    </row>
    <row r="2104" spans="5:13" x14ac:dyDescent="0.25">
      <c r="E2104"/>
      <c r="M2104"/>
    </row>
    <row r="2105" spans="5:13" x14ac:dyDescent="0.25">
      <c r="E2105"/>
      <c r="M2105"/>
    </row>
    <row r="2106" spans="5:13" x14ac:dyDescent="0.25">
      <c r="E2106"/>
      <c r="M2106"/>
    </row>
    <row r="2107" spans="5:13" x14ac:dyDescent="0.25">
      <c r="E2107"/>
      <c r="M2107"/>
    </row>
    <row r="2108" spans="5:13" x14ac:dyDescent="0.25">
      <c r="E2108"/>
      <c r="M2108"/>
    </row>
    <row r="2109" spans="5:13" x14ac:dyDescent="0.25">
      <c r="E2109"/>
      <c r="M2109"/>
    </row>
    <row r="2110" spans="5:13" x14ac:dyDescent="0.25">
      <c r="E2110"/>
      <c r="M2110"/>
    </row>
    <row r="2111" spans="5:13" x14ac:dyDescent="0.25">
      <c r="E2111"/>
      <c r="M2111"/>
    </row>
    <row r="2112" spans="5:13" x14ac:dyDescent="0.25">
      <c r="E2112"/>
      <c r="M2112"/>
    </row>
    <row r="2113" spans="5:13" x14ac:dyDescent="0.25">
      <c r="E2113"/>
      <c r="M2113"/>
    </row>
    <row r="2114" spans="5:13" x14ac:dyDescent="0.25">
      <c r="E2114"/>
      <c r="M2114"/>
    </row>
    <row r="2115" spans="5:13" x14ac:dyDescent="0.25">
      <c r="E2115"/>
      <c r="M2115"/>
    </row>
    <row r="2116" spans="5:13" x14ac:dyDescent="0.25">
      <c r="E2116"/>
      <c r="M2116"/>
    </row>
    <row r="2117" spans="5:13" x14ac:dyDescent="0.25">
      <c r="E2117"/>
      <c r="M2117"/>
    </row>
    <row r="2118" spans="5:13" x14ac:dyDescent="0.25">
      <c r="E2118"/>
      <c r="M2118"/>
    </row>
    <row r="2119" spans="5:13" x14ac:dyDescent="0.25">
      <c r="E2119"/>
      <c r="M2119"/>
    </row>
    <row r="2120" spans="5:13" x14ac:dyDescent="0.25">
      <c r="E2120"/>
      <c r="M2120"/>
    </row>
    <row r="2121" spans="5:13" x14ac:dyDescent="0.25">
      <c r="E2121"/>
      <c r="M2121"/>
    </row>
    <row r="2122" spans="5:13" x14ac:dyDescent="0.25">
      <c r="E2122"/>
      <c r="M2122"/>
    </row>
    <row r="2123" spans="5:13" x14ac:dyDescent="0.25">
      <c r="E2123"/>
      <c r="M2123"/>
    </row>
    <row r="2124" spans="5:13" x14ac:dyDescent="0.25">
      <c r="E2124"/>
      <c r="M2124"/>
    </row>
    <row r="2125" spans="5:13" x14ac:dyDescent="0.25">
      <c r="E2125"/>
      <c r="M2125"/>
    </row>
    <row r="2126" spans="5:13" x14ac:dyDescent="0.25">
      <c r="E2126"/>
      <c r="M2126"/>
    </row>
    <row r="2127" spans="5:13" x14ac:dyDescent="0.25">
      <c r="E2127"/>
      <c r="M2127"/>
    </row>
    <row r="2128" spans="5:13" x14ac:dyDescent="0.25">
      <c r="E2128"/>
      <c r="M2128"/>
    </row>
    <row r="2129" spans="5:13" x14ac:dyDescent="0.25">
      <c r="E2129"/>
      <c r="M2129"/>
    </row>
    <row r="2130" spans="5:13" x14ac:dyDescent="0.25">
      <c r="E2130"/>
      <c r="M2130"/>
    </row>
    <row r="2131" spans="5:13" x14ac:dyDescent="0.25">
      <c r="E2131"/>
      <c r="M2131"/>
    </row>
    <row r="2132" spans="5:13" x14ac:dyDescent="0.25">
      <c r="E2132"/>
      <c r="M2132"/>
    </row>
    <row r="2133" spans="5:13" x14ac:dyDescent="0.25">
      <c r="E2133"/>
      <c r="M2133"/>
    </row>
    <row r="2134" spans="5:13" x14ac:dyDescent="0.25">
      <c r="E2134"/>
      <c r="M2134"/>
    </row>
    <row r="2135" spans="5:13" x14ac:dyDescent="0.25">
      <c r="E2135"/>
      <c r="M2135"/>
    </row>
    <row r="2136" spans="5:13" x14ac:dyDescent="0.25">
      <c r="E2136"/>
      <c r="M2136"/>
    </row>
    <row r="2137" spans="5:13" x14ac:dyDescent="0.25">
      <c r="E2137"/>
      <c r="M2137"/>
    </row>
    <row r="2138" spans="5:13" x14ac:dyDescent="0.25">
      <c r="E2138"/>
      <c r="M2138"/>
    </row>
    <row r="2139" spans="5:13" x14ac:dyDescent="0.25">
      <c r="E2139"/>
      <c r="M2139"/>
    </row>
    <row r="2140" spans="5:13" x14ac:dyDescent="0.25">
      <c r="E2140"/>
      <c r="M2140"/>
    </row>
    <row r="2141" spans="5:13" x14ac:dyDescent="0.25">
      <c r="E2141"/>
      <c r="M2141"/>
    </row>
    <row r="2142" spans="5:13" x14ac:dyDescent="0.25">
      <c r="E2142"/>
      <c r="M2142"/>
    </row>
    <row r="2143" spans="5:13" x14ac:dyDescent="0.25">
      <c r="E2143"/>
      <c r="M2143"/>
    </row>
    <row r="2144" spans="5:13" x14ac:dyDescent="0.25">
      <c r="E2144"/>
      <c r="M2144"/>
    </row>
    <row r="2145" spans="5:13" x14ac:dyDescent="0.25">
      <c r="E2145"/>
      <c r="M2145"/>
    </row>
    <row r="2146" spans="5:13" x14ac:dyDescent="0.25">
      <c r="E2146"/>
      <c r="M2146"/>
    </row>
    <row r="2147" spans="5:13" x14ac:dyDescent="0.25">
      <c r="E2147"/>
      <c r="M2147"/>
    </row>
    <row r="2148" spans="5:13" x14ac:dyDescent="0.25">
      <c r="E2148"/>
      <c r="M2148"/>
    </row>
    <row r="2149" spans="5:13" x14ac:dyDescent="0.25">
      <c r="E2149"/>
      <c r="M2149"/>
    </row>
    <row r="2150" spans="5:13" x14ac:dyDescent="0.25">
      <c r="E2150"/>
      <c r="M2150"/>
    </row>
    <row r="2151" spans="5:13" x14ac:dyDescent="0.25">
      <c r="E2151"/>
      <c r="M2151"/>
    </row>
    <row r="2152" spans="5:13" x14ac:dyDescent="0.25">
      <c r="E2152"/>
      <c r="M2152"/>
    </row>
    <row r="2153" spans="5:13" x14ac:dyDescent="0.25">
      <c r="E2153"/>
      <c r="M2153"/>
    </row>
    <row r="2154" spans="5:13" x14ac:dyDescent="0.25">
      <c r="E2154"/>
      <c r="M2154"/>
    </row>
    <row r="2155" spans="5:13" x14ac:dyDescent="0.25">
      <c r="E2155"/>
      <c r="M2155"/>
    </row>
    <row r="2156" spans="5:13" x14ac:dyDescent="0.25">
      <c r="E2156"/>
      <c r="M2156"/>
    </row>
    <row r="2157" spans="5:13" x14ac:dyDescent="0.25">
      <c r="E2157"/>
      <c r="M2157"/>
    </row>
    <row r="2158" spans="5:13" x14ac:dyDescent="0.25">
      <c r="E2158"/>
      <c r="M2158"/>
    </row>
    <row r="2159" spans="5:13" x14ac:dyDescent="0.25">
      <c r="E2159"/>
      <c r="M2159"/>
    </row>
    <row r="2160" spans="5:13" x14ac:dyDescent="0.25">
      <c r="E2160"/>
      <c r="M2160"/>
    </row>
    <row r="2161" spans="5:13" x14ac:dyDescent="0.25">
      <c r="E2161"/>
      <c r="M2161"/>
    </row>
    <row r="2162" spans="5:13" x14ac:dyDescent="0.25">
      <c r="E2162"/>
      <c r="M2162"/>
    </row>
    <row r="2163" spans="5:13" x14ac:dyDescent="0.25">
      <c r="E2163"/>
      <c r="M2163"/>
    </row>
    <row r="2164" spans="5:13" x14ac:dyDescent="0.25">
      <c r="E2164"/>
      <c r="M2164"/>
    </row>
    <row r="2165" spans="5:13" x14ac:dyDescent="0.25">
      <c r="E2165"/>
      <c r="M2165"/>
    </row>
    <row r="2166" spans="5:13" x14ac:dyDescent="0.25">
      <c r="E2166"/>
      <c r="M2166"/>
    </row>
    <row r="2167" spans="5:13" x14ac:dyDescent="0.25">
      <c r="E2167"/>
      <c r="M2167"/>
    </row>
    <row r="2168" spans="5:13" x14ac:dyDescent="0.25">
      <c r="E2168"/>
      <c r="M2168"/>
    </row>
    <row r="2169" spans="5:13" x14ac:dyDescent="0.25">
      <c r="E2169"/>
      <c r="M2169"/>
    </row>
    <row r="2170" spans="5:13" x14ac:dyDescent="0.25">
      <c r="E2170"/>
      <c r="M2170"/>
    </row>
    <row r="2171" spans="5:13" x14ac:dyDescent="0.25">
      <c r="E2171"/>
      <c r="M2171"/>
    </row>
    <row r="2172" spans="5:13" x14ac:dyDescent="0.25">
      <c r="E2172"/>
      <c r="M2172"/>
    </row>
    <row r="2173" spans="5:13" x14ac:dyDescent="0.25">
      <c r="E2173"/>
      <c r="M2173"/>
    </row>
    <row r="2174" spans="5:13" x14ac:dyDescent="0.25">
      <c r="E2174"/>
      <c r="M2174"/>
    </row>
    <row r="2175" spans="5:13" x14ac:dyDescent="0.25">
      <c r="E2175"/>
      <c r="M2175"/>
    </row>
    <row r="2176" spans="5:13" x14ac:dyDescent="0.25">
      <c r="E2176"/>
      <c r="M2176"/>
    </row>
    <row r="2177" spans="5:13" x14ac:dyDescent="0.25">
      <c r="E2177"/>
      <c r="M2177"/>
    </row>
    <row r="2178" spans="5:13" x14ac:dyDescent="0.25">
      <c r="E2178"/>
      <c r="M2178"/>
    </row>
    <row r="2179" spans="5:13" x14ac:dyDescent="0.25">
      <c r="E2179"/>
      <c r="M2179"/>
    </row>
    <row r="2180" spans="5:13" x14ac:dyDescent="0.25">
      <c r="E2180"/>
      <c r="M2180"/>
    </row>
    <row r="2181" spans="5:13" x14ac:dyDescent="0.25">
      <c r="E2181"/>
      <c r="M2181"/>
    </row>
    <row r="2182" spans="5:13" x14ac:dyDescent="0.25">
      <c r="E2182"/>
      <c r="M2182"/>
    </row>
    <row r="2183" spans="5:13" x14ac:dyDescent="0.25">
      <c r="E2183"/>
      <c r="M2183"/>
    </row>
    <row r="2184" spans="5:13" x14ac:dyDescent="0.25">
      <c r="E2184"/>
      <c r="M2184"/>
    </row>
    <row r="2185" spans="5:13" x14ac:dyDescent="0.25">
      <c r="E2185"/>
      <c r="M2185"/>
    </row>
    <row r="2186" spans="5:13" x14ac:dyDescent="0.25">
      <c r="E2186"/>
      <c r="M2186"/>
    </row>
    <row r="2187" spans="5:13" x14ac:dyDescent="0.25">
      <c r="E2187"/>
      <c r="M2187"/>
    </row>
    <row r="2188" spans="5:13" x14ac:dyDescent="0.25">
      <c r="E2188"/>
      <c r="M2188"/>
    </row>
    <row r="2189" spans="5:13" x14ac:dyDescent="0.25">
      <c r="E2189"/>
      <c r="M2189"/>
    </row>
    <row r="2190" spans="5:13" x14ac:dyDescent="0.25">
      <c r="E2190"/>
      <c r="M2190"/>
    </row>
    <row r="2191" spans="5:13" x14ac:dyDescent="0.25">
      <c r="E2191"/>
      <c r="M2191"/>
    </row>
    <row r="2192" spans="5:13" x14ac:dyDescent="0.25">
      <c r="E2192"/>
      <c r="M2192"/>
    </row>
    <row r="2193" spans="5:13" x14ac:dyDescent="0.25">
      <c r="E2193"/>
      <c r="M2193"/>
    </row>
    <row r="2194" spans="5:13" x14ac:dyDescent="0.25">
      <c r="E2194"/>
      <c r="M2194"/>
    </row>
    <row r="2195" spans="5:13" x14ac:dyDescent="0.25">
      <c r="E2195"/>
      <c r="M2195"/>
    </row>
    <row r="2196" spans="5:13" x14ac:dyDescent="0.25">
      <c r="E2196"/>
      <c r="M2196"/>
    </row>
    <row r="2197" spans="5:13" x14ac:dyDescent="0.25">
      <c r="E2197"/>
      <c r="M2197"/>
    </row>
    <row r="2198" spans="5:13" x14ac:dyDescent="0.25">
      <c r="E2198"/>
      <c r="M2198"/>
    </row>
    <row r="2199" spans="5:13" x14ac:dyDescent="0.25">
      <c r="E2199"/>
      <c r="M2199"/>
    </row>
    <row r="2200" spans="5:13" x14ac:dyDescent="0.25">
      <c r="E2200"/>
      <c r="M2200"/>
    </row>
    <row r="2201" spans="5:13" x14ac:dyDescent="0.25">
      <c r="E2201"/>
      <c r="M2201"/>
    </row>
    <row r="2202" spans="5:13" x14ac:dyDescent="0.25">
      <c r="E2202"/>
      <c r="M2202"/>
    </row>
    <row r="2203" spans="5:13" x14ac:dyDescent="0.25">
      <c r="E2203"/>
      <c r="M2203"/>
    </row>
    <row r="2204" spans="5:13" x14ac:dyDescent="0.25">
      <c r="E2204"/>
      <c r="M2204"/>
    </row>
    <row r="2205" spans="5:13" x14ac:dyDescent="0.25">
      <c r="E2205"/>
      <c r="M2205"/>
    </row>
    <row r="2206" spans="5:13" x14ac:dyDescent="0.25">
      <c r="E2206"/>
      <c r="M2206"/>
    </row>
    <row r="2207" spans="5:13" x14ac:dyDescent="0.25">
      <c r="E2207"/>
      <c r="M2207"/>
    </row>
    <row r="2208" spans="5:13" x14ac:dyDescent="0.25">
      <c r="E2208"/>
      <c r="M2208"/>
    </row>
    <row r="2209" spans="5:13" x14ac:dyDescent="0.25">
      <c r="E2209"/>
      <c r="M2209"/>
    </row>
    <row r="2210" spans="5:13" x14ac:dyDescent="0.25">
      <c r="E2210"/>
      <c r="M2210"/>
    </row>
    <row r="2211" spans="5:13" x14ac:dyDescent="0.25">
      <c r="E2211"/>
      <c r="M2211"/>
    </row>
    <row r="2212" spans="5:13" x14ac:dyDescent="0.25">
      <c r="E2212"/>
      <c r="M2212"/>
    </row>
    <row r="2213" spans="5:13" x14ac:dyDescent="0.25">
      <c r="E2213"/>
      <c r="M2213"/>
    </row>
    <row r="2214" spans="5:13" x14ac:dyDescent="0.25">
      <c r="E2214"/>
      <c r="M2214"/>
    </row>
    <row r="2215" spans="5:13" x14ac:dyDescent="0.25">
      <c r="E2215"/>
      <c r="M2215"/>
    </row>
    <row r="2216" spans="5:13" x14ac:dyDescent="0.25">
      <c r="E2216"/>
      <c r="M2216"/>
    </row>
    <row r="2217" spans="5:13" x14ac:dyDescent="0.25">
      <c r="E2217"/>
      <c r="M2217"/>
    </row>
    <row r="2218" spans="5:13" x14ac:dyDescent="0.25">
      <c r="E2218"/>
      <c r="M2218"/>
    </row>
    <row r="2219" spans="5:13" x14ac:dyDescent="0.25">
      <c r="E2219"/>
      <c r="M2219"/>
    </row>
    <row r="2220" spans="5:13" x14ac:dyDescent="0.25">
      <c r="E2220"/>
      <c r="M2220"/>
    </row>
    <row r="2221" spans="5:13" x14ac:dyDescent="0.25">
      <c r="E2221"/>
      <c r="M2221"/>
    </row>
    <row r="2222" spans="5:13" x14ac:dyDescent="0.25">
      <c r="E2222"/>
      <c r="M2222"/>
    </row>
    <row r="2223" spans="5:13" x14ac:dyDescent="0.25">
      <c r="E2223"/>
      <c r="M2223"/>
    </row>
    <row r="2224" spans="5:13" x14ac:dyDescent="0.25">
      <c r="E2224"/>
      <c r="M2224"/>
    </row>
    <row r="2225" spans="5:13" x14ac:dyDescent="0.25">
      <c r="E2225"/>
      <c r="M2225"/>
    </row>
    <row r="2226" spans="5:13" x14ac:dyDescent="0.25">
      <c r="E2226"/>
      <c r="M2226"/>
    </row>
    <row r="2227" spans="5:13" x14ac:dyDescent="0.25">
      <c r="E2227"/>
      <c r="M2227"/>
    </row>
    <row r="2228" spans="5:13" x14ac:dyDescent="0.25">
      <c r="E2228"/>
      <c r="M2228"/>
    </row>
    <row r="2229" spans="5:13" x14ac:dyDescent="0.25">
      <c r="E2229"/>
      <c r="M2229"/>
    </row>
    <row r="2230" spans="5:13" x14ac:dyDescent="0.25">
      <c r="E2230"/>
      <c r="M2230"/>
    </row>
    <row r="2231" spans="5:13" x14ac:dyDescent="0.25">
      <c r="E2231"/>
      <c r="M2231"/>
    </row>
    <row r="2232" spans="5:13" x14ac:dyDescent="0.25">
      <c r="E2232"/>
      <c r="M2232"/>
    </row>
    <row r="2233" spans="5:13" x14ac:dyDescent="0.25">
      <c r="E2233"/>
      <c r="M2233"/>
    </row>
    <row r="2234" spans="5:13" x14ac:dyDescent="0.25">
      <c r="E2234"/>
      <c r="M2234"/>
    </row>
    <row r="2235" spans="5:13" x14ac:dyDescent="0.25">
      <c r="E2235"/>
      <c r="M2235"/>
    </row>
    <row r="2236" spans="5:13" x14ac:dyDescent="0.25">
      <c r="E2236"/>
      <c r="M2236"/>
    </row>
    <row r="2237" spans="5:13" x14ac:dyDescent="0.25">
      <c r="E2237"/>
      <c r="M2237"/>
    </row>
    <row r="2238" spans="5:13" x14ac:dyDescent="0.25">
      <c r="E2238"/>
      <c r="M2238"/>
    </row>
    <row r="2239" spans="5:13" x14ac:dyDescent="0.25">
      <c r="E2239"/>
      <c r="M2239"/>
    </row>
    <row r="2240" spans="5:13" x14ac:dyDescent="0.25">
      <c r="E2240"/>
      <c r="M2240"/>
    </row>
    <row r="2241" spans="5:13" x14ac:dyDescent="0.25">
      <c r="E2241"/>
      <c r="M2241"/>
    </row>
    <row r="2242" spans="5:13" x14ac:dyDescent="0.25">
      <c r="E2242"/>
      <c r="M2242"/>
    </row>
    <row r="2243" spans="5:13" x14ac:dyDescent="0.25">
      <c r="E2243"/>
      <c r="M2243"/>
    </row>
    <row r="2244" spans="5:13" x14ac:dyDescent="0.25">
      <c r="E2244"/>
      <c r="M2244"/>
    </row>
    <row r="2245" spans="5:13" x14ac:dyDescent="0.25">
      <c r="E2245"/>
      <c r="M2245"/>
    </row>
    <row r="2246" spans="5:13" x14ac:dyDescent="0.25">
      <c r="E2246"/>
      <c r="M2246"/>
    </row>
    <row r="2247" spans="5:13" x14ac:dyDescent="0.25">
      <c r="E2247"/>
      <c r="M2247"/>
    </row>
    <row r="2248" spans="5:13" x14ac:dyDescent="0.25">
      <c r="E2248"/>
      <c r="M2248"/>
    </row>
    <row r="2249" spans="5:13" x14ac:dyDescent="0.25">
      <c r="E2249"/>
      <c r="M2249"/>
    </row>
    <row r="2250" spans="5:13" x14ac:dyDescent="0.25">
      <c r="E2250"/>
      <c r="M2250"/>
    </row>
    <row r="2251" spans="5:13" x14ac:dyDescent="0.25">
      <c r="E2251"/>
      <c r="M2251"/>
    </row>
    <row r="2252" spans="5:13" x14ac:dyDescent="0.25">
      <c r="E2252"/>
      <c r="M2252"/>
    </row>
    <row r="2253" spans="5:13" x14ac:dyDescent="0.25">
      <c r="E2253"/>
      <c r="M2253"/>
    </row>
    <row r="2254" spans="5:13" x14ac:dyDescent="0.25">
      <c r="E2254"/>
      <c r="M2254"/>
    </row>
    <row r="2255" spans="5:13" x14ac:dyDescent="0.25">
      <c r="E2255"/>
      <c r="M2255"/>
    </row>
    <row r="2256" spans="5:13" x14ac:dyDescent="0.25">
      <c r="E2256"/>
      <c r="M2256"/>
    </row>
    <row r="2257" spans="5:13" x14ac:dyDescent="0.25">
      <c r="E2257"/>
      <c r="M2257"/>
    </row>
    <row r="2258" spans="5:13" x14ac:dyDescent="0.25">
      <c r="E2258"/>
      <c r="M2258"/>
    </row>
    <row r="2259" spans="5:13" x14ac:dyDescent="0.25">
      <c r="E2259"/>
      <c r="M2259"/>
    </row>
    <row r="2260" spans="5:13" x14ac:dyDescent="0.25">
      <c r="E2260"/>
      <c r="M2260"/>
    </row>
    <row r="2261" spans="5:13" x14ac:dyDescent="0.25">
      <c r="E2261"/>
      <c r="M2261"/>
    </row>
    <row r="2262" spans="5:13" x14ac:dyDescent="0.25">
      <c r="E2262"/>
      <c r="M2262"/>
    </row>
    <row r="2263" spans="5:13" x14ac:dyDescent="0.25">
      <c r="E2263"/>
      <c r="M2263"/>
    </row>
    <row r="2264" spans="5:13" x14ac:dyDescent="0.25">
      <c r="E2264"/>
      <c r="M2264"/>
    </row>
    <row r="2265" spans="5:13" x14ac:dyDescent="0.25">
      <c r="E2265"/>
      <c r="M2265"/>
    </row>
    <row r="2266" spans="5:13" x14ac:dyDescent="0.25">
      <c r="E2266"/>
      <c r="M2266"/>
    </row>
    <row r="2267" spans="5:13" x14ac:dyDescent="0.25">
      <c r="E2267"/>
      <c r="M2267"/>
    </row>
    <row r="2268" spans="5:13" x14ac:dyDescent="0.25">
      <c r="E2268"/>
      <c r="M2268"/>
    </row>
    <row r="2269" spans="5:13" x14ac:dyDescent="0.25">
      <c r="E2269"/>
      <c r="M2269"/>
    </row>
    <row r="2270" spans="5:13" x14ac:dyDescent="0.25">
      <c r="E2270"/>
      <c r="M2270"/>
    </row>
    <row r="2271" spans="5:13" x14ac:dyDescent="0.25">
      <c r="E2271"/>
      <c r="M2271"/>
    </row>
    <row r="2272" spans="5:13" x14ac:dyDescent="0.25">
      <c r="E2272"/>
      <c r="M2272"/>
    </row>
    <row r="2273" spans="5:13" x14ac:dyDescent="0.25">
      <c r="E2273"/>
      <c r="M2273"/>
    </row>
    <row r="2274" spans="5:13" x14ac:dyDescent="0.25">
      <c r="E2274"/>
      <c r="M2274"/>
    </row>
    <row r="2275" spans="5:13" x14ac:dyDescent="0.25">
      <c r="E2275"/>
      <c r="M2275"/>
    </row>
    <row r="2276" spans="5:13" x14ac:dyDescent="0.25">
      <c r="E2276"/>
      <c r="M2276"/>
    </row>
    <row r="2277" spans="5:13" x14ac:dyDescent="0.25">
      <c r="E2277"/>
      <c r="M2277"/>
    </row>
    <row r="2278" spans="5:13" x14ac:dyDescent="0.25">
      <c r="E2278"/>
      <c r="M2278"/>
    </row>
    <row r="2279" spans="5:13" x14ac:dyDescent="0.25">
      <c r="E2279"/>
      <c r="M2279"/>
    </row>
    <row r="2280" spans="5:13" x14ac:dyDescent="0.25">
      <c r="E2280"/>
      <c r="M2280"/>
    </row>
    <row r="2281" spans="5:13" x14ac:dyDescent="0.25">
      <c r="E2281"/>
      <c r="M2281"/>
    </row>
    <row r="2282" spans="5:13" x14ac:dyDescent="0.25">
      <c r="E2282"/>
      <c r="M2282"/>
    </row>
    <row r="2283" spans="5:13" x14ac:dyDescent="0.25">
      <c r="E2283"/>
      <c r="M2283"/>
    </row>
    <row r="2284" spans="5:13" x14ac:dyDescent="0.25">
      <c r="E2284"/>
      <c r="M2284"/>
    </row>
    <row r="2285" spans="5:13" x14ac:dyDescent="0.25">
      <c r="E2285"/>
      <c r="M2285"/>
    </row>
    <row r="2286" spans="5:13" x14ac:dyDescent="0.25">
      <c r="E2286"/>
      <c r="M2286"/>
    </row>
    <row r="2287" spans="5:13" x14ac:dyDescent="0.25">
      <c r="E2287"/>
      <c r="M2287"/>
    </row>
    <row r="2288" spans="5:13" x14ac:dyDescent="0.25">
      <c r="E2288"/>
      <c r="M2288"/>
    </row>
    <row r="2289" spans="5:13" x14ac:dyDescent="0.25">
      <c r="E2289"/>
      <c r="M2289"/>
    </row>
    <row r="2290" spans="5:13" x14ac:dyDescent="0.25">
      <c r="E2290"/>
      <c r="M2290"/>
    </row>
    <row r="2291" spans="5:13" x14ac:dyDescent="0.25">
      <c r="E2291"/>
      <c r="M2291"/>
    </row>
    <row r="2292" spans="5:13" x14ac:dyDescent="0.25">
      <c r="E2292"/>
      <c r="M2292"/>
    </row>
    <row r="2293" spans="5:13" x14ac:dyDescent="0.25">
      <c r="E2293"/>
      <c r="M2293"/>
    </row>
    <row r="2294" spans="5:13" x14ac:dyDescent="0.25">
      <c r="E2294"/>
      <c r="M2294"/>
    </row>
    <row r="2295" spans="5:13" x14ac:dyDescent="0.25">
      <c r="E2295"/>
      <c r="M2295"/>
    </row>
    <row r="2296" spans="5:13" x14ac:dyDescent="0.25">
      <c r="E2296"/>
      <c r="M2296"/>
    </row>
    <row r="2297" spans="5:13" x14ac:dyDescent="0.25">
      <c r="E2297"/>
      <c r="M2297"/>
    </row>
    <row r="2298" spans="5:13" x14ac:dyDescent="0.25">
      <c r="E2298"/>
      <c r="M2298"/>
    </row>
    <row r="2299" spans="5:13" x14ac:dyDescent="0.25">
      <c r="E2299"/>
      <c r="M2299"/>
    </row>
    <row r="2300" spans="5:13" x14ac:dyDescent="0.25">
      <c r="E2300"/>
      <c r="M2300"/>
    </row>
    <row r="2301" spans="5:13" x14ac:dyDescent="0.25">
      <c r="E2301"/>
      <c r="M2301"/>
    </row>
    <row r="2302" spans="5:13" x14ac:dyDescent="0.25">
      <c r="E2302"/>
      <c r="M2302"/>
    </row>
    <row r="2303" spans="5:13" x14ac:dyDescent="0.25">
      <c r="E2303"/>
      <c r="M2303"/>
    </row>
    <row r="2304" spans="5:13" x14ac:dyDescent="0.25">
      <c r="E2304"/>
      <c r="M2304"/>
    </row>
    <row r="2305" spans="5:13" x14ac:dyDescent="0.25">
      <c r="E2305"/>
      <c r="M2305"/>
    </row>
    <row r="2306" spans="5:13" x14ac:dyDescent="0.25">
      <c r="E2306"/>
      <c r="M2306"/>
    </row>
    <row r="2307" spans="5:13" x14ac:dyDescent="0.25">
      <c r="E2307"/>
      <c r="M2307"/>
    </row>
    <row r="2308" spans="5:13" x14ac:dyDescent="0.25">
      <c r="E2308"/>
      <c r="M2308"/>
    </row>
    <row r="2309" spans="5:13" x14ac:dyDescent="0.25">
      <c r="E2309"/>
      <c r="M2309"/>
    </row>
    <row r="2310" spans="5:13" x14ac:dyDescent="0.25">
      <c r="E2310"/>
      <c r="M2310"/>
    </row>
    <row r="2311" spans="5:13" x14ac:dyDescent="0.25">
      <c r="E2311"/>
      <c r="M2311"/>
    </row>
    <row r="2312" spans="5:13" x14ac:dyDescent="0.25">
      <c r="E2312"/>
      <c r="M2312"/>
    </row>
    <row r="2313" spans="5:13" x14ac:dyDescent="0.25">
      <c r="E2313"/>
      <c r="M2313"/>
    </row>
    <row r="2314" spans="5:13" x14ac:dyDescent="0.25">
      <c r="E2314"/>
      <c r="M2314"/>
    </row>
    <row r="2315" spans="5:13" x14ac:dyDescent="0.25">
      <c r="E2315"/>
      <c r="M2315"/>
    </row>
    <row r="2316" spans="5:13" x14ac:dyDescent="0.25">
      <c r="E2316"/>
      <c r="M2316"/>
    </row>
    <row r="2317" spans="5:13" x14ac:dyDescent="0.25">
      <c r="E2317"/>
      <c r="M2317"/>
    </row>
    <row r="2318" spans="5:13" x14ac:dyDescent="0.25">
      <c r="E2318"/>
      <c r="M2318"/>
    </row>
    <row r="2319" spans="5:13" x14ac:dyDescent="0.25">
      <c r="E2319"/>
      <c r="M2319"/>
    </row>
    <row r="2320" spans="5:13" x14ac:dyDescent="0.25">
      <c r="E2320"/>
      <c r="M2320"/>
    </row>
    <row r="2321" spans="5:13" x14ac:dyDescent="0.25">
      <c r="E2321"/>
      <c r="M2321"/>
    </row>
    <row r="2322" spans="5:13" x14ac:dyDescent="0.25">
      <c r="E2322"/>
      <c r="M2322"/>
    </row>
    <row r="2323" spans="5:13" x14ac:dyDescent="0.25">
      <c r="E2323"/>
      <c r="M2323"/>
    </row>
    <row r="2324" spans="5:13" x14ac:dyDescent="0.25">
      <c r="E2324"/>
      <c r="M2324"/>
    </row>
    <row r="2325" spans="5:13" x14ac:dyDescent="0.25">
      <c r="E2325"/>
      <c r="M2325"/>
    </row>
    <row r="2326" spans="5:13" x14ac:dyDescent="0.25">
      <c r="E2326"/>
      <c r="M2326"/>
    </row>
    <row r="2327" spans="5:13" x14ac:dyDescent="0.25">
      <c r="E2327"/>
      <c r="M2327"/>
    </row>
    <row r="2328" spans="5:13" x14ac:dyDescent="0.25">
      <c r="E2328"/>
      <c r="M2328"/>
    </row>
    <row r="2329" spans="5:13" x14ac:dyDescent="0.25">
      <c r="E2329"/>
      <c r="M2329"/>
    </row>
    <row r="2330" spans="5:13" x14ac:dyDescent="0.25">
      <c r="E2330"/>
      <c r="M2330"/>
    </row>
    <row r="2331" spans="5:13" x14ac:dyDescent="0.25">
      <c r="E2331"/>
      <c r="M2331"/>
    </row>
    <row r="2332" spans="5:13" x14ac:dyDescent="0.25">
      <c r="E2332"/>
      <c r="M2332"/>
    </row>
    <row r="2333" spans="5:13" x14ac:dyDescent="0.25">
      <c r="E2333"/>
      <c r="M2333"/>
    </row>
    <row r="2334" spans="5:13" x14ac:dyDescent="0.25">
      <c r="E2334"/>
      <c r="M2334"/>
    </row>
    <row r="2335" spans="5:13" x14ac:dyDescent="0.25">
      <c r="E2335"/>
      <c r="M2335"/>
    </row>
    <row r="2336" spans="5:13" x14ac:dyDescent="0.25">
      <c r="E2336"/>
      <c r="M2336"/>
    </row>
    <row r="2337" spans="5:13" x14ac:dyDescent="0.25">
      <c r="E2337"/>
      <c r="M2337"/>
    </row>
    <row r="2338" spans="5:13" x14ac:dyDescent="0.25">
      <c r="E2338"/>
      <c r="M2338"/>
    </row>
    <row r="2339" spans="5:13" x14ac:dyDescent="0.25">
      <c r="E2339"/>
      <c r="M2339"/>
    </row>
    <row r="2340" spans="5:13" x14ac:dyDescent="0.25">
      <c r="E2340"/>
      <c r="M2340"/>
    </row>
    <row r="2341" spans="5:13" x14ac:dyDescent="0.25">
      <c r="E2341"/>
      <c r="M2341"/>
    </row>
    <row r="2342" spans="5:13" x14ac:dyDescent="0.25">
      <c r="E2342"/>
      <c r="M2342"/>
    </row>
    <row r="2343" spans="5:13" x14ac:dyDescent="0.25">
      <c r="E2343"/>
      <c r="M2343"/>
    </row>
    <row r="2344" spans="5:13" x14ac:dyDescent="0.25">
      <c r="E2344"/>
      <c r="M2344"/>
    </row>
    <row r="2345" spans="5:13" x14ac:dyDescent="0.25">
      <c r="E2345"/>
      <c r="M2345"/>
    </row>
    <row r="2346" spans="5:13" x14ac:dyDescent="0.25">
      <c r="E2346"/>
      <c r="M2346"/>
    </row>
    <row r="2347" spans="5:13" x14ac:dyDescent="0.25">
      <c r="E2347"/>
      <c r="M2347"/>
    </row>
    <row r="2348" spans="5:13" x14ac:dyDescent="0.25">
      <c r="E2348"/>
      <c r="M2348"/>
    </row>
    <row r="2349" spans="5:13" x14ac:dyDescent="0.25">
      <c r="E2349"/>
      <c r="M2349"/>
    </row>
    <row r="2350" spans="5:13" x14ac:dyDescent="0.25">
      <c r="E2350"/>
      <c r="M2350"/>
    </row>
    <row r="2351" spans="5:13" x14ac:dyDescent="0.25">
      <c r="E2351"/>
      <c r="M2351"/>
    </row>
    <row r="2352" spans="5:13" x14ac:dyDescent="0.25">
      <c r="E2352"/>
      <c r="M2352"/>
    </row>
    <row r="2353" spans="5:13" x14ac:dyDescent="0.25">
      <c r="E2353"/>
      <c r="M2353"/>
    </row>
    <row r="2354" spans="5:13" x14ac:dyDescent="0.25">
      <c r="E2354"/>
      <c r="M2354"/>
    </row>
    <row r="2355" spans="5:13" x14ac:dyDescent="0.25">
      <c r="E2355"/>
      <c r="M2355"/>
    </row>
    <row r="2356" spans="5:13" x14ac:dyDescent="0.25">
      <c r="E2356"/>
      <c r="M2356"/>
    </row>
    <row r="2357" spans="5:13" x14ac:dyDescent="0.25">
      <c r="E2357"/>
      <c r="M2357"/>
    </row>
    <row r="2358" spans="5:13" x14ac:dyDescent="0.25">
      <c r="E2358"/>
      <c r="M2358"/>
    </row>
    <row r="2359" spans="5:13" x14ac:dyDescent="0.25">
      <c r="E2359"/>
      <c r="M2359"/>
    </row>
    <row r="2360" spans="5:13" x14ac:dyDescent="0.25">
      <c r="E2360"/>
      <c r="M2360"/>
    </row>
    <row r="2361" spans="5:13" x14ac:dyDescent="0.25">
      <c r="E2361"/>
      <c r="M2361"/>
    </row>
    <row r="2362" spans="5:13" x14ac:dyDescent="0.25">
      <c r="E2362"/>
      <c r="M2362"/>
    </row>
    <row r="2363" spans="5:13" x14ac:dyDescent="0.25">
      <c r="E2363"/>
      <c r="M2363"/>
    </row>
    <row r="2364" spans="5:13" x14ac:dyDescent="0.25">
      <c r="E2364"/>
      <c r="M2364"/>
    </row>
    <row r="2365" spans="5:13" x14ac:dyDescent="0.25">
      <c r="E2365"/>
      <c r="M2365"/>
    </row>
    <row r="2366" spans="5:13" x14ac:dyDescent="0.25">
      <c r="E2366"/>
      <c r="M2366"/>
    </row>
    <row r="2367" spans="5:13" x14ac:dyDescent="0.25">
      <c r="E2367"/>
      <c r="M2367"/>
    </row>
    <row r="2368" spans="5:13" x14ac:dyDescent="0.25">
      <c r="E2368"/>
      <c r="M2368"/>
    </row>
    <row r="2369" spans="5:13" x14ac:dyDescent="0.25">
      <c r="E2369"/>
      <c r="M2369"/>
    </row>
    <row r="2370" spans="5:13" x14ac:dyDescent="0.25">
      <c r="E2370"/>
      <c r="M2370"/>
    </row>
    <row r="2371" spans="5:13" x14ac:dyDescent="0.25">
      <c r="E2371"/>
      <c r="M2371"/>
    </row>
    <row r="2372" spans="5:13" x14ac:dyDescent="0.25">
      <c r="E2372"/>
      <c r="M2372"/>
    </row>
    <row r="2373" spans="5:13" x14ac:dyDescent="0.25">
      <c r="E2373"/>
      <c r="M2373"/>
    </row>
    <row r="2374" spans="5:13" x14ac:dyDescent="0.25">
      <c r="E2374"/>
      <c r="M2374"/>
    </row>
    <row r="2375" spans="5:13" x14ac:dyDescent="0.25">
      <c r="E2375"/>
      <c r="M2375"/>
    </row>
    <row r="2376" spans="5:13" x14ac:dyDescent="0.25">
      <c r="E2376"/>
      <c r="M2376"/>
    </row>
    <row r="2377" spans="5:13" x14ac:dyDescent="0.25">
      <c r="E2377"/>
      <c r="M2377"/>
    </row>
    <row r="2378" spans="5:13" x14ac:dyDescent="0.25">
      <c r="E2378"/>
      <c r="M2378"/>
    </row>
    <row r="2379" spans="5:13" x14ac:dyDescent="0.25">
      <c r="E2379"/>
      <c r="M2379"/>
    </row>
    <row r="2380" spans="5:13" x14ac:dyDescent="0.25">
      <c r="E2380"/>
      <c r="M2380"/>
    </row>
    <row r="2381" spans="5:13" x14ac:dyDescent="0.25">
      <c r="E2381"/>
      <c r="M2381"/>
    </row>
    <row r="2382" spans="5:13" x14ac:dyDescent="0.25">
      <c r="E2382"/>
      <c r="M2382"/>
    </row>
    <row r="2383" spans="5:13" x14ac:dyDescent="0.25">
      <c r="E2383"/>
      <c r="M2383"/>
    </row>
    <row r="2384" spans="5:13" x14ac:dyDescent="0.25">
      <c r="E2384"/>
      <c r="M2384"/>
    </row>
    <row r="2385" spans="5:13" x14ac:dyDescent="0.25">
      <c r="E2385"/>
      <c r="M2385"/>
    </row>
    <row r="2386" spans="5:13" x14ac:dyDescent="0.25">
      <c r="E2386"/>
      <c r="M2386"/>
    </row>
    <row r="2387" spans="5:13" x14ac:dyDescent="0.25">
      <c r="E2387"/>
      <c r="M2387"/>
    </row>
    <row r="2388" spans="5:13" x14ac:dyDescent="0.25">
      <c r="E2388"/>
      <c r="M2388"/>
    </row>
    <row r="2389" spans="5:13" x14ac:dyDescent="0.25">
      <c r="E2389"/>
      <c r="M2389"/>
    </row>
    <row r="2390" spans="5:13" x14ac:dyDescent="0.25">
      <c r="E2390"/>
      <c r="M2390"/>
    </row>
    <row r="2391" spans="5:13" x14ac:dyDescent="0.25">
      <c r="E2391"/>
      <c r="M2391"/>
    </row>
    <row r="2392" spans="5:13" x14ac:dyDescent="0.25">
      <c r="E2392"/>
      <c r="M2392"/>
    </row>
    <row r="2393" spans="5:13" x14ac:dyDescent="0.25">
      <c r="E2393"/>
      <c r="M2393"/>
    </row>
    <row r="2394" spans="5:13" x14ac:dyDescent="0.25">
      <c r="E2394"/>
      <c r="M2394"/>
    </row>
    <row r="2395" spans="5:13" x14ac:dyDescent="0.25">
      <c r="E2395"/>
      <c r="M2395"/>
    </row>
    <row r="2396" spans="5:13" x14ac:dyDescent="0.25">
      <c r="E2396"/>
      <c r="M2396"/>
    </row>
    <row r="2397" spans="5:13" x14ac:dyDescent="0.25">
      <c r="E2397"/>
      <c r="M2397"/>
    </row>
    <row r="2398" spans="5:13" x14ac:dyDescent="0.25">
      <c r="E2398"/>
      <c r="M2398"/>
    </row>
    <row r="2399" spans="5:13" x14ac:dyDescent="0.25">
      <c r="E2399"/>
      <c r="M2399"/>
    </row>
    <row r="2400" spans="5:13" x14ac:dyDescent="0.25">
      <c r="E2400"/>
      <c r="M2400"/>
    </row>
    <row r="2401" spans="5:13" x14ac:dyDescent="0.25">
      <c r="E2401"/>
      <c r="M2401"/>
    </row>
    <row r="2402" spans="5:13" x14ac:dyDescent="0.25">
      <c r="E2402"/>
      <c r="M2402"/>
    </row>
    <row r="2403" spans="5:13" x14ac:dyDescent="0.25">
      <c r="E2403"/>
      <c r="M2403"/>
    </row>
    <row r="2404" spans="5:13" x14ac:dyDescent="0.25">
      <c r="E2404"/>
      <c r="M2404"/>
    </row>
    <row r="2405" spans="5:13" x14ac:dyDescent="0.25">
      <c r="E2405"/>
      <c r="M2405"/>
    </row>
    <row r="2406" spans="5:13" x14ac:dyDescent="0.25">
      <c r="E2406"/>
      <c r="M2406"/>
    </row>
    <row r="2407" spans="5:13" x14ac:dyDescent="0.25">
      <c r="E2407"/>
      <c r="M2407"/>
    </row>
    <row r="2408" spans="5:13" x14ac:dyDescent="0.25">
      <c r="E2408"/>
      <c r="M2408"/>
    </row>
    <row r="2409" spans="5:13" x14ac:dyDescent="0.25">
      <c r="E2409"/>
      <c r="M2409"/>
    </row>
    <row r="2410" spans="5:13" x14ac:dyDescent="0.25">
      <c r="E2410"/>
      <c r="M2410"/>
    </row>
    <row r="2411" spans="5:13" x14ac:dyDescent="0.25">
      <c r="E2411"/>
      <c r="M2411"/>
    </row>
    <row r="2412" spans="5:13" x14ac:dyDescent="0.25">
      <c r="E2412"/>
      <c r="M2412"/>
    </row>
    <row r="2413" spans="5:13" x14ac:dyDescent="0.25">
      <c r="E2413"/>
      <c r="M2413"/>
    </row>
    <row r="2414" spans="5:13" x14ac:dyDescent="0.25">
      <c r="E2414"/>
      <c r="M2414"/>
    </row>
    <row r="2415" spans="5:13" x14ac:dyDescent="0.25">
      <c r="E2415"/>
      <c r="M2415"/>
    </row>
    <row r="2416" spans="5:13" x14ac:dyDescent="0.25">
      <c r="E2416"/>
      <c r="M2416"/>
    </row>
    <row r="2417" spans="5:13" x14ac:dyDescent="0.25">
      <c r="E2417"/>
      <c r="M2417"/>
    </row>
    <row r="2418" spans="5:13" x14ac:dyDescent="0.25">
      <c r="E2418"/>
      <c r="M2418"/>
    </row>
    <row r="2419" spans="5:13" x14ac:dyDescent="0.25">
      <c r="E2419"/>
      <c r="M2419"/>
    </row>
    <row r="2420" spans="5:13" x14ac:dyDescent="0.25">
      <c r="E2420"/>
      <c r="M2420"/>
    </row>
    <row r="2421" spans="5:13" x14ac:dyDescent="0.25">
      <c r="E2421"/>
      <c r="M2421"/>
    </row>
    <row r="2422" spans="5:13" x14ac:dyDescent="0.25">
      <c r="E2422"/>
      <c r="M2422"/>
    </row>
    <row r="2423" spans="5:13" x14ac:dyDescent="0.25">
      <c r="E2423"/>
      <c r="M2423"/>
    </row>
    <row r="2424" spans="5:13" x14ac:dyDescent="0.25">
      <c r="E2424"/>
      <c r="M2424"/>
    </row>
    <row r="2425" spans="5:13" x14ac:dyDescent="0.25">
      <c r="E2425"/>
      <c r="M2425"/>
    </row>
    <row r="2426" spans="5:13" x14ac:dyDescent="0.25">
      <c r="E2426"/>
      <c r="M2426"/>
    </row>
    <row r="2427" spans="5:13" x14ac:dyDescent="0.25">
      <c r="E2427"/>
      <c r="M2427"/>
    </row>
    <row r="2428" spans="5:13" x14ac:dyDescent="0.25">
      <c r="E2428"/>
      <c r="M2428"/>
    </row>
    <row r="2429" spans="5:13" x14ac:dyDescent="0.25">
      <c r="E2429"/>
      <c r="M2429"/>
    </row>
    <row r="2430" spans="5:13" x14ac:dyDescent="0.25">
      <c r="E2430"/>
      <c r="M2430"/>
    </row>
    <row r="2431" spans="5:13" x14ac:dyDescent="0.25">
      <c r="E2431"/>
      <c r="M2431"/>
    </row>
    <row r="2432" spans="5:13" x14ac:dyDescent="0.25">
      <c r="E2432"/>
      <c r="M2432"/>
    </row>
    <row r="2433" spans="5:13" x14ac:dyDescent="0.25">
      <c r="E2433"/>
      <c r="M2433"/>
    </row>
    <row r="2434" spans="5:13" x14ac:dyDescent="0.25">
      <c r="E2434"/>
      <c r="M2434"/>
    </row>
    <row r="2435" spans="5:13" x14ac:dyDescent="0.25">
      <c r="E2435"/>
      <c r="M2435"/>
    </row>
    <row r="2436" spans="5:13" x14ac:dyDescent="0.25">
      <c r="E2436"/>
      <c r="M2436"/>
    </row>
    <row r="2437" spans="5:13" x14ac:dyDescent="0.25">
      <c r="E2437"/>
      <c r="M2437"/>
    </row>
    <row r="2438" spans="5:13" x14ac:dyDescent="0.25">
      <c r="E2438"/>
      <c r="M2438"/>
    </row>
    <row r="2439" spans="5:13" x14ac:dyDescent="0.25">
      <c r="E2439"/>
      <c r="M2439"/>
    </row>
    <row r="2440" spans="5:13" x14ac:dyDescent="0.25">
      <c r="E2440"/>
      <c r="M2440"/>
    </row>
    <row r="2441" spans="5:13" x14ac:dyDescent="0.25">
      <c r="E2441"/>
      <c r="M2441"/>
    </row>
    <row r="2442" spans="5:13" x14ac:dyDescent="0.25">
      <c r="E2442"/>
      <c r="M2442"/>
    </row>
    <row r="2443" spans="5:13" x14ac:dyDescent="0.25">
      <c r="E2443"/>
      <c r="M2443"/>
    </row>
    <row r="2444" spans="5:13" x14ac:dyDescent="0.25">
      <c r="E2444"/>
      <c r="M2444"/>
    </row>
    <row r="2445" spans="5:13" x14ac:dyDescent="0.25">
      <c r="E2445"/>
      <c r="M2445"/>
    </row>
    <row r="2446" spans="5:13" x14ac:dyDescent="0.25">
      <c r="E2446"/>
      <c r="M2446"/>
    </row>
    <row r="2447" spans="5:13" x14ac:dyDescent="0.25">
      <c r="E2447"/>
      <c r="M2447"/>
    </row>
    <row r="2448" spans="5:13" x14ac:dyDescent="0.25">
      <c r="E2448"/>
      <c r="M2448"/>
    </row>
    <row r="2449" spans="5:13" x14ac:dyDescent="0.25">
      <c r="E2449"/>
      <c r="M2449"/>
    </row>
    <row r="2450" spans="5:13" x14ac:dyDescent="0.25">
      <c r="E2450"/>
      <c r="M2450"/>
    </row>
    <row r="2451" spans="5:13" x14ac:dyDescent="0.25">
      <c r="E2451"/>
      <c r="M2451"/>
    </row>
    <row r="2452" spans="5:13" x14ac:dyDescent="0.25">
      <c r="E2452"/>
      <c r="M2452"/>
    </row>
    <row r="2453" spans="5:13" x14ac:dyDescent="0.25">
      <c r="E2453"/>
      <c r="M2453"/>
    </row>
    <row r="2454" spans="5:13" x14ac:dyDescent="0.25">
      <c r="E2454"/>
      <c r="M2454"/>
    </row>
    <row r="2455" spans="5:13" x14ac:dyDescent="0.25">
      <c r="E2455"/>
      <c r="M2455"/>
    </row>
    <row r="2456" spans="5:13" x14ac:dyDescent="0.25">
      <c r="E2456"/>
      <c r="M2456"/>
    </row>
    <row r="2457" spans="5:13" x14ac:dyDescent="0.25">
      <c r="E2457"/>
      <c r="M2457"/>
    </row>
    <row r="2458" spans="5:13" x14ac:dyDescent="0.25">
      <c r="E2458"/>
      <c r="M2458"/>
    </row>
    <row r="2459" spans="5:13" x14ac:dyDescent="0.25">
      <c r="E2459"/>
      <c r="M2459"/>
    </row>
    <row r="2460" spans="5:13" x14ac:dyDescent="0.25">
      <c r="E2460"/>
      <c r="M2460"/>
    </row>
    <row r="2461" spans="5:13" x14ac:dyDescent="0.25">
      <c r="E2461"/>
      <c r="M2461"/>
    </row>
    <row r="2462" spans="5:13" x14ac:dyDescent="0.25">
      <c r="E2462"/>
      <c r="M2462"/>
    </row>
    <row r="2463" spans="5:13" x14ac:dyDescent="0.25">
      <c r="E2463"/>
      <c r="M2463"/>
    </row>
    <row r="2464" spans="5:13" x14ac:dyDescent="0.25">
      <c r="E2464"/>
      <c r="M2464"/>
    </row>
    <row r="2465" spans="5:13" x14ac:dyDescent="0.25">
      <c r="E2465"/>
      <c r="M2465"/>
    </row>
    <row r="2466" spans="5:13" x14ac:dyDescent="0.25">
      <c r="E2466"/>
      <c r="M2466"/>
    </row>
    <row r="2467" spans="5:13" x14ac:dyDescent="0.25">
      <c r="E2467"/>
      <c r="M2467"/>
    </row>
    <row r="2468" spans="5:13" x14ac:dyDescent="0.25">
      <c r="E2468"/>
      <c r="M2468"/>
    </row>
    <row r="2469" spans="5:13" x14ac:dyDescent="0.25">
      <c r="E2469"/>
      <c r="M2469"/>
    </row>
    <row r="2470" spans="5:13" x14ac:dyDescent="0.25">
      <c r="E2470"/>
      <c r="M2470"/>
    </row>
    <row r="2471" spans="5:13" x14ac:dyDescent="0.25">
      <c r="E2471"/>
      <c r="M2471"/>
    </row>
    <row r="2472" spans="5:13" x14ac:dyDescent="0.25">
      <c r="E2472"/>
      <c r="M2472"/>
    </row>
    <row r="2473" spans="5:13" x14ac:dyDescent="0.25">
      <c r="E2473"/>
      <c r="M2473"/>
    </row>
    <row r="2474" spans="5:13" x14ac:dyDescent="0.25">
      <c r="E2474"/>
      <c r="M2474"/>
    </row>
    <row r="2475" spans="5:13" x14ac:dyDescent="0.25">
      <c r="E2475"/>
      <c r="M2475"/>
    </row>
    <row r="2476" spans="5:13" x14ac:dyDescent="0.25">
      <c r="E2476"/>
      <c r="M2476"/>
    </row>
    <row r="2477" spans="5:13" x14ac:dyDescent="0.25">
      <c r="E2477"/>
      <c r="M2477"/>
    </row>
    <row r="2478" spans="5:13" x14ac:dyDescent="0.25">
      <c r="E2478"/>
      <c r="M2478"/>
    </row>
    <row r="2479" spans="5:13" x14ac:dyDescent="0.25">
      <c r="E2479"/>
      <c r="M2479"/>
    </row>
    <row r="2480" spans="5:13" x14ac:dyDescent="0.25">
      <c r="E2480"/>
      <c r="M2480"/>
    </row>
    <row r="2481" spans="5:13" x14ac:dyDescent="0.25">
      <c r="E2481"/>
      <c r="M2481"/>
    </row>
    <row r="2482" spans="5:13" x14ac:dyDescent="0.25">
      <c r="E2482"/>
      <c r="M2482"/>
    </row>
    <row r="2483" spans="5:13" x14ac:dyDescent="0.25">
      <c r="E2483"/>
      <c r="M2483"/>
    </row>
    <row r="2484" spans="5:13" x14ac:dyDescent="0.25">
      <c r="E2484"/>
      <c r="M2484"/>
    </row>
    <row r="2485" spans="5:13" x14ac:dyDescent="0.25">
      <c r="E2485"/>
      <c r="M2485"/>
    </row>
    <row r="2486" spans="5:13" x14ac:dyDescent="0.25">
      <c r="E2486"/>
      <c r="M2486"/>
    </row>
    <row r="2487" spans="5:13" x14ac:dyDescent="0.25">
      <c r="E2487"/>
      <c r="M2487"/>
    </row>
    <row r="2488" spans="5:13" x14ac:dyDescent="0.25">
      <c r="E2488"/>
      <c r="M2488"/>
    </row>
    <row r="2489" spans="5:13" x14ac:dyDescent="0.25">
      <c r="E2489"/>
      <c r="M2489"/>
    </row>
    <row r="2490" spans="5:13" x14ac:dyDescent="0.25">
      <c r="E2490"/>
      <c r="M2490"/>
    </row>
    <row r="2491" spans="5:13" x14ac:dyDescent="0.25">
      <c r="E2491"/>
      <c r="M2491"/>
    </row>
    <row r="2492" spans="5:13" x14ac:dyDescent="0.25">
      <c r="E2492"/>
      <c r="M2492"/>
    </row>
    <row r="2493" spans="5:13" x14ac:dyDescent="0.25">
      <c r="E2493"/>
      <c r="M2493"/>
    </row>
    <row r="2494" spans="5:13" x14ac:dyDescent="0.25">
      <c r="E2494"/>
      <c r="M2494"/>
    </row>
    <row r="2495" spans="5:13" x14ac:dyDescent="0.25">
      <c r="E2495"/>
      <c r="M2495"/>
    </row>
    <row r="2496" spans="5:13" x14ac:dyDescent="0.25">
      <c r="E2496"/>
      <c r="M2496"/>
    </row>
    <row r="2497" spans="5:13" x14ac:dyDescent="0.25">
      <c r="E2497"/>
      <c r="M2497"/>
    </row>
    <row r="2498" spans="5:13" x14ac:dyDescent="0.25">
      <c r="E2498"/>
      <c r="M2498"/>
    </row>
    <row r="2499" spans="5:13" x14ac:dyDescent="0.25">
      <c r="E2499"/>
      <c r="M2499"/>
    </row>
    <row r="2500" spans="5:13" x14ac:dyDescent="0.25">
      <c r="E2500"/>
      <c r="M2500"/>
    </row>
    <row r="2501" spans="5:13" x14ac:dyDescent="0.25">
      <c r="E2501"/>
      <c r="M2501"/>
    </row>
    <row r="2502" spans="5:13" x14ac:dyDescent="0.25">
      <c r="E2502"/>
      <c r="M2502"/>
    </row>
    <row r="2503" spans="5:13" x14ac:dyDescent="0.25">
      <c r="E2503"/>
      <c r="M2503"/>
    </row>
    <row r="2504" spans="5:13" x14ac:dyDescent="0.25">
      <c r="E2504"/>
      <c r="M2504"/>
    </row>
    <row r="2505" spans="5:13" x14ac:dyDescent="0.25">
      <c r="E2505"/>
      <c r="M2505"/>
    </row>
    <row r="2506" spans="5:13" x14ac:dyDescent="0.25">
      <c r="E2506"/>
      <c r="M2506"/>
    </row>
    <row r="2507" spans="5:13" x14ac:dyDescent="0.25">
      <c r="E2507"/>
      <c r="M2507"/>
    </row>
    <row r="2508" spans="5:13" x14ac:dyDescent="0.25">
      <c r="E2508"/>
      <c r="M2508"/>
    </row>
    <row r="2509" spans="5:13" x14ac:dyDescent="0.25">
      <c r="E2509"/>
      <c r="M2509"/>
    </row>
    <row r="2510" spans="5:13" x14ac:dyDescent="0.25">
      <c r="E2510"/>
      <c r="M2510"/>
    </row>
    <row r="2511" spans="5:13" x14ac:dyDescent="0.25">
      <c r="E2511"/>
      <c r="M2511"/>
    </row>
    <row r="2512" spans="5:13" x14ac:dyDescent="0.25">
      <c r="E2512"/>
      <c r="M2512"/>
    </row>
    <row r="2513" spans="5:13" x14ac:dyDescent="0.25">
      <c r="E2513"/>
      <c r="M2513"/>
    </row>
    <row r="2514" spans="5:13" x14ac:dyDescent="0.25">
      <c r="E2514"/>
      <c r="M2514"/>
    </row>
    <row r="2515" spans="5:13" x14ac:dyDescent="0.25">
      <c r="E2515"/>
      <c r="M2515"/>
    </row>
    <row r="2516" spans="5:13" x14ac:dyDescent="0.25">
      <c r="E2516"/>
      <c r="M2516"/>
    </row>
    <row r="2517" spans="5:13" x14ac:dyDescent="0.25">
      <c r="E2517"/>
      <c r="M2517"/>
    </row>
    <row r="2518" spans="5:13" x14ac:dyDescent="0.25">
      <c r="E2518"/>
      <c r="M2518"/>
    </row>
    <row r="2519" spans="5:13" x14ac:dyDescent="0.25">
      <c r="E2519"/>
      <c r="M2519"/>
    </row>
    <row r="2520" spans="5:13" x14ac:dyDescent="0.25">
      <c r="E2520"/>
      <c r="M2520"/>
    </row>
    <row r="2521" spans="5:13" x14ac:dyDescent="0.25">
      <c r="E2521"/>
      <c r="M2521"/>
    </row>
    <row r="2522" spans="5:13" x14ac:dyDescent="0.25">
      <c r="E2522"/>
      <c r="M2522"/>
    </row>
    <row r="2523" spans="5:13" x14ac:dyDescent="0.25">
      <c r="E2523"/>
      <c r="M2523"/>
    </row>
    <row r="2524" spans="5:13" x14ac:dyDescent="0.25">
      <c r="E2524"/>
      <c r="M2524"/>
    </row>
    <row r="2525" spans="5:13" x14ac:dyDescent="0.25">
      <c r="E2525"/>
      <c r="M2525"/>
    </row>
    <row r="2526" spans="5:13" x14ac:dyDescent="0.25">
      <c r="E2526"/>
      <c r="M2526"/>
    </row>
    <row r="2527" spans="5:13" x14ac:dyDescent="0.25">
      <c r="E2527"/>
      <c r="M2527"/>
    </row>
    <row r="2528" spans="5:13" x14ac:dyDescent="0.25">
      <c r="E2528"/>
      <c r="M2528"/>
    </row>
    <row r="2529" spans="5:13" x14ac:dyDescent="0.25">
      <c r="E2529"/>
      <c r="M2529"/>
    </row>
    <row r="2530" spans="5:13" x14ac:dyDescent="0.25">
      <c r="E2530"/>
      <c r="M2530"/>
    </row>
    <row r="2531" spans="5:13" x14ac:dyDescent="0.25">
      <c r="E2531"/>
      <c r="M2531"/>
    </row>
    <row r="2532" spans="5:13" x14ac:dyDescent="0.25">
      <c r="E2532"/>
      <c r="M2532"/>
    </row>
    <row r="2533" spans="5:13" x14ac:dyDescent="0.25">
      <c r="E2533"/>
      <c r="M2533"/>
    </row>
    <row r="2534" spans="5:13" x14ac:dyDescent="0.25">
      <c r="E2534"/>
      <c r="M2534"/>
    </row>
    <row r="2535" spans="5:13" x14ac:dyDescent="0.25">
      <c r="E2535"/>
      <c r="M2535"/>
    </row>
    <row r="2536" spans="5:13" x14ac:dyDescent="0.25">
      <c r="E2536"/>
      <c r="M2536"/>
    </row>
    <row r="2537" spans="5:13" x14ac:dyDescent="0.25">
      <c r="E2537"/>
      <c r="M2537"/>
    </row>
    <row r="2538" spans="5:13" x14ac:dyDescent="0.25">
      <c r="E2538"/>
      <c r="M2538"/>
    </row>
    <row r="2539" spans="5:13" x14ac:dyDescent="0.25">
      <c r="E2539"/>
      <c r="M2539"/>
    </row>
    <row r="2540" spans="5:13" x14ac:dyDescent="0.25">
      <c r="E2540"/>
      <c r="M2540"/>
    </row>
    <row r="2541" spans="5:13" x14ac:dyDescent="0.25">
      <c r="E2541"/>
      <c r="M2541"/>
    </row>
    <row r="2542" spans="5:13" x14ac:dyDescent="0.25">
      <c r="E2542"/>
      <c r="M2542"/>
    </row>
    <row r="2543" spans="5:13" x14ac:dyDescent="0.25">
      <c r="E2543"/>
      <c r="M2543"/>
    </row>
    <row r="2544" spans="5:13" x14ac:dyDescent="0.25">
      <c r="E2544"/>
      <c r="M2544"/>
    </row>
    <row r="2545" spans="5:13" x14ac:dyDescent="0.25">
      <c r="E2545"/>
      <c r="M2545"/>
    </row>
    <row r="2546" spans="5:13" x14ac:dyDescent="0.25">
      <c r="E2546"/>
      <c r="M2546"/>
    </row>
    <row r="2547" spans="5:13" x14ac:dyDescent="0.25">
      <c r="E2547"/>
      <c r="M2547"/>
    </row>
    <row r="2548" spans="5:13" x14ac:dyDescent="0.25">
      <c r="E2548"/>
      <c r="M2548"/>
    </row>
    <row r="2549" spans="5:13" x14ac:dyDescent="0.25">
      <c r="E2549"/>
      <c r="M2549"/>
    </row>
    <row r="2550" spans="5:13" x14ac:dyDescent="0.25">
      <c r="E2550"/>
      <c r="M2550"/>
    </row>
    <row r="2551" spans="5:13" x14ac:dyDescent="0.25">
      <c r="E2551"/>
      <c r="M2551"/>
    </row>
    <row r="2552" spans="5:13" x14ac:dyDescent="0.25">
      <c r="E2552"/>
      <c r="M2552"/>
    </row>
    <row r="2553" spans="5:13" x14ac:dyDescent="0.25">
      <c r="E2553"/>
      <c r="M2553"/>
    </row>
    <row r="2554" spans="5:13" x14ac:dyDescent="0.25">
      <c r="E2554"/>
      <c r="M2554"/>
    </row>
    <row r="2555" spans="5:13" x14ac:dyDescent="0.25">
      <c r="E2555"/>
      <c r="M2555"/>
    </row>
    <row r="2556" spans="5:13" x14ac:dyDescent="0.25">
      <c r="E2556"/>
      <c r="M2556"/>
    </row>
    <row r="2557" spans="5:13" x14ac:dyDescent="0.25">
      <c r="E2557"/>
      <c r="M2557"/>
    </row>
    <row r="2558" spans="5:13" x14ac:dyDescent="0.25">
      <c r="E2558"/>
      <c r="M2558"/>
    </row>
    <row r="2559" spans="5:13" x14ac:dyDescent="0.25">
      <c r="E2559"/>
      <c r="M2559"/>
    </row>
    <row r="2560" spans="5:13" x14ac:dyDescent="0.25">
      <c r="E2560"/>
      <c r="M2560"/>
    </row>
    <row r="2561" spans="5:13" x14ac:dyDescent="0.25">
      <c r="E2561"/>
      <c r="M2561"/>
    </row>
    <row r="2562" spans="5:13" x14ac:dyDescent="0.25">
      <c r="E2562"/>
      <c r="M2562"/>
    </row>
    <row r="2563" spans="5:13" x14ac:dyDescent="0.25">
      <c r="E2563"/>
      <c r="M2563"/>
    </row>
    <row r="2564" spans="5:13" x14ac:dyDescent="0.25">
      <c r="E2564"/>
      <c r="M2564"/>
    </row>
    <row r="2565" spans="5:13" x14ac:dyDescent="0.25">
      <c r="E2565"/>
      <c r="M2565"/>
    </row>
    <row r="2566" spans="5:13" x14ac:dyDescent="0.25">
      <c r="E2566"/>
      <c r="M2566"/>
    </row>
    <row r="2567" spans="5:13" x14ac:dyDescent="0.25">
      <c r="E2567"/>
      <c r="M2567"/>
    </row>
    <row r="2568" spans="5:13" x14ac:dyDescent="0.25">
      <c r="E2568"/>
      <c r="M2568"/>
    </row>
    <row r="2569" spans="5:13" x14ac:dyDescent="0.25">
      <c r="E2569"/>
      <c r="M2569"/>
    </row>
    <row r="2570" spans="5:13" x14ac:dyDescent="0.25">
      <c r="E2570"/>
      <c r="M2570"/>
    </row>
    <row r="2571" spans="5:13" x14ac:dyDescent="0.25">
      <c r="E2571"/>
      <c r="M2571"/>
    </row>
    <row r="2572" spans="5:13" x14ac:dyDescent="0.25">
      <c r="E2572"/>
      <c r="M2572"/>
    </row>
    <row r="2573" spans="5:13" x14ac:dyDescent="0.25">
      <c r="E2573"/>
      <c r="M2573"/>
    </row>
    <row r="2574" spans="5:13" x14ac:dyDescent="0.25">
      <c r="E2574"/>
      <c r="M2574"/>
    </row>
    <row r="2575" spans="5:13" x14ac:dyDescent="0.25">
      <c r="E2575"/>
      <c r="M2575"/>
    </row>
    <row r="2576" spans="5:13" x14ac:dyDescent="0.25">
      <c r="E2576"/>
      <c r="M2576"/>
    </row>
    <row r="2577" spans="5:13" x14ac:dyDescent="0.25">
      <c r="E2577"/>
      <c r="M2577"/>
    </row>
    <row r="2578" spans="5:13" x14ac:dyDescent="0.25">
      <c r="E2578"/>
      <c r="M2578"/>
    </row>
    <row r="2579" spans="5:13" x14ac:dyDescent="0.25">
      <c r="E2579"/>
      <c r="M2579"/>
    </row>
    <row r="2580" spans="5:13" x14ac:dyDescent="0.25">
      <c r="E2580"/>
      <c r="M2580"/>
    </row>
    <row r="2581" spans="5:13" x14ac:dyDescent="0.25">
      <c r="E2581"/>
      <c r="M2581"/>
    </row>
    <row r="2582" spans="5:13" x14ac:dyDescent="0.25">
      <c r="E2582"/>
      <c r="M2582"/>
    </row>
    <row r="2583" spans="5:13" x14ac:dyDescent="0.25">
      <c r="E2583"/>
      <c r="M2583"/>
    </row>
    <row r="2584" spans="5:13" x14ac:dyDescent="0.25">
      <c r="E2584"/>
      <c r="M2584"/>
    </row>
    <row r="2585" spans="5:13" x14ac:dyDescent="0.25">
      <c r="E2585"/>
      <c r="M2585"/>
    </row>
    <row r="2586" spans="5:13" x14ac:dyDescent="0.25">
      <c r="E2586"/>
      <c r="M2586"/>
    </row>
    <row r="2587" spans="5:13" x14ac:dyDescent="0.25">
      <c r="E2587"/>
      <c r="M2587"/>
    </row>
    <row r="2588" spans="5:13" x14ac:dyDescent="0.25">
      <c r="E2588"/>
      <c r="M2588"/>
    </row>
    <row r="2589" spans="5:13" x14ac:dyDescent="0.25">
      <c r="E2589"/>
      <c r="M2589"/>
    </row>
    <row r="2590" spans="5:13" x14ac:dyDescent="0.25">
      <c r="E2590"/>
      <c r="M2590"/>
    </row>
    <row r="2591" spans="5:13" x14ac:dyDescent="0.25">
      <c r="E2591"/>
      <c r="M2591"/>
    </row>
    <row r="2592" spans="5:13" x14ac:dyDescent="0.25">
      <c r="E2592"/>
      <c r="M2592"/>
    </row>
    <row r="2593" spans="5:13" x14ac:dyDescent="0.25">
      <c r="E2593"/>
      <c r="M2593"/>
    </row>
    <row r="2594" spans="5:13" x14ac:dyDescent="0.25">
      <c r="E2594"/>
      <c r="M2594"/>
    </row>
    <row r="2595" spans="5:13" x14ac:dyDescent="0.25">
      <c r="E2595"/>
      <c r="M2595"/>
    </row>
    <row r="2596" spans="5:13" x14ac:dyDescent="0.25">
      <c r="E2596"/>
      <c r="M2596"/>
    </row>
    <row r="2597" spans="5:13" x14ac:dyDescent="0.25">
      <c r="E2597"/>
      <c r="M2597"/>
    </row>
    <row r="2598" spans="5:13" x14ac:dyDescent="0.25">
      <c r="E2598"/>
      <c r="M2598"/>
    </row>
    <row r="2599" spans="5:13" x14ac:dyDescent="0.25">
      <c r="E2599"/>
      <c r="M2599"/>
    </row>
    <row r="2600" spans="5:13" x14ac:dyDescent="0.25">
      <c r="E2600"/>
      <c r="M2600"/>
    </row>
    <row r="2601" spans="5:13" x14ac:dyDescent="0.25">
      <c r="E2601"/>
      <c r="M2601"/>
    </row>
    <row r="2602" spans="5:13" x14ac:dyDescent="0.25">
      <c r="E2602"/>
      <c r="M2602"/>
    </row>
    <row r="2603" spans="5:13" x14ac:dyDescent="0.25">
      <c r="E2603"/>
      <c r="M2603"/>
    </row>
    <row r="2604" spans="5:13" x14ac:dyDescent="0.25">
      <c r="E2604"/>
      <c r="M2604"/>
    </row>
    <row r="2605" spans="5:13" x14ac:dyDescent="0.25">
      <c r="E2605"/>
      <c r="M2605"/>
    </row>
    <row r="2606" spans="5:13" x14ac:dyDescent="0.25">
      <c r="E2606"/>
      <c r="M2606"/>
    </row>
    <row r="2607" spans="5:13" x14ac:dyDescent="0.25">
      <c r="E2607"/>
      <c r="M2607"/>
    </row>
    <row r="2608" spans="5:13" x14ac:dyDescent="0.25">
      <c r="E2608"/>
      <c r="M2608"/>
    </row>
    <row r="2609" spans="5:13" x14ac:dyDescent="0.25">
      <c r="E2609"/>
      <c r="M2609"/>
    </row>
    <row r="2610" spans="5:13" x14ac:dyDescent="0.25">
      <c r="E2610"/>
      <c r="M2610"/>
    </row>
    <row r="2611" spans="5:13" x14ac:dyDescent="0.25">
      <c r="E2611"/>
      <c r="M2611"/>
    </row>
    <row r="2612" spans="5:13" x14ac:dyDescent="0.25">
      <c r="E2612"/>
      <c r="M2612"/>
    </row>
    <row r="2613" spans="5:13" x14ac:dyDescent="0.25">
      <c r="E2613"/>
      <c r="M2613"/>
    </row>
    <row r="2614" spans="5:13" x14ac:dyDescent="0.25">
      <c r="E2614"/>
      <c r="M2614"/>
    </row>
    <row r="2615" spans="5:13" x14ac:dyDescent="0.25">
      <c r="E2615"/>
      <c r="M2615"/>
    </row>
    <row r="2616" spans="5:13" x14ac:dyDescent="0.25">
      <c r="E2616"/>
      <c r="M2616"/>
    </row>
    <row r="2617" spans="5:13" x14ac:dyDescent="0.25">
      <c r="E2617"/>
      <c r="M2617"/>
    </row>
    <row r="2618" spans="5:13" x14ac:dyDescent="0.25">
      <c r="E2618"/>
      <c r="M2618"/>
    </row>
    <row r="2619" spans="5:13" x14ac:dyDescent="0.25">
      <c r="E2619"/>
      <c r="M2619"/>
    </row>
    <row r="2620" spans="5:13" x14ac:dyDescent="0.25">
      <c r="E2620"/>
      <c r="M2620"/>
    </row>
    <row r="2621" spans="5:13" x14ac:dyDescent="0.25">
      <c r="E2621"/>
      <c r="M2621"/>
    </row>
    <row r="2622" spans="5:13" x14ac:dyDescent="0.25">
      <c r="E2622"/>
      <c r="M2622"/>
    </row>
    <row r="2623" spans="5:13" x14ac:dyDescent="0.25">
      <c r="E2623"/>
      <c r="M2623"/>
    </row>
    <row r="2624" spans="5:13" x14ac:dyDescent="0.25">
      <c r="E2624"/>
      <c r="M2624"/>
    </row>
    <row r="2625" spans="5:13" x14ac:dyDescent="0.25">
      <c r="E2625"/>
      <c r="M2625"/>
    </row>
    <row r="2626" spans="5:13" x14ac:dyDescent="0.25">
      <c r="E2626"/>
      <c r="M2626"/>
    </row>
    <row r="2627" spans="5:13" x14ac:dyDescent="0.25">
      <c r="E2627"/>
      <c r="M2627"/>
    </row>
    <row r="2628" spans="5:13" x14ac:dyDescent="0.25">
      <c r="E2628"/>
      <c r="M2628"/>
    </row>
    <row r="2629" spans="5:13" x14ac:dyDescent="0.25">
      <c r="E2629"/>
      <c r="M2629"/>
    </row>
    <row r="2630" spans="5:13" x14ac:dyDescent="0.25">
      <c r="E2630"/>
      <c r="M2630"/>
    </row>
    <row r="2631" spans="5:13" x14ac:dyDescent="0.25">
      <c r="E2631"/>
      <c r="M2631"/>
    </row>
    <row r="2632" spans="5:13" x14ac:dyDescent="0.25">
      <c r="E2632"/>
      <c r="M2632"/>
    </row>
    <row r="2633" spans="5:13" x14ac:dyDescent="0.25">
      <c r="E2633"/>
      <c r="M2633"/>
    </row>
    <row r="2634" spans="5:13" x14ac:dyDescent="0.25">
      <c r="E2634"/>
      <c r="M2634"/>
    </row>
    <row r="2635" spans="5:13" x14ac:dyDescent="0.25">
      <c r="E2635"/>
      <c r="M2635"/>
    </row>
    <row r="2636" spans="5:13" x14ac:dyDescent="0.25">
      <c r="E2636"/>
      <c r="M2636"/>
    </row>
    <row r="2637" spans="5:13" x14ac:dyDescent="0.25">
      <c r="E2637"/>
      <c r="M2637"/>
    </row>
    <row r="2638" spans="5:13" x14ac:dyDescent="0.25">
      <c r="E2638"/>
      <c r="M2638"/>
    </row>
    <row r="2639" spans="5:13" x14ac:dyDescent="0.25">
      <c r="E2639"/>
      <c r="M2639"/>
    </row>
    <row r="2640" spans="5:13" x14ac:dyDescent="0.25">
      <c r="E2640"/>
      <c r="M2640"/>
    </row>
    <row r="2641" spans="5:13" x14ac:dyDescent="0.25">
      <c r="E2641"/>
      <c r="M2641"/>
    </row>
    <row r="2642" spans="5:13" x14ac:dyDescent="0.25">
      <c r="E2642"/>
      <c r="M2642"/>
    </row>
    <row r="2643" spans="5:13" x14ac:dyDescent="0.25">
      <c r="E2643"/>
      <c r="M2643"/>
    </row>
    <row r="2644" spans="5:13" x14ac:dyDescent="0.25">
      <c r="E2644"/>
      <c r="M2644"/>
    </row>
    <row r="2645" spans="5:13" x14ac:dyDescent="0.25">
      <c r="E2645"/>
      <c r="M2645"/>
    </row>
    <row r="2646" spans="5:13" x14ac:dyDescent="0.25">
      <c r="E2646"/>
      <c r="M2646"/>
    </row>
    <row r="2647" spans="5:13" x14ac:dyDescent="0.25">
      <c r="E2647"/>
      <c r="M2647"/>
    </row>
    <row r="2648" spans="5:13" x14ac:dyDescent="0.25">
      <c r="E2648"/>
      <c r="M2648"/>
    </row>
    <row r="2649" spans="5:13" x14ac:dyDescent="0.25">
      <c r="E2649"/>
      <c r="M2649"/>
    </row>
    <row r="2650" spans="5:13" x14ac:dyDescent="0.25">
      <c r="E2650"/>
      <c r="M2650"/>
    </row>
    <row r="2651" spans="5:13" x14ac:dyDescent="0.25">
      <c r="E2651"/>
      <c r="M2651"/>
    </row>
    <row r="2652" spans="5:13" x14ac:dyDescent="0.25">
      <c r="E2652"/>
      <c r="M2652"/>
    </row>
    <row r="2653" spans="5:13" x14ac:dyDescent="0.25">
      <c r="E2653"/>
      <c r="M2653"/>
    </row>
    <row r="2654" spans="5:13" x14ac:dyDescent="0.25">
      <c r="E2654"/>
      <c r="M2654"/>
    </row>
    <row r="2655" spans="5:13" x14ac:dyDescent="0.25">
      <c r="E2655"/>
      <c r="M2655"/>
    </row>
    <row r="2656" spans="5:13" x14ac:dyDescent="0.25">
      <c r="E2656"/>
      <c r="M2656"/>
    </row>
    <row r="2657" spans="5:13" x14ac:dyDescent="0.25">
      <c r="E2657"/>
      <c r="M2657"/>
    </row>
    <row r="2658" spans="5:13" x14ac:dyDescent="0.25">
      <c r="E2658"/>
      <c r="M2658"/>
    </row>
    <row r="2659" spans="5:13" x14ac:dyDescent="0.25">
      <c r="E2659"/>
      <c r="M2659"/>
    </row>
    <row r="2660" spans="5:13" x14ac:dyDescent="0.25">
      <c r="E2660"/>
      <c r="M2660"/>
    </row>
    <row r="2661" spans="5:13" x14ac:dyDescent="0.25">
      <c r="E2661"/>
      <c r="M2661"/>
    </row>
    <row r="2662" spans="5:13" x14ac:dyDescent="0.25">
      <c r="E2662"/>
      <c r="M2662"/>
    </row>
    <row r="2663" spans="5:13" x14ac:dyDescent="0.25">
      <c r="E2663"/>
      <c r="M2663"/>
    </row>
    <row r="2664" spans="5:13" x14ac:dyDescent="0.25">
      <c r="E2664"/>
      <c r="M2664"/>
    </row>
    <row r="2665" spans="5:13" x14ac:dyDescent="0.25">
      <c r="E2665"/>
      <c r="M2665"/>
    </row>
    <row r="2666" spans="5:13" x14ac:dyDescent="0.25">
      <c r="E2666"/>
      <c r="M2666"/>
    </row>
    <row r="2667" spans="5:13" x14ac:dyDescent="0.25">
      <c r="E2667"/>
      <c r="M2667"/>
    </row>
    <row r="2668" spans="5:13" x14ac:dyDescent="0.25">
      <c r="E2668"/>
      <c r="M2668"/>
    </row>
    <row r="2669" spans="5:13" x14ac:dyDescent="0.25">
      <c r="E2669"/>
      <c r="M2669"/>
    </row>
    <row r="2670" spans="5:13" x14ac:dyDescent="0.25">
      <c r="E2670"/>
      <c r="M2670"/>
    </row>
    <row r="2671" spans="5:13" x14ac:dyDescent="0.25">
      <c r="E2671"/>
      <c r="M2671"/>
    </row>
    <row r="2672" spans="5:13" x14ac:dyDescent="0.25">
      <c r="E2672"/>
      <c r="M2672"/>
    </row>
    <row r="2673" spans="5:13" x14ac:dyDescent="0.25">
      <c r="E2673"/>
      <c r="M2673"/>
    </row>
    <row r="2674" spans="5:13" x14ac:dyDescent="0.25">
      <c r="E2674"/>
      <c r="M2674"/>
    </row>
    <row r="2675" spans="5:13" x14ac:dyDescent="0.25">
      <c r="E2675"/>
      <c r="M2675"/>
    </row>
    <row r="2676" spans="5:13" x14ac:dyDescent="0.25">
      <c r="E2676"/>
      <c r="M2676"/>
    </row>
    <row r="2677" spans="5:13" x14ac:dyDescent="0.25">
      <c r="E2677"/>
      <c r="M2677"/>
    </row>
    <row r="2678" spans="5:13" x14ac:dyDescent="0.25">
      <c r="E2678"/>
      <c r="M2678"/>
    </row>
    <row r="2679" spans="5:13" x14ac:dyDescent="0.25">
      <c r="E2679"/>
      <c r="M2679"/>
    </row>
    <row r="2680" spans="5:13" x14ac:dyDescent="0.25">
      <c r="E2680"/>
      <c r="M2680"/>
    </row>
    <row r="2681" spans="5:13" x14ac:dyDescent="0.25">
      <c r="E2681"/>
      <c r="M2681"/>
    </row>
    <row r="2682" spans="5:13" x14ac:dyDescent="0.25">
      <c r="E2682"/>
      <c r="M2682"/>
    </row>
    <row r="2683" spans="5:13" x14ac:dyDescent="0.25">
      <c r="E2683"/>
      <c r="M2683"/>
    </row>
    <row r="2684" spans="5:13" x14ac:dyDescent="0.25">
      <c r="E2684"/>
      <c r="M2684"/>
    </row>
    <row r="2685" spans="5:13" x14ac:dyDescent="0.25">
      <c r="E2685"/>
      <c r="M2685"/>
    </row>
    <row r="2686" spans="5:13" x14ac:dyDescent="0.25">
      <c r="E2686"/>
      <c r="M2686"/>
    </row>
    <row r="2687" spans="5:13" x14ac:dyDescent="0.25">
      <c r="E2687"/>
      <c r="M2687"/>
    </row>
    <row r="2688" spans="5:13" x14ac:dyDescent="0.25">
      <c r="E2688"/>
      <c r="M2688"/>
    </row>
    <row r="2689" spans="5:13" x14ac:dyDescent="0.25">
      <c r="E2689"/>
      <c r="M2689"/>
    </row>
    <row r="2690" spans="5:13" x14ac:dyDescent="0.25">
      <c r="E2690"/>
      <c r="M2690"/>
    </row>
    <row r="2691" spans="5:13" x14ac:dyDescent="0.25">
      <c r="E2691"/>
      <c r="M2691"/>
    </row>
    <row r="2692" spans="5:13" x14ac:dyDescent="0.25">
      <c r="E2692"/>
      <c r="M2692"/>
    </row>
    <row r="2693" spans="5:13" x14ac:dyDescent="0.25">
      <c r="E2693"/>
      <c r="M2693"/>
    </row>
    <row r="2694" spans="5:13" x14ac:dyDescent="0.25">
      <c r="E2694"/>
      <c r="M2694"/>
    </row>
    <row r="2695" spans="5:13" x14ac:dyDescent="0.25">
      <c r="E2695"/>
      <c r="M2695"/>
    </row>
    <row r="2696" spans="5:13" x14ac:dyDescent="0.25">
      <c r="E2696"/>
      <c r="M2696"/>
    </row>
    <row r="2697" spans="5:13" x14ac:dyDescent="0.25">
      <c r="E2697"/>
      <c r="M2697"/>
    </row>
    <row r="2698" spans="5:13" x14ac:dyDescent="0.25">
      <c r="E2698"/>
      <c r="M2698"/>
    </row>
    <row r="2699" spans="5:13" x14ac:dyDescent="0.25">
      <c r="E2699"/>
      <c r="M2699"/>
    </row>
    <row r="2700" spans="5:13" x14ac:dyDescent="0.25">
      <c r="E2700"/>
      <c r="M2700"/>
    </row>
    <row r="2701" spans="5:13" x14ac:dyDescent="0.25">
      <c r="E2701"/>
      <c r="M2701"/>
    </row>
    <row r="2702" spans="5:13" x14ac:dyDescent="0.25">
      <c r="E2702"/>
      <c r="M2702"/>
    </row>
    <row r="2703" spans="5:13" x14ac:dyDescent="0.25">
      <c r="E2703"/>
      <c r="M2703"/>
    </row>
    <row r="2704" spans="5:13" x14ac:dyDescent="0.25">
      <c r="E2704"/>
      <c r="M2704"/>
    </row>
    <row r="2705" spans="5:13" x14ac:dyDescent="0.25">
      <c r="E2705"/>
      <c r="M2705"/>
    </row>
    <row r="2706" spans="5:13" x14ac:dyDescent="0.25">
      <c r="E2706"/>
      <c r="M2706"/>
    </row>
    <row r="2707" spans="5:13" x14ac:dyDescent="0.25">
      <c r="E2707"/>
      <c r="M2707"/>
    </row>
    <row r="2708" spans="5:13" x14ac:dyDescent="0.25">
      <c r="E2708"/>
      <c r="M2708"/>
    </row>
    <row r="2709" spans="5:13" x14ac:dyDescent="0.25">
      <c r="E2709"/>
      <c r="M2709"/>
    </row>
    <row r="2710" spans="5:13" x14ac:dyDescent="0.25">
      <c r="E2710"/>
      <c r="M2710"/>
    </row>
    <row r="2711" spans="5:13" x14ac:dyDescent="0.25">
      <c r="E2711"/>
      <c r="M2711"/>
    </row>
    <row r="2712" spans="5:13" x14ac:dyDescent="0.25">
      <c r="E2712"/>
      <c r="M2712"/>
    </row>
    <row r="2713" spans="5:13" x14ac:dyDescent="0.25">
      <c r="E2713"/>
      <c r="M2713"/>
    </row>
    <row r="2714" spans="5:13" x14ac:dyDescent="0.25">
      <c r="E2714"/>
      <c r="M2714"/>
    </row>
    <row r="2715" spans="5:13" x14ac:dyDescent="0.25">
      <c r="E2715"/>
      <c r="M2715"/>
    </row>
    <row r="2716" spans="5:13" x14ac:dyDescent="0.25">
      <c r="E2716"/>
      <c r="M2716"/>
    </row>
    <row r="2717" spans="5:13" x14ac:dyDescent="0.25">
      <c r="E2717"/>
      <c r="M2717"/>
    </row>
    <row r="2718" spans="5:13" x14ac:dyDescent="0.25">
      <c r="E2718"/>
      <c r="M2718"/>
    </row>
    <row r="2719" spans="5:13" x14ac:dyDescent="0.25">
      <c r="E2719"/>
      <c r="M2719"/>
    </row>
    <row r="2720" spans="5:13" x14ac:dyDescent="0.25">
      <c r="E2720"/>
      <c r="M2720"/>
    </row>
    <row r="2721" spans="5:13" x14ac:dyDescent="0.25">
      <c r="E2721"/>
      <c r="M2721"/>
    </row>
    <row r="2722" spans="5:13" x14ac:dyDescent="0.25">
      <c r="E2722"/>
      <c r="M2722"/>
    </row>
    <row r="2723" spans="5:13" x14ac:dyDescent="0.25">
      <c r="E2723"/>
      <c r="M2723"/>
    </row>
    <row r="2724" spans="5:13" x14ac:dyDescent="0.25">
      <c r="E2724"/>
      <c r="M2724"/>
    </row>
    <row r="2725" spans="5:13" x14ac:dyDescent="0.25">
      <c r="E2725"/>
      <c r="M2725"/>
    </row>
    <row r="2726" spans="5:13" x14ac:dyDescent="0.25">
      <c r="E2726"/>
      <c r="M2726"/>
    </row>
    <row r="2727" spans="5:13" x14ac:dyDescent="0.25">
      <c r="E2727"/>
      <c r="M2727"/>
    </row>
    <row r="2728" spans="5:13" x14ac:dyDescent="0.25">
      <c r="E2728"/>
      <c r="M2728"/>
    </row>
    <row r="2729" spans="5:13" x14ac:dyDescent="0.25">
      <c r="E2729"/>
      <c r="M2729"/>
    </row>
    <row r="2730" spans="5:13" x14ac:dyDescent="0.25">
      <c r="E2730"/>
      <c r="M2730"/>
    </row>
    <row r="2731" spans="5:13" x14ac:dyDescent="0.25">
      <c r="E2731"/>
      <c r="M2731"/>
    </row>
    <row r="2732" spans="5:13" x14ac:dyDescent="0.25">
      <c r="E2732"/>
      <c r="M2732"/>
    </row>
    <row r="2733" spans="5:13" x14ac:dyDescent="0.25">
      <c r="E2733"/>
      <c r="M2733"/>
    </row>
    <row r="2734" spans="5:13" x14ac:dyDescent="0.25">
      <c r="E2734"/>
      <c r="M2734"/>
    </row>
    <row r="2735" spans="5:13" x14ac:dyDescent="0.25">
      <c r="E2735"/>
      <c r="M2735"/>
    </row>
    <row r="2736" spans="5:13" x14ac:dyDescent="0.25">
      <c r="E2736"/>
      <c r="M2736"/>
    </row>
    <row r="2737" spans="5:13" x14ac:dyDescent="0.25">
      <c r="E2737"/>
      <c r="M2737"/>
    </row>
    <row r="2738" spans="5:13" x14ac:dyDescent="0.25">
      <c r="E2738"/>
      <c r="M2738"/>
    </row>
    <row r="2739" spans="5:13" x14ac:dyDescent="0.25">
      <c r="E2739"/>
      <c r="M2739"/>
    </row>
    <row r="2740" spans="5:13" x14ac:dyDescent="0.25">
      <c r="E2740"/>
      <c r="M2740"/>
    </row>
    <row r="2741" spans="5:13" x14ac:dyDescent="0.25">
      <c r="E2741"/>
      <c r="M2741"/>
    </row>
    <row r="2742" spans="5:13" x14ac:dyDescent="0.25">
      <c r="E2742"/>
      <c r="M2742"/>
    </row>
    <row r="2743" spans="5:13" x14ac:dyDescent="0.25">
      <c r="E2743"/>
      <c r="M2743"/>
    </row>
    <row r="2744" spans="5:13" x14ac:dyDescent="0.25">
      <c r="E2744"/>
      <c r="M2744"/>
    </row>
    <row r="2745" spans="5:13" x14ac:dyDescent="0.25">
      <c r="E2745"/>
      <c r="M2745"/>
    </row>
    <row r="2746" spans="5:13" x14ac:dyDescent="0.25">
      <c r="E2746"/>
      <c r="M2746"/>
    </row>
    <row r="2747" spans="5:13" x14ac:dyDescent="0.25">
      <c r="E2747"/>
      <c r="M2747"/>
    </row>
    <row r="2748" spans="5:13" x14ac:dyDescent="0.25">
      <c r="E2748"/>
      <c r="M2748"/>
    </row>
    <row r="2749" spans="5:13" x14ac:dyDescent="0.25">
      <c r="E2749"/>
      <c r="M2749"/>
    </row>
    <row r="2750" spans="5:13" x14ac:dyDescent="0.25">
      <c r="E2750"/>
      <c r="M2750"/>
    </row>
    <row r="2751" spans="5:13" x14ac:dyDescent="0.25">
      <c r="E2751"/>
      <c r="M2751"/>
    </row>
    <row r="2752" spans="5:13" x14ac:dyDescent="0.25">
      <c r="E2752"/>
      <c r="M2752"/>
    </row>
    <row r="2753" spans="5:13" x14ac:dyDescent="0.25">
      <c r="E2753"/>
      <c r="M2753"/>
    </row>
    <row r="2754" spans="5:13" x14ac:dyDescent="0.25">
      <c r="E2754"/>
      <c r="M2754"/>
    </row>
    <row r="2755" spans="5:13" x14ac:dyDescent="0.25">
      <c r="E2755"/>
      <c r="M2755"/>
    </row>
    <row r="2756" spans="5:13" x14ac:dyDescent="0.25">
      <c r="E2756"/>
      <c r="M2756"/>
    </row>
    <row r="2757" spans="5:13" x14ac:dyDescent="0.25">
      <c r="E2757"/>
      <c r="M2757"/>
    </row>
    <row r="2758" spans="5:13" x14ac:dyDescent="0.25">
      <c r="E2758"/>
      <c r="M2758"/>
    </row>
    <row r="2759" spans="5:13" x14ac:dyDescent="0.25">
      <c r="E2759"/>
      <c r="M2759"/>
    </row>
    <row r="2760" spans="5:13" x14ac:dyDescent="0.25">
      <c r="E2760"/>
      <c r="M2760"/>
    </row>
    <row r="2761" spans="5:13" x14ac:dyDescent="0.25">
      <c r="E2761"/>
      <c r="M2761"/>
    </row>
    <row r="2762" spans="5:13" x14ac:dyDescent="0.25">
      <c r="E2762"/>
      <c r="M2762"/>
    </row>
    <row r="2763" spans="5:13" x14ac:dyDescent="0.25">
      <c r="E2763"/>
      <c r="M2763"/>
    </row>
    <row r="2764" spans="5:13" x14ac:dyDescent="0.25">
      <c r="E2764"/>
      <c r="M2764"/>
    </row>
    <row r="2765" spans="5:13" x14ac:dyDescent="0.25">
      <c r="E2765"/>
      <c r="M2765"/>
    </row>
    <row r="2766" spans="5:13" x14ac:dyDescent="0.25">
      <c r="E2766"/>
      <c r="M2766"/>
    </row>
    <row r="2767" spans="5:13" x14ac:dyDescent="0.25">
      <c r="E2767"/>
      <c r="M2767"/>
    </row>
    <row r="2768" spans="5:13" x14ac:dyDescent="0.25">
      <c r="E2768"/>
      <c r="M2768"/>
    </row>
    <row r="2769" spans="5:13" x14ac:dyDescent="0.25">
      <c r="E2769"/>
      <c r="M2769"/>
    </row>
    <row r="2770" spans="5:13" x14ac:dyDescent="0.25">
      <c r="E2770"/>
      <c r="M2770"/>
    </row>
    <row r="2771" spans="5:13" x14ac:dyDescent="0.25">
      <c r="E2771"/>
      <c r="M2771"/>
    </row>
    <row r="2772" spans="5:13" x14ac:dyDescent="0.25">
      <c r="E2772"/>
      <c r="M2772"/>
    </row>
    <row r="2773" spans="5:13" x14ac:dyDescent="0.25">
      <c r="E2773"/>
      <c r="M2773"/>
    </row>
    <row r="2774" spans="5:13" x14ac:dyDescent="0.25">
      <c r="E2774"/>
      <c r="M2774"/>
    </row>
    <row r="2775" spans="5:13" x14ac:dyDescent="0.25">
      <c r="E2775"/>
      <c r="M2775"/>
    </row>
    <row r="2776" spans="5:13" x14ac:dyDescent="0.25">
      <c r="E2776"/>
      <c r="M2776"/>
    </row>
    <row r="2777" spans="5:13" x14ac:dyDescent="0.25">
      <c r="E2777"/>
      <c r="M2777"/>
    </row>
    <row r="2778" spans="5:13" x14ac:dyDescent="0.25">
      <c r="E2778"/>
      <c r="M2778"/>
    </row>
    <row r="2779" spans="5:13" x14ac:dyDescent="0.25">
      <c r="E2779"/>
      <c r="M2779"/>
    </row>
    <row r="2780" spans="5:13" x14ac:dyDescent="0.25">
      <c r="E2780"/>
      <c r="M2780"/>
    </row>
    <row r="2781" spans="5:13" x14ac:dyDescent="0.25">
      <c r="E2781"/>
      <c r="M2781"/>
    </row>
    <row r="2782" spans="5:13" x14ac:dyDescent="0.25">
      <c r="E2782"/>
      <c r="M2782"/>
    </row>
    <row r="2783" spans="5:13" x14ac:dyDescent="0.25">
      <c r="E2783"/>
      <c r="M2783"/>
    </row>
    <row r="2784" spans="5:13" x14ac:dyDescent="0.25">
      <c r="E2784"/>
      <c r="M2784"/>
    </row>
    <row r="2785" spans="5:13" x14ac:dyDescent="0.25">
      <c r="E2785"/>
      <c r="M2785"/>
    </row>
    <row r="2786" spans="5:13" x14ac:dyDescent="0.25">
      <c r="E2786"/>
      <c r="M2786"/>
    </row>
    <row r="2787" spans="5:13" x14ac:dyDescent="0.25">
      <c r="E2787"/>
      <c r="M2787"/>
    </row>
    <row r="2788" spans="5:13" x14ac:dyDescent="0.25">
      <c r="E2788"/>
      <c r="M2788"/>
    </row>
    <row r="2789" spans="5:13" x14ac:dyDescent="0.25">
      <c r="E2789"/>
      <c r="M2789"/>
    </row>
    <row r="2790" spans="5:13" x14ac:dyDescent="0.25">
      <c r="E2790"/>
      <c r="M2790"/>
    </row>
    <row r="2791" spans="5:13" x14ac:dyDescent="0.25">
      <c r="E2791"/>
      <c r="M2791"/>
    </row>
    <row r="2792" spans="5:13" x14ac:dyDescent="0.25">
      <c r="E2792"/>
      <c r="M2792"/>
    </row>
    <row r="2793" spans="5:13" x14ac:dyDescent="0.25">
      <c r="E2793"/>
      <c r="M2793"/>
    </row>
    <row r="2794" spans="5:13" x14ac:dyDescent="0.25">
      <c r="E2794"/>
      <c r="M2794"/>
    </row>
    <row r="2795" spans="5:13" x14ac:dyDescent="0.25">
      <c r="E2795"/>
      <c r="M2795"/>
    </row>
    <row r="2796" spans="5:13" x14ac:dyDescent="0.25">
      <c r="E2796"/>
      <c r="M2796"/>
    </row>
    <row r="2797" spans="5:13" x14ac:dyDescent="0.25">
      <c r="E2797"/>
      <c r="M2797"/>
    </row>
    <row r="2798" spans="5:13" x14ac:dyDescent="0.25">
      <c r="E2798"/>
      <c r="M2798"/>
    </row>
    <row r="2799" spans="5:13" x14ac:dyDescent="0.25">
      <c r="E2799"/>
      <c r="M2799"/>
    </row>
    <row r="2800" spans="5:13" x14ac:dyDescent="0.25">
      <c r="E2800"/>
      <c r="M2800"/>
    </row>
    <row r="2801" spans="5:13" x14ac:dyDescent="0.25">
      <c r="E2801"/>
      <c r="M2801"/>
    </row>
    <row r="2802" spans="5:13" x14ac:dyDescent="0.25">
      <c r="E2802"/>
      <c r="M2802"/>
    </row>
    <row r="2803" spans="5:13" x14ac:dyDescent="0.25">
      <c r="E2803"/>
      <c r="M2803"/>
    </row>
    <row r="2804" spans="5:13" x14ac:dyDescent="0.25">
      <c r="E2804"/>
      <c r="M2804"/>
    </row>
    <row r="2805" spans="5:13" x14ac:dyDescent="0.25">
      <c r="E2805"/>
      <c r="M2805"/>
    </row>
    <row r="2806" spans="5:13" x14ac:dyDescent="0.25">
      <c r="E2806"/>
      <c r="M2806"/>
    </row>
    <row r="2807" spans="5:13" x14ac:dyDescent="0.25">
      <c r="E2807"/>
      <c r="M2807"/>
    </row>
    <row r="2808" spans="5:13" x14ac:dyDescent="0.25">
      <c r="E2808"/>
      <c r="M2808"/>
    </row>
    <row r="2809" spans="5:13" x14ac:dyDescent="0.25">
      <c r="E2809"/>
      <c r="M2809"/>
    </row>
    <row r="2810" spans="5:13" x14ac:dyDescent="0.25">
      <c r="E2810"/>
      <c r="M2810"/>
    </row>
    <row r="2811" spans="5:13" x14ac:dyDescent="0.25">
      <c r="E2811"/>
      <c r="M2811"/>
    </row>
    <row r="2812" spans="5:13" x14ac:dyDescent="0.25">
      <c r="E2812"/>
      <c r="M2812"/>
    </row>
    <row r="2813" spans="5:13" x14ac:dyDescent="0.25">
      <c r="E2813"/>
      <c r="M2813"/>
    </row>
    <row r="2814" spans="5:13" x14ac:dyDescent="0.25">
      <c r="E2814"/>
      <c r="M2814"/>
    </row>
    <row r="2815" spans="5:13" x14ac:dyDescent="0.25">
      <c r="E2815"/>
      <c r="M2815"/>
    </row>
    <row r="2816" spans="5:13" x14ac:dyDescent="0.25">
      <c r="E2816"/>
      <c r="M2816"/>
    </row>
    <row r="2817" spans="5:13" x14ac:dyDescent="0.25">
      <c r="E2817"/>
      <c r="M2817"/>
    </row>
    <row r="2818" spans="5:13" x14ac:dyDescent="0.25">
      <c r="E2818"/>
      <c r="M2818"/>
    </row>
    <row r="2819" spans="5:13" x14ac:dyDescent="0.25">
      <c r="E2819"/>
      <c r="M2819"/>
    </row>
    <row r="2820" spans="5:13" x14ac:dyDescent="0.25">
      <c r="E2820"/>
      <c r="M2820"/>
    </row>
    <row r="2821" spans="5:13" x14ac:dyDescent="0.25">
      <c r="E2821"/>
      <c r="M2821"/>
    </row>
    <row r="2822" spans="5:13" x14ac:dyDescent="0.25">
      <c r="E2822"/>
      <c r="M2822"/>
    </row>
    <row r="2823" spans="5:13" x14ac:dyDescent="0.25">
      <c r="E2823"/>
      <c r="M2823"/>
    </row>
    <row r="2824" spans="5:13" x14ac:dyDescent="0.25">
      <c r="E2824"/>
      <c r="M2824"/>
    </row>
    <row r="2825" spans="5:13" x14ac:dyDescent="0.25">
      <c r="E2825"/>
      <c r="M2825"/>
    </row>
    <row r="2826" spans="5:13" x14ac:dyDescent="0.25">
      <c r="E2826"/>
      <c r="M2826"/>
    </row>
    <row r="2827" spans="5:13" x14ac:dyDescent="0.25">
      <c r="E2827"/>
      <c r="M2827"/>
    </row>
    <row r="2828" spans="5:13" x14ac:dyDescent="0.25">
      <c r="E2828"/>
      <c r="M2828"/>
    </row>
    <row r="2829" spans="5:13" x14ac:dyDescent="0.25">
      <c r="E2829"/>
      <c r="M2829"/>
    </row>
    <row r="2830" spans="5:13" x14ac:dyDescent="0.25">
      <c r="E2830"/>
      <c r="M2830"/>
    </row>
    <row r="2831" spans="5:13" x14ac:dyDescent="0.25">
      <c r="E2831"/>
      <c r="M2831"/>
    </row>
    <row r="2832" spans="5:13" x14ac:dyDescent="0.25">
      <c r="E2832"/>
      <c r="M2832"/>
    </row>
    <row r="2833" spans="5:13" x14ac:dyDescent="0.25">
      <c r="E2833"/>
      <c r="M2833"/>
    </row>
    <row r="2834" spans="5:13" x14ac:dyDescent="0.25">
      <c r="E2834"/>
      <c r="M2834"/>
    </row>
    <row r="2835" spans="5:13" x14ac:dyDescent="0.25">
      <c r="E2835"/>
      <c r="M2835"/>
    </row>
    <row r="2836" spans="5:13" x14ac:dyDescent="0.25">
      <c r="E2836"/>
      <c r="M2836"/>
    </row>
    <row r="2837" spans="5:13" x14ac:dyDescent="0.25">
      <c r="E2837"/>
      <c r="M2837"/>
    </row>
    <row r="2838" spans="5:13" x14ac:dyDescent="0.25">
      <c r="E2838"/>
      <c r="M2838"/>
    </row>
    <row r="2839" spans="5:13" x14ac:dyDescent="0.25">
      <c r="E2839"/>
      <c r="M2839"/>
    </row>
    <row r="2840" spans="5:13" x14ac:dyDescent="0.25">
      <c r="E2840"/>
      <c r="M2840"/>
    </row>
    <row r="2841" spans="5:13" x14ac:dyDescent="0.25">
      <c r="E2841"/>
      <c r="M2841"/>
    </row>
    <row r="2842" spans="5:13" x14ac:dyDescent="0.25">
      <c r="E2842"/>
      <c r="M2842"/>
    </row>
    <row r="2843" spans="5:13" x14ac:dyDescent="0.25">
      <c r="E2843"/>
      <c r="M2843"/>
    </row>
    <row r="2844" spans="5:13" x14ac:dyDescent="0.25">
      <c r="E2844"/>
      <c r="M2844"/>
    </row>
    <row r="2845" spans="5:13" x14ac:dyDescent="0.25">
      <c r="E2845"/>
      <c r="M2845"/>
    </row>
    <row r="2846" spans="5:13" x14ac:dyDescent="0.25">
      <c r="E2846"/>
      <c r="M2846"/>
    </row>
    <row r="2847" spans="5:13" x14ac:dyDescent="0.25">
      <c r="E2847"/>
      <c r="M2847"/>
    </row>
    <row r="2848" spans="5:13" x14ac:dyDescent="0.25">
      <c r="E2848"/>
      <c r="M2848"/>
    </row>
    <row r="2849" spans="5:13" x14ac:dyDescent="0.25">
      <c r="E2849"/>
      <c r="M2849"/>
    </row>
    <row r="2850" spans="5:13" x14ac:dyDescent="0.25">
      <c r="E2850"/>
      <c r="M2850"/>
    </row>
    <row r="2851" spans="5:13" x14ac:dyDescent="0.25">
      <c r="E2851"/>
      <c r="M2851"/>
    </row>
    <row r="2852" spans="5:13" x14ac:dyDescent="0.25">
      <c r="E2852"/>
      <c r="M2852"/>
    </row>
    <row r="2853" spans="5:13" x14ac:dyDescent="0.25">
      <c r="E2853"/>
      <c r="M2853"/>
    </row>
    <row r="2854" spans="5:13" x14ac:dyDescent="0.25">
      <c r="E2854"/>
      <c r="M2854"/>
    </row>
    <row r="2855" spans="5:13" x14ac:dyDescent="0.25">
      <c r="E2855"/>
      <c r="M2855"/>
    </row>
    <row r="2856" spans="5:13" x14ac:dyDescent="0.25">
      <c r="E2856"/>
      <c r="M2856"/>
    </row>
    <row r="2857" spans="5:13" x14ac:dyDescent="0.25">
      <c r="E2857"/>
      <c r="M2857"/>
    </row>
    <row r="2858" spans="5:13" x14ac:dyDescent="0.25">
      <c r="E2858"/>
      <c r="M2858"/>
    </row>
    <row r="2859" spans="5:13" x14ac:dyDescent="0.25">
      <c r="E2859"/>
      <c r="M2859"/>
    </row>
    <row r="2860" spans="5:13" x14ac:dyDescent="0.25">
      <c r="E2860"/>
      <c r="M2860"/>
    </row>
    <row r="2861" spans="5:13" x14ac:dyDescent="0.25">
      <c r="E2861"/>
      <c r="M2861"/>
    </row>
    <row r="2862" spans="5:13" x14ac:dyDescent="0.25">
      <c r="E2862"/>
      <c r="M2862"/>
    </row>
    <row r="2863" spans="5:13" x14ac:dyDescent="0.25">
      <c r="E2863"/>
      <c r="M2863"/>
    </row>
    <row r="2864" spans="5:13" x14ac:dyDescent="0.25">
      <c r="E2864"/>
      <c r="M2864"/>
    </row>
    <row r="2865" spans="5:13" x14ac:dyDescent="0.25">
      <c r="E2865"/>
      <c r="M2865"/>
    </row>
    <row r="2866" spans="5:13" x14ac:dyDescent="0.25">
      <c r="E2866"/>
      <c r="M2866"/>
    </row>
    <row r="2867" spans="5:13" x14ac:dyDescent="0.25">
      <c r="E2867"/>
      <c r="M2867"/>
    </row>
    <row r="2868" spans="5:13" x14ac:dyDescent="0.25">
      <c r="E2868"/>
      <c r="M2868"/>
    </row>
    <row r="2869" spans="5:13" x14ac:dyDescent="0.25">
      <c r="E2869"/>
      <c r="M2869"/>
    </row>
    <row r="2870" spans="5:13" x14ac:dyDescent="0.25">
      <c r="E2870"/>
      <c r="M2870"/>
    </row>
    <row r="2871" spans="5:13" x14ac:dyDescent="0.25">
      <c r="E2871"/>
      <c r="M2871"/>
    </row>
    <row r="2872" spans="5:13" x14ac:dyDescent="0.25">
      <c r="E2872"/>
      <c r="M2872"/>
    </row>
    <row r="2873" spans="5:13" x14ac:dyDescent="0.25">
      <c r="E2873"/>
      <c r="M2873"/>
    </row>
    <row r="2874" spans="5:13" x14ac:dyDescent="0.25">
      <c r="E2874"/>
      <c r="M2874"/>
    </row>
    <row r="2875" spans="5:13" x14ac:dyDescent="0.25">
      <c r="E2875"/>
      <c r="M2875"/>
    </row>
    <row r="2876" spans="5:13" x14ac:dyDescent="0.25">
      <c r="E2876"/>
      <c r="M2876"/>
    </row>
    <row r="2877" spans="5:13" x14ac:dyDescent="0.25">
      <c r="E2877"/>
      <c r="M2877"/>
    </row>
    <row r="2878" spans="5:13" x14ac:dyDescent="0.25">
      <c r="E2878"/>
      <c r="M2878"/>
    </row>
    <row r="2879" spans="5:13" x14ac:dyDescent="0.25">
      <c r="E2879"/>
      <c r="M2879"/>
    </row>
    <row r="2880" spans="5:13" x14ac:dyDescent="0.25">
      <c r="E2880"/>
      <c r="M2880"/>
    </row>
    <row r="2881" spans="5:13" x14ac:dyDescent="0.25">
      <c r="E2881"/>
      <c r="M2881"/>
    </row>
    <row r="2882" spans="5:13" x14ac:dyDescent="0.25">
      <c r="E2882"/>
      <c r="M2882"/>
    </row>
    <row r="2883" spans="5:13" x14ac:dyDescent="0.25">
      <c r="E2883"/>
      <c r="M2883"/>
    </row>
    <row r="2884" spans="5:13" x14ac:dyDescent="0.25">
      <c r="E2884"/>
      <c r="M2884"/>
    </row>
    <row r="2885" spans="5:13" x14ac:dyDescent="0.25">
      <c r="E2885"/>
      <c r="M2885"/>
    </row>
    <row r="2886" spans="5:13" x14ac:dyDescent="0.25">
      <c r="E2886"/>
      <c r="M2886"/>
    </row>
    <row r="2887" spans="5:13" x14ac:dyDescent="0.25">
      <c r="E2887"/>
      <c r="M2887"/>
    </row>
    <row r="2888" spans="5:13" x14ac:dyDescent="0.25">
      <c r="E2888"/>
      <c r="M2888"/>
    </row>
    <row r="2889" spans="5:13" x14ac:dyDescent="0.25">
      <c r="E2889"/>
      <c r="M2889"/>
    </row>
    <row r="2890" spans="5:13" x14ac:dyDescent="0.25">
      <c r="E2890"/>
      <c r="M2890"/>
    </row>
    <row r="2891" spans="5:13" x14ac:dyDescent="0.25">
      <c r="E2891"/>
      <c r="M2891"/>
    </row>
    <row r="2892" spans="5:13" x14ac:dyDescent="0.25">
      <c r="E2892"/>
      <c r="M2892"/>
    </row>
    <row r="2893" spans="5:13" x14ac:dyDescent="0.25">
      <c r="E2893"/>
      <c r="M2893"/>
    </row>
    <row r="2894" spans="5:13" x14ac:dyDescent="0.25">
      <c r="E2894"/>
      <c r="M2894"/>
    </row>
    <row r="2895" spans="5:13" x14ac:dyDescent="0.25">
      <c r="E2895"/>
      <c r="M2895"/>
    </row>
    <row r="2896" spans="5:13" x14ac:dyDescent="0.25">
      <c r="E2896"/>
      <c r="M2896"/>
    </row>
    <row r="2897" spans="5:13" x14ac:dyDescent="0.25">
      <c r="E2897"/>
      <c r="M2897"/>
    </row>
    <row r="2898" spans="5:13" x14ac:dyDescent="0.25">
      <c r="E2898"/>
      <c r="M2898"/>
    </row>
    <row r="2899" spans="5:13" x14ac:dyDescent="0.25">
      <c r="E2899"/>
      <c r="M2899"/>
    </row>
    <row r="2900" spans="5:13" x14ac:dyDescent="0.25">
      <c r="E2900"/>
      <c r="M2900"/>
    </row>
    <row r="2901" spans="5:13" x14ac:dyDescent="0.25">
      <c r="E2901"/>
      <c r="M2901"/>
    </row>
    <row r="2902" spans="5:13" x14ac:dyDescent="0.25">
      <c r="E2902"/>
      <c r="M2902"/>
    </row>
    <row r="2903" spans="5:13" x14ac:dyDescent="0.25">
      <c r="E2903"/>
      <c r="M2903"/>
    </row>
    <row r="2904" spans="5:13" x14ac:dyDescent="0.25">
      <c r="E2904"/>
      <c r="M2904"/>
    </row>
    <row r="2905" spans="5:13" x14ac:dyDescent="0.25">
      <c r="E2905"/>
      <c r="M2905"/>
    </row>
    <row r="2906" spans="5:13" x14ac:dyDescent="0.25">
      <c r="E2906"/>
      <c r="M2906"/>
    </row>
    <row r="2907" spans="5:13" x14ac:dyDescent="0.25">
      <c r="E2907"/>
      <c r="M2907"/>
    </row>
    <row r="2908" spans="5:13" x14ac:dyDescent="0.25">
      <c r="E2908"/>
      <c r="M2908"/>
    </row>
    <row r="2909" spans="5:13" x14ac:dyDescent="0.25">
      <c r="E2909"/>
      <c r="M2909"/>
    </row>
    <row r="2910" spans="5:13" x14ac:dyDescent="0.25">
      <c r="E2910"/>
      <c r="M2910"/>
    </row>
    <row r="2911" spans="5:13" x14ac:dyDescent="0.25">
      <c r="E2911"/>
      <c r="M2911"/>
    </row>
    <row r="2912" spans="5:13" x14ac:dyDescent="0.25">
      <c r="E2912"/>
      <c r="M2912"/>
    </row>
    <row r="2913" spans="5:13" x14ac:dyDescent="0.25">
      <c r="E2913"/>
      <c r="M2913"/>
    </row>
    <row r="2914" spans="5:13" x14ac:dyDescent="0.25">
      <c r="E2914"/>
      <c r="M2914"/>
    </row>
    <row r="2915" spans="5:13" x14ac:dyDescent="0.25">
      <c r="E2915"/>
      <c r="M2915"/>
    </row>
    <row r="2916" spans="5:13" x14ac:dyDescent="0.25">
      <c r="E2916"/>
      <c r="M2916"/>
    </row>
    <row r="2917" spans="5:13" x14ac:dyDescent="0.25">
      <c r="E2917"/>
      <c r="M2917"/>
    </row>
    <row r="2918" spans="5:13" x14ac:dyDescent="0.25">
      <c r="E2918"/>
      <c r="M2918"/>
    </row>
    <row r="2919" spans="5:13" x14ac:dyDescent="0.25">
      <c r="E2919"/>
      <c r="M2919"/>
    </row>
    <row r="2920" spans="5:13" x14ac:dyDescent="0.25">
      <c r="E2920"/>
      <c r="M2920"/>
    </row>
    <row r="2921" spans="5:13" x14ac:dyDescent="0.25">
      <c r="E2921"/>
      <c r="M2921"/>
    </row>
    <row r="2922" spans="5:13" x14ac:dyDescent="0.25">
      <c r="E2922"/>
      <c r="M2922"/>
    </row>
    <row r="2923" spans="5:13" x14ac:dyDescent="0.25">
      <c r="E2923"/>
      <c r="M2923"/>
    </row>
    <row r="2924" spans="5:13" x14ac:dyDescent="0.25">
      <c r="E2924"/>
      <c r="M2924"/>
    </row>
    <row r="2925" spans="5:13" x14ac:dyDescent="0.25">
      <c r="E2925"/>
      <c r="M2925"/>
    </row>
    <row r="2926" spans="5:13" x14ac:dyDescent="0.25">
      <c r="E2926"/>
      <c r="M2926"/>
    </row>
    <row r="2927" spans="5:13" x14ac:dyDescent="0.25">
      <c r="E2927"/>
      <c r="M2927"/>
    </row>
    <row r="2928" spans="5:13" x14ac:dyDescent="0.25">
      <c r="E2928"/>
      <c r="M2928"/>
    </row>
    <row r="2929" spans="5:13" x14ac:dyDescent="0.25">
      <c r="E2929"/>
      <c r="M2929"/>
    </row>
    <row r="2930" spans="5:13" x14ac:dyDescent="0.25">
      <c r="E2930"/>
      <c r="M2930"/>
    </row>
    <row r="2931" spans="5:13" x14ac:dyDescent="0.25">
      <c r="E2931"/>
      <c r="M2931"/>
    </row>
    <row r="2932" spans="5:13" x14ac:dyDescent="0.25">
      <c r="E2932"/>
      <c r="M2932"/>
    </row>
    <row r="2933" spans="5:13" x14ac:dyDescent="0.25">
      <c r="E2933"/>
      <c r="M2933"/>
    </row>
    <row r="2934" spans="5:13" x14ac:dyDescent="0.25">
      <c r="E2934"/>
      <c r="M2934"/>
    </row>
    <row r="2935" spans="5:13" x14ac:dyDescent="0.25">
      <c r="E2935"/>
      <c r="M2935"/>
    </row>
    <row r="2936" spans="5:13" x14ac:dyDescent="0.25">
      <c r="E2936"/>
      <c r="M2936"/>
    </row>
    <row r="2937" spans="5:13" x14ac:dyDescent="0.25">
      <c r="E2937"/>
      <c r="M2937"/>
    </row>
    <row r="2938" spans="5:13" x14ac:dyDescent="0.25">
      <c r="E2938"/>
      <c r="M2938"/>
    </row>
    <row r="2939" spans="5:13" x14ac:dyDescent="0.25">
      <c r="E2939"/>
      <c r="M2939"/>
    </row>
    <row r="2940" spans="5:13" x14ac:dyDescent="0.25">
      <c r="E2940"/>
      <c r="M2940"/>
    </row>
    <row r="2941" spans="5:13" x14ac:dyDescent="0.25">
      <c r="E2941"/>
      <c r="M2941"/>
    </row>
    <row r="2942" spans="5:13" x14ac:dyDescent="0.25">
      <c r="E2942"/>
      <c r="M2942"/>
    </row>
    <row r="2943" spans="5:13" x14ac:dyDescent="0.25">
      <c r="E2943"/>
      <c r="M2943"/>
    </row>
    <row r="2944" spans="5:13" x14ac:dyDescent="0.25">
      <c r="E2944"/>
      <c r="M2944"/>
    </row>
    <row r="2945" spans="5:13" x14ac:dyDescent="0.25">
      <c r="E2945"/>
      <c r="M2945"/>
    </row>
    <row r="2946" spans="5:13" x14ac:dyDescent="0.25">
      <c r="E2946"/>
      <c r="M2946"/>
    </row>
    <row r="2947" spans="5:13" x14ac:dyDescent="0.25">
      <c r="E2947"/>
      <c r="M2947"/>
    </row>
    <row r="2948" spans="5:13" x14ac:dyDescent="0.25">
      <c r="E2948"/>
      <c r="M2948"/>
    </row>
    <row r="2949" spans="5:13" x14ac:dyDescent="0.25">
      <c r="E2949"/>
      <c r="M2949"/>
    </row>
    <row r="2950" spans="5:13" x14ac:dyDescent="0.25">
      <c r="E2950"/>
      <c r="M2950"/>
    </row>
    <row r="2951" spans="5:13" x14ac:dyDescent="0.25">
      <c r="E2951"/>
      <c r="M2951"/>
    </row>
    <row r="2952" spans="5:13" x14ac:dyDescent="0.25">
      <c r="E2952"/>
      <c r="M2952"/>
    </row>
    <row r="2953" spans="5:13" x14ac:dyDescent="0.25">
      <c r="E2953"/>
      <c r="M2953"/>
    </row>
    <row r="2954" spans="5:13" x14ac:dyDescent="0.25">
      <c r="E2954"/>
      <c r="M2954"/>
    </row>
    <row r="2955" spans="5:13" x14ac:dyDescent="0.25">
      <c r="E2955"/>
      <c r="M2955"/>
    </row>
    <row r="2956" spans="5:13" x14ac:dyDescent="0.25">
      <c r="E2956"/>
      <c r="M2956"/>
    </row>
    <row r="2957" spans="5:13" x14ac:dyDescent="0.25">
      <c r="E2957"/>
      <c r="M2957"/>
    </row>
    <row r="2958" spans="5:13" x14ac:dyDescent="0.25">
      <c r="E2958"/>
      <c r="M2958"/>
    </row>
    <row r="2959" spans="5:13" x14ac:dyDescent="0.25">
      <c r="E2959"/>
      <c r="M2959"/>
    </row>
    <row r="2960" spans="5:13" x14ac:dyDescent="0.25">
      <c r="E2960"/>
      <c r="M2960"/>
    </row>
    <row r="2961" spans="5:13" x14ac:dyDescent="0.25">
      <c r="E2961"/>
      <c r="M2961"/>
    </row>
    <row r="2962" spans="5:13" x14ac:dyDescent="0.25">
      <c r="E2962"/>
      <c r="M2962"/>
    </row>
    <row r="2963" spans="5:13" x14ac:dyDescent="0.25">
      <c r="E2963"/>
      <c r="M2963"/>
    </row>
    <row r="2964" spans="5:13" x14ac:dyDescent="0.25">
      <c r="E2964"/>
      <c r="M2964"/>
    </row>
    <row r="2965" spans="5:13" x14ac:dyDescent="0.25">
      <c r="E2965"/>
      <c r="M2965"/>
    </row>
    <row r="2966" spans="5:13" x14ac:dyDescent="0.25">
      <c r="E2966"/>
      <c r="M2966"/>
    </row>
    <row r="2967" spans="5:13" x14ac:dyDescent="0.25">
      <c r="E2967"/>
      <c r="M2967"/>
    </row>
    <row r="2968" spans="5:13" x14ac:dyDescent="0.25">
      <c r="E2968"/>
      <c r="M2968"/>
    </row>
    <row r="2969" spans="5:13" x14ac:dyDescent="0.25">
      <c r="E2969"/>
      <c r="M2969"/>
    </row>
    <row r="2970" spans="5:13" x14ac:dyDescent="0.25">
      <c r="E2970"/>
      <c r="M2970"/>
    </row>
    <row r="2971" spans="5:13" x14ac:dyDescent="0.25">
      <c r="E2971"/>
      <c r="M2971"/>
    </row>
    <row r="2972" spans="5:13" x14ac:dyDescent="0.25">
      <c r="E2972"/>
      <c r="M2972"/>
    </row>
    <row r="2973" spans="5:13" x14ac:dyDescent="0.25">
      <c r="E2973"/>
      <c r="M2973"/>
    </row>
    <row r="2974" spans="5:13" x14ac:dyDescent="0.25">
      <c r="E2974"/>
      <c r="M2974"/>
    </row>
    <row r="2975" spans="5:13" x14ac:dyDescent="0.25">
      <c r="E2975"/>
      <c r="M2975"/>
    </row>
    <row r="2976" spans="5:13" x14ac:dyDescent="0.25">
      <c r="E2976"/>
      <c r="M2976"/>
    </row>
    <row r="2977" spans="5:13" x14ac:dyDescent="0.25">
      <c r="E2977"/>
      <c r="M2977"/>
    </row>
    <row r="2978" spans="5:13" x14ac:dyDescent="0.25">
      <c r="E2978"/>
      <c r="M2978"/>
    </row>
    <row r="2979" spans="5:13" x14ac:dyDescent="0.25">
      <c r="E2979"/>
      <c r="M2979"/>
    </row>
    <row r="2980" spans="5:13" x14ac:dyDescent="0.25">
      <c r="E2980"/>
      <c r="M2980"/>
    </row>
    <row r="2981" spans="5:13" x14ac:dyDescent="0.25">
      <c r="E2981"/>
      <c r="M2981"/>
    </row>
    <row r="2982" spans="5:13" x14ac:dyDescent="0.25">
      <c r="E2982"/>
      <c r="M2982"/>
    </row>
    <row r="2983" spans="5:13" x14ac:dyDescent="0.25">
      <c r="E2983"/>
      <c r="M2983"/>
    </row>
    <row r="2984" spans="5:13" x14ac:dyDescent="0.25">
      <c r="E2984"/>
      <c r="M2984"/>
    </row>
    <row r="2985" spans="5:13" x14ac:dyDescent="0.25">
      <c r="E2985"/>
      <c r="M2985"/>
    </row>
    <row r="2986" spans="5:13" x14ac:dyDescent="0.25">
      <c r="E2986"/>
      <c r="M2986"/>
    </row>
    <row r="2987" spans="5:13" x14ac:dyDescent="0.25">
      <c r="E2987"/>
      <c r="M2987"/>
    </row>
    <row r="2988" spans="5:13" x14ac:dyDescent="0.25">
      <c r="E2988"/>
      <c r="M2988"/>
    </row>
    <row r="2989" spans="5:13" x14ac:dyDescent="0.25">
      <c r="E2989"/>
      <c r="M2989"/>
    </row>
    <row r="2990" spans="5:13" x14ac:dyDescent="0.25">
      <c r="E2990"/>
      <c r="M2990"/>
    </row>
    <row r="2991" spans="5:13" x14ac:dyDescent="0.25">
      <c r="E2991"/>
      <c r="M2991"/>
    </row>
    <row r="2992" spans="5:13" x14ac:dyDescent="0.25">
      <c r="E2992"/>
      <c r="M2992"/>
    </row>
    <row r="2993" spans="5:13" x14ac:dyDescent="0.25">
      <c r="E2993"/>
      <c r="M2993"/>
    </row>
    <row r="2994" spans="5:13" x14ac:dyDescent="0.25">
      <c r="E2994"/>
      <c r="M2994"/>
    </row>
    <row r="2995" spans="5:13" x14ac:dyDescent="0.25">
      <c r="E2995"/>
      <c r="M2995"/>
    </row>
    <row r="2996" spans="5:13" x14ac:dyDescent="0.25">
      <c r="E2996"/>
      <c r="M2996"/>
    </row>
    <row r="2997" spans="5:13" x14ac:dyDescent="0.25">
      <c r="E2997"/>
      <c r="M2997"/>
    </row>
    <row r="2998" spans="5:13" x14ac:dyDescent="0.25">
      <c r="E2998"/>
      <c r="M2998"/>
    </row>
    <row r="2999" spans="5:13" x14ac:dyDescent="0.25">
      <c r="E2999"/>
      <c r="M2999"/>
    </row>
    <row r="3000" spans="5:13" x14ac:dyDescent="0.25">
      <c r="E3000"/>
      <c r="M3000"/>
    </row>
    <row r="3001" spans="5:13" x14ac:dyDescent="0.25">
      <c r="E3001"/>
      <c r="M3001"/>
    </row>
    <row r="3002" spans="5:13" x14ac:dyDescent="0.25">
      <c r="E3002"/>
      <c r="M3002"/>
    </row>
    <row r="3003" spans="5:13" x14ac:dyDescent="0.25">
      <c r="E3003"/>
      <c r="M3003"/>
    </row>
    <row r="3004" spans="5:13" x14ac:dyDescent="0.25">
      <c r="E3004"/>
      <c r="M3004"/>
    </row>
    <row r="3005" spans="5:13" x14ac:dyDescent="0.25">
      <c r="E3005"/>
      <c r="M3005"/>
    </row>
    <row r="3006" spans="5:13" x14ac:dyDescent="0.25">
      <c r="E3006"/>
      <c r="M3006"/>
    </row>
    <row r="3007" spans="5:13" x14ac:dyDescent="0.25">
      <c r="E3007"/>
      <c r="M3007"/>
    </row>
    <row r="3008" spans="5:13" x14ac:dyDescent="0.25">
      <c r="E3008"/>
      <c r="M3008"/>
    </row>
    <row r="3009" spans="5:13" x14ac:dyDescent="0.25">
      <c r="E3009"/>
      <c r="M3009"/>
    </row>
    <row r="3010" spans="5:13" x14ac:dyDescent="0.25">
      <c r="E3010"/>
      <c r="M3010"/>
    </row>
    <row r="3011" spans="5:13" x14ac:dyDescent="0.25">
      <c r="E3011"/>
      <c r="M3011"/>
    </row>
    <row r="3012" spans="5:13" x14ac:dyDescent="0.25">
      <c r="E3012"/>
      <c r="M3012"/>
    </row>
    <row r="3013" spans="5:13" x14ac:dyDescent="0.25">
      <c r="E3013"/>
      <c r="M3013"/>
    </row>
    <row r="3014" spans="5:13" x14ac:dyDescent="0.25">
      <c r="E3014"/>
      <c r="M3014"/>
    </row>
    <row r="3015" spans="5:13" x14ac:dyDescent="0.25">
      <c r="E3015"/>
      <c r="M3015"/>
    </row>
    <row r="3016" spans="5:13" x14ac:dyDescent="0.25">
      <c r="E3016"/>
      <c r="M3016"/>
    </row>
    <row r="3017" spans="5:13" x14ac:dyDescent="0.25">
      <c r="E3017"/>
      <c r="M3017"/>
    </row>
    <row r="3018" spans="5:13" x14ac:dyDescent="0.25">
      <c r="E3018"/>
      <c r="M3018"/>
    </row>
    <row r="3019" spans="5:13" x14ac:dyDescent="0.25">
      <c r="E3019"/>
      <c r="M3019"/>
    </row>
    <row r="3020" spans="5:13" x14ac:dyDescent="0.25">
      <c r="E3020"/>
      <c r="M3020"/>
    </row>
    <row r="3021" spans="5:13" x14ac:dyDescent="0.25">
      <c r="E3021"/>
      <c r="M3021"/>
    </row>
    <row r="3022" spans="5:13" x14ac:dyDescent="0.25">
      <c r="E3022"/>
      <c r="M3022"/>
    </row>
    <row r="3023" spans="5:13" x14ac:dyDescent="0.25">
      <c r="E3023"/>
      <c r="M3023"/>
    </row>
    <row r="3024" spans="5:13" x14ac:dyDescent="0.25">
      <c r="E3024"/>
      <c r="M3024"/>
    </row>
    <row r="3025" spans="5:13" x14ac:dyDescent="0.25">
      <c r="E3025"/>
      <c r="M3025"/>
    </row>
    <row r="3026" spans="5:13" x14ac:dyDescent="0.25">
      <c r="E3026"/>
      <c r="M3026"/>
    </row>
    <row r="3027" spans="5:13" x14ac:dyDescent="0.25">
      <c r="E3027"/>
      <c r="M3027"/>
    </row>
    <row r="3028" spans="5:13" x14ac:dyDescent="0.25">
      <c r="E3028"/>
      <c r="M3028"/>
    </row>
    <row r="3029" spans="5:13" x14ac:dyDescent="0.25">
      <c r="E3029"/>
      <c r="M3029"/>
    </row>
    <row r="3030" spans="5:13" x14ac:dyDescent="0.25">
      <c r="E3030"/>
      <c r="M3030"/>
    </row>
    <row r="3031" spans="5:13" x14ac:dyDescent="0.25">
      <c r="E3031"/>
      <c r="M3031"/>
    </row>
    <row r="3032" spans="5:13" x14ac:dyDescent="0.25">
      <c r="E3032"/>
      <c r="M3032"/>
    </row>
    <row r="3033" spans="5:13" x14ac:dyDescent="0.25">
      <c r="E3033"/>
      <c r="M3033"/>
    </row>
    <row r="3034" spans="5:13" x14ac:dyDescent="0.25">
      <c r="E3034"/>
      <c r="M3034"/>
    </row>
    <row r="3035" spans="5:13" x14ac:dyDescent="0.25">
      <c r="E3035"/>
      <c r="M3035"/>
    </row>
    <row r="3036" spans="5:13" x14ac:dyDescent="0.25">
      <c r="E3036"/>
      <c r="M3036"/>
    </row>
    <row r="3037" spans="5:13" x14ac:dyDescent="0.25">
      <c r="E3037"/>
      <c r="M3037"/>
    </row>
    <row r="3038" spans="5:13" x14ac:dyDescent="0.25">
      <c r="E3038"/>
      <c r="M3038"/>
    </row>
    <row r="3039" spans="5:13" x14ac:dyDescent="0.25">
      <c r="E3039"/>
      <c r="M3039"/>
    </row>
    <row r="3040" spans="5:13" x14ac:dyDescent="0.25">
      <c r="E3040"/>
      <c r="M3040"/>
    </row>
    <row r="3041" spans="5:13" x14ac:dyDescent="0.25">
      <c r="E3041"/>
      <c r="M3041"/>
    </row>
    <row r="3042" spans="5:13" x14ac:dyDescent="0.25">
      <c r="E3042"/>
      <c r="M3042"/>
    </row>
    <row r="3043" spans="5:13" x14ac:dyDescent="0.25">
      <c r="E3043"/>
      <c r="M3043"/>
    </row>
    <row r="3044" spans="5:13" x14ac:dyDescent="0.25">
      <c r="E3044"/>
      <c r="M3044"/>
    </row>
    <row r="3045" spans="5:13" x14ac:dyDescent="0.25">
      <c r="E3045"/>
      <c r="M3045"/>
    </row>
    <row r="3046" spans="5:13" x14ac:dyDescent="0.25">
      <c r="E3046"/>
      <c r="M3046"/>
    </row>
    <row r="3047" spans="5:13" x14ac:dyDescent="0.25">
      <c r="E3047"/>
      <c r="M3047"/>
    </row>
    <row r="3048" spans="5:13" x14ac:dyDescent="0.25">
      <c r="E3048"/>
      <c r="M3048"/>
    </row>
    <row r="3049" spans="5:13" x14ac:dyDescent="0.25">
      <c r="E3049"/>
      <c r="M3049"/>
    </row>
    <row r="3050" spans="5:13" x14ac:dyDescent="0.25">
      <c r="E3050"/>
      <c r="M3050"/>
    </row>
    <row r="3051" spans="5:13" x14ac:dyDescent="0.25">
      <c r="E3051"/>
      <c r="M3051"/>
    </row>
    <row r="3052" spans="5:13" x14ac:dyDescent="0.25">
      <c r="E3052"/>
      <c r="M3052"/>
    </row>
    <row r="3053" spans="5:13" x14ac:dyDescent="0.25">
      <c r="E3053"/>
      <c r="M3053"/>
    </row>
    <row r="3054" spans="5:13" x14ac:dyDescent="0.25">
      <c r="E3054"/>
      <c r="M3054"/>
    </row>
    <row r="3055" spans="5:13" x14ac:dyDescent="0.25">
      <c r="E3055"/>
      <c r="M3055"/>
    </row>
    <row r="3056" spans="5:13" x14ac:dyDescent="0.25">
      <c r="E3056"/>
      <c r="M3056"/>
    </row>
    <row r="3057" spans="5:13" x14ac:dyDescent="0.25">
      <c r="E3057"/>
      <c r="M3057"/>
    </row>
    <row r="3058" spans="5:13" x14ac:dyDescent="0.25">
      <c r="E3058"/>
      <c r="M3058"/>
    </row>
    <row r="3059" spans="5:13" x14ac:dyDescent="0.25">
      <c r="E3059"/>
      <c r="M3059"/>
    </row>
    <row r="3060" spans="5:13" x14ac:dyDescent="0.25">
      <c r="E3060"/>
      <c r="M3060"/>
    </row>
    <row r="3061" spans="5:13" x14ac:dyDescent="0.25">
      <c r="E3061"/>
      <c r="M3061"/>
    </row>
    <row r="3062" spans="5:13" x14ac:dyDescent="0.25">
      <c r="E3062"/>
      <c r="M3062"/>
    </row>
    <row r="3063" spans="5:13" x14ac:dyDescent="0.25">
      <c r="E3063"/>
      <c r="M3063"/>
    </row>
    <row r="3064" spans="5:13" x14ac:dyDescent="0.25">
      <c r="E3064"/>
      <c r="M3064"/>
    </row>
    <row r="3065" spans="5:13" x14ac:dyDescent="0.25">
      <c r="E3065"/>
      <c r="M3065"/>
    </row>
    <row r="3066" spans="5:13" x14ac:dyDescent="0.25">
      <c r="E3066"/>
      <c r="M3066"/>
    </row>
    <row r="3067" spans="5:13" x14ac:dyDescent="0.25">
      <c r="E3067"/>
      <c r="M3067"/>
    </row>
    <row r="3068" spans="5:13" x14ac:dyDescent="0.25">
      <c r="E3068"/>
      <c r="M3068"/>
    </row>
    <row r="3069" spans="5:13" x14ac:dyDescent="0.25">
      <c r="E3069"/>
      <c r="M3069"/>
    </row>
    <row r="3070" spans="5:13" x14ac:dyDescent="0.25">
      <c r="E3070"/>
      <c r="M3070"/>
    </row>
    <row r="3071" spans="5:13" x14ac:dyDescent="0.25">
      <c r="E3071"/>
      <c r="M3071"/>
    </row>
    <row r="3072" spans="5:13" x14ac:dyDescent="0.25">
      <c r="E3072"/>
      <c r="M3072"/>
    </row>
    <row r="3073" spans="5:13" x14ac:dyDescent="0.25">
      <c r="E3073"/>
      <c r="M3073"/>
    </row>
    <row r="3074" spans="5:13" x14ac:dyDescent="0.25">
      <c r="E3074"/>
      <c r="M3074"/>
    </row>
    <row r="3075" spans="5:13" x14ac:dyDescent="0.25">
      <c r="E3075"/>
      <c r="M3075"/>
    </row>
    <row r="3076" spans="5:13" x14ac:dyDescent="0.25">
      <c r="E3076"/>
      <c r="M3076"/>
    </row>
    <row r="3077" spans="5:13" x14ac:dyDescent="0.25">
      <c r="E3077"/>
      <c r="M3077"/>
    </row>
    <row r="3078" spans="5:13" x14ac:dyDescent="0.25">
      <c r="E3078"/>
      <c r="M3078"/>
    </row>
    <row r="3079" spans="5:13" x14ac:dyDescent="0.25">
      <c r="E3079"/>
      <c r="M3079"/>
    </row>
    <row r="3080" spans="5:13" x14ac:dyDescent="0.25">
      <c r="E3080"/>
      <c r="M3080"/>
    </row>
    <row r="3081" spans="5:13" x14ac:dyDescent="0.25">
      <c r="E3081"/>
      <c r="M3081"/>
    </row>
    <row r="3082" spans="5:13" x14ac:dyDescent="0.25">
      <c r="E3082"/>
      <c r="M3082"/>
    </row>
    <row r="3083" spans="5:13" x14ac:dyDescent="0.25">
      <c r="E3083"/>
      <c r="M3083"/>
    </row>
    <row r="3084" spans="5:13" x14ac:dyDescent="0.25">
      <c r="E3084"/>
      <c r="M3084"/>
    </row>
    <row r="3085" spans="5:13" x14ac:dyDescent="0.25">
      <c r="E3085"/>
      <c r="M3085"/>
    </row>
    <row r="3086" spans="5:13" x14ac:dyDescent="0.25">
      <c r="E3086"/>
      <c r="M3086"/>
    </row>
    <row r="3087" spans="5:13" x14ac:dyDescent="0.25">
      <c r="E3087"/>
      <c r="M3087"/>
    </row>
    <row r="3088" spans="5:13" x14ac:dyDescent="0.25">
      <c r="E3088"/>
      <c r="M3088"/>
    </row>
    <row r="3089" spans="5:13" x14ac:dyDescent="0.25">
      <c r="E3089"/>
      <c r="M3089"/>
    </row>
    <row r="3090" spans="5:13" x14ac:dyDescent="0.25">
      <c r="E3090"/>
      <c r="M3090"/>
    </row>
    <row r="3091" spans="5:13" x14ac:dyDescent="0.25">
      <c r="E3091"/>
      <c r="M3091"/>
    </row>
    <row r="3092" spans="5:13" x14ac:dyDescent="0.25">
      <c r="E3092"/>
      <c r="M3092"/>
    </row>
    <row r="3093" spans="5:13" x14ac:dyDescent="0.25">
      <c r="E3093"/>
      <c r="M3093"/>
    </row>
    <row r="3094" spans="5:13" x14ac:dyDescent="0.25">
      <c r="E3094"/>
      <c r="M3094"/>
    </row>
    <row r="3095" spans="5:13" x14ac:dyDescent="0.25">
      <c r="E3095"/>
      <c r="M3095"/>
    </row>
    <row r="3096" spans="5:13" x14ac:dyDescent="0.25">
      <c r="E3096"/>
      <c r="M3096"/>
    </row>
    <row r="3097" spans="5:13" x14ac:dyDescent="0.25">
      <c r="E3097"/>
      <c r="M3097"/>
    </row>
    <row r="3098" spans="5:13" x14ac:dyDescent="0.25">
      <c r="E3098"/>
      <c r="M3098"/>
    </row>
    <row r="3099" spans="5:13" x14ac:dyDescent="0.25">
      <c r="E3099"/>
      <c r="M3099"/>
    </row>
    <row r="3100" spans="5:13" x14ac:dyDescent="0.25">
      <c r="E3100"/>
      <c r="M3100"/>
    </row>
    <row r="3101" spans="5:13" x14ac:dyDescent="0.25">
      <c r="E3101"/>
      <c r="M3101"/>
    </row>
    <row r="3102" spans="5:13" x14ac:dyDescent="0.25">
      <c r="E3102"/>
      <c r="M3102"/>
    </row>
    <row r="3103" spans="5:13" x14ac:dyDescent="0.25">
      <c r="E3103"/>
      <c r="M3103"/>
    </row>
    <row r="3104" spans="5:13" x14ac:dyDescent="0.25">
      <c r="E3104"/>
      <c r="M3104"/>
    </row>
    <row r="3105" spans="5:13" x14ac:dyDescent="0.25">
      <c r="E3105"/>
      <c r="M3105"/>
    </row>
    <row r="3106" spans="5:13" x14ac:dyDescent="0.25">
      <c r="E3106"/>
      <c r="M3106"/>
    </row>
    <row r="3107" spans="5:13" x14ac:dyDescent="0.25">
      <c r="E3107"/>
      <c r="M3107"/>
    </row>
    <row r="3108" spans="5:13" x14ac:dyDescent="0.25">
      <c r="E3108"/>
      <c r="M3108"/>
    </row>
    <row r="3109" spans="5:13" x14ac:dyDescent="0.25">
      <c r="E3109"/>
      <c r="M3109"/>
    </row>
    <row r="3110" spans="5:13" x14ac:dyDescent="0.25">
      <c r="E3110"/>
      <c r="M3110"/>
    </row>
    <row r="3111" spans="5:13" x14ac:dyDescent="0.25">
      <c r="E3111"/>
      <c r="M3111"/>
    </row>
    <row r="3112" spans="5:13" x14ac:dyDescent="0.25">
      <c r="E3112"/>
      <c r="M3112"/>
    </row>
    <row r="3113" spans="5:13" x14ac:dyDescent="0.25">
      <c r="E3113"/>
      <c r="M3113"/>
    </row>
    <row r="3114" spans="5:13" x14ac:dyDescent="0.25">
      <c r="E3114"/>
      <c r="M3114"/>
    </row>
    <row r="3115" spans="5:13" x14ac:dyDescent="0.25">
      <c r="E3115"/>
      <c r="M3115"/>
    </row>
    <row r="3116" spans="5:13" x14ac:dyDescent="0.25">
      <c r="E3116"/>
      <c r="M3116"/>
    </row>
    <row r="3117" spans="5:13" x14ac:dyDescent="0.25">
      <c r="E3117"/>
      <c r="M3117"/>
    </row>
    <row r="3118" spans="5:13" x14ac:dyDescent="0.25">
      <c r="E3118"/>
      <c r="M3118"/>
    </row>
    <row r="3119" spans="5:13" x14ac:dyDescent="0.25">
      <c r="E3119"/>
      <c r="M3119"/>
    </row>
    <row r="3120" spans="5:13" x14ac:dyDescent="0.25">
      <c r="E3120"/>
      <c r="M3120"/>
    </row>
    <row r="3121" spans="5:13" x14ac:dyDescent="0.25">
      <c r="E3121"/>
      <c r="M3121"/>
    </row>
    <row r="3122" spans="5:13" x14ac:dyDescent="0.25">
      <c r="E3122"/>
      <c r="M3122"/>
    </row>
    <row r="3123" spans="5:13" x14ac:dyDescent="0.25">
      <c r="E3123"/>
      <c r="M3123"/>
    </row>
    <row r="3124" spans="5:13" x14ac:dyDescent="0.25">
      <c r="E3124"/>
      <c r="M3124"/>
    </row>
    <row r="3125" spans="5:13" x14ac:dyDescent="0.25">
      <c r="E3125"/>
      <c r="M3125"/>
    </row>
    <row r="3126" spans="5:13" x14ac:dyDescent="0.25">
      <c r="E3126"/>
      <c r="M3126"/>
    </row>
    <row r="3127" spans="5:13" x14ac:dyDescent="0.25">
      <c r="E3127"/>
      <c r="M3127"/>
    </row>
    <row r="3128" spans="5:13" x14ac:dyDescent="0.25">
      <c r="E3128"/>
      <c r="M3128"/>
    </row>
    <row r="3129" spans="5:13" x14ac:dyDescent="0.25">
      <c r="E3129"/>
      <c r="M3129"/>
    </row>
    <row r="3130" spans="5:13" x14ac:dyDescent="0.25">
      <c r="E3130"/>
      <c r="M3130"/>
    </row>
    <row r="3131" spans="5:13" x14ac:dyDescent="0.25">
      <c r="E3131"/>
      <c r="M3131"/>
    </row>
    <row r="3132" spans="5:13" x14ac:dyDescent="0.25">
      <c r="E3132"/>
      <c r="M3132"/>
    </row>
    <row r="3133" spans="5:13" x14ac:dyDescent="0.25">
      <c r="E3133"/>
      <c r="M3133"/>
    </row>
    <row r="3134" spans="5:13" x14ac:dyDescent="0.25">
      <c r="E3134"/>
      <c r="M3134"/>
    </row>
    <row r="3135" spans="5:13" x14ac:dyDescent="0.25">
      <c r="E3135"/>
      <c r="M3135"/>
    </row>
    <row r="3136" spans="5:13" x14ac:dyDescent="0.25">
      <c r="E3136"/>
      <c r="M3136"/>
    </row>
    <row r="3137" spans="5:13" x14ac:dyDescent="0.25">
      <c r="E3137"/>
      <c r="M3137"/>
    </row>
    <row r="3138" spans="5:13" x14ac:dyDescent="0.25">
      <c r="E3138"/>
      <c r="M3138"/>
    </row>
    <row r="3139" spans="5:13" x14ac:dyDescent="0.25">
      <c r="E3139"/>
      <c r="M3139"/>
    </row>
    <row r="3140" spans="5:13" x14ac:dyDescent="0.25">
      <c r="E3140"/>
      <c r="M3140"/>
    </row>
    <row r="3141" spans="5:13" x14ac:dyDescent="0.25">
      <c r="E3141"/>
      <c r="M3141"/>
    </row>
    <row r="3142" spans="5:13" x14ac:dyDescent="0.25">
      <c r="E3142"/>
      <c r="M3142"/>
    </row>
    <row r="3143" spans="5:13" x14ac:dyDescent="0.25">
      <c r="E3143"/>
      <c r="M3143"/>
    </row>
    <row r="3144" spans="5:13" x14ac:dyDescent="0.25">
      <c r="E3144"/>
      <c r="M3144"/>
    </row>
    <row r="3145" spans="5:13" x14ac:dyDescent="0.25">
      <c r="E3145"/>
      <c r="M3145"/>
    </row>
    <row r="3146" spans="5:13" x14ac:dyDescent="0.25">
      <c r="E3146"/>
      <c r="M3146"/>
    </row>
    <row r="3147" spans="5:13" x14ac:dyDescent="0.25">
      <c r="E3147"/>
      <c r="M3147"/>
    </row>
    <row r="3148" spans="5:13" x14ac:dyDescent="0.25">
      <c r="E3148"/>
      <c r="M3148"/>
    </row>
    <row r="3149" spans="5:13" x14ac:dyDescent="0.25">
      <c r="E3149"/>
      <c r="M3149"/>
    </row>
    <row r="3150" spans="5:13" x14ac:dyDescent="0.25">
      <c r="E3150"/>
      <c r="M3150"/>
    </row>
    <row r="3151" spans="5:13" x14ac:dyDescent="0.25">
      <c r="E3151"/>
      <c r="M3151"/>
    </row>
    <row r="3152" spans="5:13" x14ac:dyDescent="0.25">
      <c r="E3152"/>
      <c r="M3152"/>
    </row>
    <row r="3153" spans="5:13" x14ac:dyDescent="0.25">
      <c r="E3153"/>
      <c r="M3153"/>
    </row>
    <row r="3154" spans="5:13" x14ac:dyDescent="0.25">
      <c r="E3154"/>
      <c r="M3154"/>
    </row>
    <row r="3155" spans="5:13" x14ac:dyDescent="0.25">
      <c r="E3155"/>
      <c r="M3155"/>
    </row>
    <row r="3156" spans="5:13" x14ac:dyDescent="0.25">
      <c r="E3156"/>
      <c r="M3156"/>
    </row>
    <row r="3157" spans="5:13" x14ac:dyDescent="0.25">
      <c r="E3157"/>
      <c r="M3157"/>
    </row>
    <row r="3158" spans="5:13" x14ac:dyDescent="0.25">
      <c r="E3158"/>
      <c r="M3158"/>
    </row>
    <row r="3159" spans="5:13" x14ac:dyDescent="0.25">
      <c r="E3159"/>
      <c r="M3159"/>
    </row>
    <row r="3160" spans="5:13" x14ac:dyDescent="0.25">
      <c r="E3160"/>
      <c r="M3160"/>
    </row>
    <row r="3161" spans="5:13" x14ac:dyDescent="0.25">
      <c r="E3161"/>
      <c r="M3161"/>
    </row>
    <row r="3162" spans="5:13" x14ac:dyDescent="0.25">
      <c r="E3162"/>
      <c r="M3162"/>
    </row>
    <row r="3163" spans="5:13" x14ac:dyDescent="0.25">
      <c r="E3163"/>
      <c r="M3163"/>
    </row>
    <row r="3164" spans="5:13" x14ac:dyDescent="0.25">
      <c r="E3164"/>
      <c r="M3164"/>
    </row>
    <row r="3165" spans="5:13" x14ac:dyDescent="0.25">
      <c r="E3165"/>
      <c r="M3165"/>
    </row>
    <row r="3166" spans="5:13" x14ac:dyDescent="0.25">
      <c r="E3166"/>
      <c r="M3166"/>
    </row>
    <row r="3167" spans="5:13" x14ac:dyDescent="0.25">
      <c r="E3167"/>
      <c r="M3167"/>
    </row>
    <row r="3168" spans="5:13" x14ac:dyDescent="0.25">
      <c r="E3168"/>
      <c r="M3168"/>
    </row>
    <row r="3169" spans="5:13" x14ac:dyDescent="0.25">
      <c r="E3169"/>
      <c r="M3169"/>
    </row>
    <row r="3170" spans="5:13" x14ac:dyDescent="0.25">
      <c r="E3170"/>
      <c r="M3170"/>
    </row>
    <row r="3171" spans="5:13" x14ac:dyDescent="0.25">
      <c r="E3171"/>
      <c r="M3171"/>
    </row>
    <row r="3172" spans="5:13" x14ac:dyDescent="0.25">
      <c r="E3172"/>
      <c r="M3172"/>
    </row>
    <row r="3173" spans="5:13" x14ac:dyDescent="0.25">
      <c r="E3173"/>
      <c r="M3173"/>
    </row>
    <row r="3174" spans="5:13" x14ac:dyDescent="0.25">
      <c r="E3174"/>
      <c r="M3174"/>
    </row>
    <row r="3175" spans="5:13" x14ac:dyDescent="0.25">
      <c r="E3175"/>
      <c r="M3175"/>
    </row>
    <row r="3176" spans="5:13" x14ac:dyDescent="0.25">
      <c r="E3176"/>
      <c r="M3176"/>
    </row>
    <row r="3177" spans="5:13" x14ac:dyDescent="0.25">
      <c r="E3177"/>
      <c r="M3177"/>
    </row>
    <row r="3178" spans="5:13" x14ac:dyDescent="0.25">
      <c r="E3178"/>
      <c r="M3178"/>
    </row>
    <row r="3179" spans="5:13" x14ac:dyDescent="0.25">
      <c r="E3179"/>
      <c r="M3179"/>
    </row>
    <row r="3180" spans="5:13" x14ac:dyDescent="0.25">
      <c r="E3180"/>
      <c r="M3180"/>
    </row>
    <row r="3181" spans="5:13" x14ac:dyDescent="0.25">
      <c r="E3181"/>
      <c r="M3181"/>
    </row>
    <row r="3182" spans="5:13" x14ac:dyDescent="0.25">
      <c r="E3182"/>
      <c r="M3182"/>
    </row>
    <row r="3183" spans="5:13" x14ac:dyDescent="0.25">
      <c r="E3183"/>
      <c r="M3183"/>
    </row>
    <row r="3184" spans="5:13" x14ac:dyDescent="0.25">
      <c r="E3184"/>
      <c r="M3184"/>
    </row>
    <row r="3185" spans="5:13" x14ac:dyDescent="0.25">
      <c r="E3185"/>
      <c r="M3185"/>
    </row>
    <row r="3186" spans="5:13" x14ac:dyDescent="0.25">
      <c r="E3186"/>
      <c r="M3186"/>
    </row>
    <row r="3187" spans="5:13" x14ac:dyDescent="0.25">
      <c r="E3187"/>
      <c r="M3187"/>
    </row>
    <row r="3188" spans="5:13" x14ac:dyDescent="0.25">
      <c r="E3188"/>
      <c r="M3188"/>
    </row>
    <row r="3189" spans="5:13" x14ac:dyDescent="0.25">
      <c r="E3189"/>
      <c r="M3189"/>
    </row>
    <row r="3190" spans="5:13" x14ac:dyDescent="0.25">
      <c r="E3190"/>
      <c r="M3190"/>
    </row>
    <row r="3191" spans="5:13" x14ac:dyDescent="0.25">
      <c r="E3191"/>
      <c r="M3191"/>
    </row>
    <row r="3192" spans="5:13" x14ac:dyDescent="0.25">
      <c r="E3192"/>
      <c r="M3192"/>
    </row>
    <row r="3193" spans="5:13" x14ac:dyDescent="0.25">
      <c r="E3193"/>
      <c r="M3193"/>
    </row>
    <row r="3194" spans="5:13" x14ac:dyDescent="0.25">
      <c r="E3194"/>
      <c r="M3194"/>
    </row>
    <row r="3195" spans="5:13" x14ac:dyDescent="0.25">
      <c r="E3195"/>
      <c r="M3195"/>
    </row>
    <row r="3196" spans="5:13" x14ac:dyDescent="0.25">
      <c r="E3196"/>
      <c r="M3196"/>
    </row>
    <row r="3197" spans="5:13" x14ac:dyDescent="0.25">
      <c r="E3197"/>
      <c r="M3197"/>
    </row>
    <row r="3198" spans="5:13" x14ac:dyDescent="0.25">
      <c r="E3198"/>
      <c r="M3198"/>
    </row>
    <row r="3199" spans="5:13" x14ac:dyDescent="0.25">
      <c r="E3199"/>
      <c r="M3199"/>
    </row>
    <row r="3200" spans="5:13" x14ac:dyDescent="0.25">
      <c r="E3200"/>
      <c r="M3200"/>
    </row>
    <row r="3201" spans="5:13" x14ac:dyDescent="0.25">
      <c r="E3201"/>
      <c r="M3201"/>
    </row>
    <row r="3202" spans="5:13" x14ac:dyDescent="0.25">
      <c r="E3202"/>
      <c r="M3202"/>
    </row>
    <row r="3203" spans="5:13" x14ac:dyDescent="0.25">
      <c r="E3203"/>
      <c r="M3203"/>
    </row>
    <row r="3204" spans="5:13" x14ac:dyDescent="0.25">
      <c r="E3204"/>
      <c r="M3204"/>
    </row>
    <row r="3205" spans="5:13" x14ac:dyDescent="0.25">
      <c r="E3205"/>
      <c r="M3205"/>
    </row>
    <row r="3206" spans="5:13" x14ac:dyDescent="0.25">
      <c r="E3206"/>
      <c r="M3206"/>
    </row>
    <row r="3207" spans="5:13" x14ac:dyDescent="0.25">
      <c r="E3207"/>
      <c r="M3207"/>
    </row>
    <row r="3208" spans="5:13" x14ac:dyDescent="0.25">
      <c r="E3208"/>
      <c r="M3208"/>
    </row>
    <row r="3209" spans="5:13" x14ac:dyDescent="0.25">
      <c r="E3209"/>
      <c r="M3209"/>
    </row>
    <row r="3210" spans="5:13" x14ac:dyDescent="0.25">
      <c r="E3210"/>
      <c r="M3210"/>
    </row>
    <row r="3211" spans="5:13" x14ac:dyDescent="0.25">
      <c r="E3211"/>
      <c r="M3211"/>
    </row>
    <row r="3212" spans="5:13" x14ac:dyDescent="0.25">
      <c r="E3212"/>
      <c r="M3212"/>
    </row>
    <row r="3213" spans="5:13" x14ac:dyDescent="0.25">
      <c r="E3213"/>
      <c r="M3213"/>
    </row>
    <row r="3214" spans="5:13" x14ac:dyDescent="0.25">
      <c r="E3214"/>
      <c r="M3214"/>
    </row>
    <row r="3215" spans="5:13" x14ac:dyDescent="0.25">
      <c r="E3215"/>
      <c r="M3215"/>
    </row>
    <row r="3216" spans="5:13" x14ac:dyDescent="0.25">
      <c r="E3216"/>
      <c r="M3216"/>
    </row>
    <row r="3217" spans="5:13" x14ac:dyDescent="0.25">
      <c r="E3217"/>
      <c r="M3217"/>
    </row>
    <row r="3218" spans="5:13" x14ac:dyDescent="0.25">
      <c r="E3218"/>
      <c r="M3218"/>
    </row>
    <row r="3219" spans="5:13" x14ac:dyDescent="0.25">
      <c r="E3219"/>
      <c r="M3219"/>
    </row>
    <row r="3220" spans="5:13" x14ac:dyDescent="0.25">
      <c r="E3220"/>
      <c r="M3220"/>
    </row>
    <row r="3221" spans="5:13" x14ac:dyDescent="0.25">
      <c r="E3221"/>
      <c r="M3221"/>
    </row>
    <row r="3222" spans="5:13" x14ac:dyDescent="0.25">
      <c r="E3222"/>
      <c r="M3222"/>
    </row>
    <row r="3223" spans="5:13" x14ac:dyDescent="0.25">
      <c r="E3223"/>
      <c r="M3223"/>
    </row>
    <row r="3224" spans="5:13" x14ac:dyDescent="0.25">
      <c r="E3224"/>
      <c r="M3224"/>
    </row>
    <row r="3225" spans="5:13" x14ac:dyDescent="0.25">
      <c r="E3225"/>
      <c r="M3225"/>
    </row>
    <row r="3226" spans="5:13" x14ac:dyDescent="0.25">
      <c r="E3226"/>
      <c r="M3226"/>
    </row>
    <row r="3227" spans="5:13" x14ac:dyDescent="0.25">
      <c r="E3227"/>
      <c r="M3227"/>
    </row>
    <row r="3228" spans="5:13" x14ac:dyDescent="0.25">
      <c r="E3228"/>
      <c r="M3228"/>
    </row>
    <row r="3229" spans="5:13" x14ac:dyDescent="0.25">
      <c r="E3229"/>
      <c r="M3229"/>
    </row>
    <row r="3230" spans="5:13" x14ac:dyDescent="0.25">
      <c r="E3230"/>
      <c r="M3230"/>
    </row>
    <row r="3231" spans="5:13" x14ac:dyDescent="0.25">
      <c r="E3231"/>
      <c r="M3231"/>
    </row>
    <row r="3232" spans="5:13" x14ac:dyDescent="0.25">
      <c r="E3232"/>
      <c r="M3232"/>
    </row>
    <row r="3233" spans="5:13" x14ac:dyDescent="0.25">
      <c r="E3233"/>
      <c r="M3233"/>
    </row>
    <row r="3234" spans="5:13" x14ac:dyDescent="0.25">
      <c r="E3234"/>
      <c r="M3234"/>
    </row>
    <row r="3235" spans="5:13" x14ac:dyDescent="0.25">
      <c r="E3235"/>
      <c r="M3235"/>
    </row>
    <row r="3236" spans="5:13" x14ac:dyDescent="0.25">
      <c r="E3236"/>
      <c r="M3236"/>
    </row>
    <row r="3237" spans="5:13" x14ac:dyDescent="0.25">
      <c r="E3237"/>
      <c r="M3237"/>
    </row>
    <row r="3238" spans="5:13" x14ac:dyDescent="0.25">
      <c r="E3238"/>
      <c r="M3238"/>
    </row>
    <row r="3239" spans="5:13" x14ac:dyDescent="0.25">
      <c r="E3239"/>
      <c r="M3239"/>
    </row>
    <row r="3240" spans="5:13" x14ac:dyDescent="0.25">
      <c r="E3240"/>
      <c r="M3240"/>
    </row>
    <row r="3241" spans="5:13" x14ac:dyDescent="0.25">
      <c r="E3241"/>
      <c r="M3241"/>
    </row>
    <row r="3242" spans="5:13" x14ac:dyDescent="0.25">
      <c r="E3242"/>
      <c r="M3242"/>
    </row>
    <row r="3243" spans="5:13" x14ac:dyDescent="0.25">
      <c r="E3243"/>
      <c r="M3243"/>
    </row>
    <row r="3244" spans="5:13" x14ac:dyDescent="0.25">
      <c r="E3244"/>
      <c r="M3244"/>
    </row>
    <row r="3245" spans="5:13" x14ac:dyDescent="0.25">
      <c r="E3245"/>
      <c r="M3245"/>
    </row>
    <row r="3246" spans="5:13" x14ac:dyDescent="0.25">
      <c r="E3246"/>
      <c r="M3246"/>
    </row>
    <row r="3247" spans="5:13" x14ac:dyDescent="0.25">
      <c r="E3247"/>
      <c r="M3247"/>
    </row>
    <row r="3248" spans="5:13" x14ac:dyDescent="0.25">
      <c r="E3248"/>
      <c r="M3248"/>
    </row>
    <row r="3249" spans="5:13" x14ac:dyDescent="0.25">
      <c r="E3249"/>
      <c r="M3249"/>
    </row>
    <row r="3250" spans="5:13" x14ac:dyDescent="0.25">
      <c r="E3250"/>
      <c r="M3250"/>
    </row>
    <row r="3251" spans="5:13" x14ac:dyDescent="0.25">
      <c r="E3251"/>
      <c r="M3251"/>
    </row>
    <row r="3252" spans="5:13" x14ac:dyDescent="0.25">
      <c r="E3252"/>
      <c r="M3252"/>
    </row>
    <row r="3253" spans="5:13" x14ac:dyDescent="0.25">
      <c r="E3253"/>
      <c r="M3253"/>
    </row>
    <row r="3254" spans="5:13" x14ac:dyDescent="0.25">
      <c r="E3254"/>
      <c r="M3254"/>
    </row>
    <row r="3255" spans="5:13" x14ac:dyDescent="0.25">
      <c r="E3255"/>
      <c r="M3255"/>
    </row>
    <row r="3256" spans="5:13" x14ac:dyDescent="0.25">
      <c r="E3256"/>
      <c r="M3256"/>
    </row>
    <row r="3257" spans="5:13" x14ac:dyDescent="0.25">
      <c r="E3257"/>
      <c r="M3257"/>
    </row>
    <row r="3258" spans="5:13" x14ac:dyDescent="0.25">
      <c r="E3258"/>
      <c r="M3258"/>
    </row>
    <row r="3259" spans="5:13" x14ac:dyDescent="0.25">
      <c r="E3259"/>
      <c r="M3259"/>
    </row>
    <row r="3260" spans="5:13" x14ac:dyDescent="0.25">
      <c r="E3260"/>
      <c r="M3260"/>
    </row>
    <row r="3261" spans="5:13" x14ac:dyDescent="0.25">
      <c r="E3261"/>
      <c r="M3261"/>
    </row>
    <row r="3262" spans="5:13" x14ac:dyDescent="0.25">
      <c r="E3262"/>
      <c r="M3262"/>
    </row>
    <row r="3263" spans="5:13" x14ac:dyDescent="0.25">
      <c r="E3263"/>
      <c r="M3263"/>
    </row>
    <row r="3264" spans="5:13" x14ac:dyDescent="0.25">
      <c r="E3264"/>
      <c r="M3264"/>
    </row>
    <row r="3265" spans="5:13" x14ac:dyDescent="0.25">
      <c r="E3265"/>
      <c r="M3265"/>
    </row>
    <row r="3266" spans="5:13" x14ac:dyDescent="0.25">
      <c r="E3266"/>
      <c r="M3266"/>
    </row>
    <row r="3267" spans="5:13" x14ac:dyDescent="0.25">
      <c r="E3267"/>
      <c r="M3267"/>
    </row>
    <row r="3268" spans="5:13" x14ac:dyDescent="0.25">
      <c r="E3268"/>
      <c r="M3268"/>
    </row>
    <row r="3269" spans="5:13" x14ac:dyDescent="0.25">
      <c r="E3269"/>
      <c r="M3269"/>
    </row>
    <row r="3270" spans="5:13" x14ac:dyDescent="0.25">
      <c r="E3270"/>
      <c r="M3270"/>
    </row>
    <row r="3271" spans="5:13" x14ac:dyDescent="0.25">
      <c r="E3271"/>
      <c r="M3271"/>
    </row>
    <row r="3272" spans="5:13" x14ac:dyDescent="0.25">
      <c r="E3272"/>
      <c r="M3272"/>
    </row>
    <row r="3273" spans="5:13" x14ac:dyDescent="0.25">
      <c r="E3273"/>
      <c r="M3273"/>
    </row>
    <row r="3274" spans="5:13" x14ac:dyDescent="0.25">
      <c r="E3274"/>
      <c r="M3274"/>
    </row>
    <row r="3275" spans="5:13" x14ac:dyDescent="0.25">
      <c r="E3275"/>
      <c r="M3275"/>
    </row>
    <row r="3276" spans="5:13" x14ac:dyDescent="0.25">
      <c r="E3276"/>
      <c r="M3276"/>
    </row>
    <row r="3277" spans="5:13" x14ac:dyDescent="0.25">
      <c r="E3277"/>
      <c r="M3277"/>
    </row>
    <row r="3278" spans="5:13" x14ac:dyDescent="0.25">
      <c r="E3278"/>
      <c r="M3278"/>
    </row>
    <row r="3279" spans="5:13" x14ac:dyDescent="0.25">
      <c r="E3279"/>
      <c r="M3279"/>
    </row>
    <row r="3280" spans="5:13" x14ac:dyDescent="0.25">
      <c r="E3280"/>
      <c r="M3280"/>
    </row>
    <row r="3281" spans="5:13" x14ac:dyDescent="0.25">
      <c r="E3281"/>
      <c r="M3281"/>
    </row>
    <row r="3282" spans="5:13" x14ac:dyDescent="0.25">
      <c r="E3282"/>
      <c r="M3282"/>
    </row>
    <row r="3283" spans="5:13" x14ac:dyDescent="0.25">
      <c r="E3283"/>
      <c r="M3283"/>
    </row>
    <row r="3284" spans="5:13" x14ac:dyDescent="0.25">
      <c r="E3284"/>
      <c r="M3284"/>
    </row>
    <row r="3285" spans="5:13" x14ac:dyDescent="0.25">
      <c r="E3285"/>
      <c r="M3285"/>
    </row>
    <row r="3286" spans="5:13" x14ac:dyDescent="0.25">
      <c r="E3286"/>
      <c r="M3286"/>
    </row>
    <row r="3287" spans="5:13" x14ac:dyDescent="0.25">
      <c r="E3287"/>
      <c r="M3287"/>
    </row>
    <row r="3288" spans="5:13" x14ac:dyDescent="0.25">
      <c r="E3288"/>
      <c r="M3288"/>
    </row>
    <row r="3289" spans="5:13" x14ac:dyDescent="0.25">
      <c r="E3289"/>
      <c r="M3289"/>
    </row>
    <row r="3290" spans="5:13" x14ac:dyDescent="0.25">
      <c r="E3290"/>
      <c r="M3290"/>
    </row>
    <row r="3291" spans="5:13" x14ac:dyDescent="0.25">
      <c r="E3291"/>
      <c r="M3291"/>
    </row>
    <row r="3292" spans="5:13" x14ac:dyDescent="0.25">
      <c r="E3292"/>
      <c r="M3292"/>
    </row>
    <row r="3293" spans="5:13" x14ac:dyDescent="0.25">
      <c r="E3293"/>
      <c r="M3293"/>
    </row>
    <row r="3294" spans="5:13" x14ac:dyDescent="0.25">
      <c r="E3294"/>
      <c r="M3294"/>
    </row>
    <row r="3295" spans="5:13" x14ac:dyDescent="0.25">
      <c r="E3295"/>
      <c r="M3295"/>
    </row>
    <row r="3296" spans="5:13" x14ac:dyDescent="0.25">
      <c r="E3296"/>
      <c r="M3296"/>
    </row>
    <row r="3297" spans="5:13" x14ac:dyDescent="0.25">
      <c r="E3297"/>
      <c r="M3297"/>
    </row>
    <row r="3298" spans="5:13" x14ac:dyDescent="0.25">
      <c r="E3298"/>
      <c r="M3298"/>
    </row>
    <row r="3299" spans="5:13" x14ac:dyDescent="0.25">
      <c r="E3299"/>
      <c r="M3299"/>
    </row>
    <row r="3300" spans="5:13" x14ac:dyDescent="0.25">
      <c r="E3300"/>
      <c r="M3300"/>
    </row>
    <row r="3301" spans="5:13" x14ac:dyDescent="0.25">
      <c r="E3301"/>
      <c r="M3301"/>
    </row>
    <row r="3302" spans="5:13" x14ac:dyDescent="0.25">
      <c r="E3302"/>
      <c r="M3302"/>
    </row>
    <row r="3303" spans="5:13" x14ac:dyDescent="0.25">
      <c r="E3303"/>
      <c r="M3303"/>
    </row>
    <row r="3304" spans="5:13" x14ac:dyDescent="0.25">
      <c r="E3304"/>
      <c r="M3304"/>
    </row>
    <row r="3305" spans="5:13" x14ac:dyDescent="0.25">
      <c r="E3305"/>
      <c r="M3305"/>
    </row>
    <row r="3306" spans="5:13" x14ac:dyDescent="0.25">
      <c r="E3306"/>
      <c r="M3306"/>
    </row>
    <row r="3307" spans="5:13" x14ac:dyDescent="0.25">
      <c r="E3307"/>
      <c r="M3307"/>
    </row>
    <row r="3308" spans="5:13" x14ac:dyDescent="0.25">
      <c r="E3308"/>
      <c r="M3308"/>
    </row>
    <row r="3309" spans="5:13" x14ac:dyDescent="0.25">
      <c r="E3309"/>
      <c r="M3309"/>
    </row>
    <row r="3310" spans="5:13" x14ac:dyDescent="0.25">
      <c r="E3310"/>
      <c r="M3310"/>
    </row>
    <row r="3311" spans="5:13" x14ac:dyDescent="0.25">
      <c r="E3311"/>
      <c r="M3311"/>
    </row>
    <row r="3312" spans="5:13" x14ac:dyDescent="0.25">
      <c r="E3312"/>
      <c r="M3312"/>
    </row>
    <row r="3313" spans="5:13" x14ac:dyDescent="0.25">
      <c r="E3313"/>
      <c r="M3313"/>
    </row>
    <row r="3314" spans="5:13" x14ac:dyDescent="0.25">
      <c r="E3314"/>
      <c r="M3314"/>
    </row>
    <row r="3315" spans="5:13" x14ac:dyDescent="0.25">
      <c r="E3315"/>
      <c r="M3315"/>
    </row>
    <row r="3316" spans="5:13" x14ac:dyDescent="0.25">
      <c r="E3316"/>
      <c r="M3316"/>
    </row>
    <row r="3317" spans="5:13" x14ac:dyDescent="0.25">
      <c r="E3317"/>
      <c r="M3317"/>
    </row>
    <row r="3318" spans="5:13" x14ac:dyDescent="0.25">
      <c r="E3318"/>
      <c r="M3318"/>
    </row>
    <row r="3319" spans="5:13" x14ac:dyDescent="0.25">
      <c r="E3319"/>
      <c r="M3319"/>
    </row>
    <row r="3320" spans="5:13" x14ac:dyDescent="0.25">
      <c r="E3320"/>
      <c r="M3320"/>
    </row>
    <row r="3321" spans="5:13" x14ac:dyDescent="0.25">
      <c r="E3321"/>
      <c r="M3321"/>
    </row>
    <row r="3322" spans="5:13" x14ac:dyDescent="0.25">
      <c r="E3322"/>
      <c r="M3322"/>
    </row>
    <row r="3323" spans="5:13" x14ac:dyDescent="0.25">
      <c r="E3323"/>
      <c r="M3323"/>
    </row>
    <row r="3324" spans="5:13" x14ac:dyDescent="0.25">
      <c r="E3324"/>
      <c r="M3324"/>
    </row>
    <row r="3325" spans="5:13" x14ac:dyDescent="0.25">
      <c r="E3325"/>
      <c r="M3325"/>
    </row>
    <row r="3326" spans="5:13" x14ac:dyDescent="0.25">
      <c r="E3326"/>
      <c r="M3326"/>
    </row>
    <row r="3327" spans="5:13" x14ac:dyDescent="0.25">
      <c r="E3327"/>
      <c r="M3327"/>
    </row>
    <row r="3328" spans="5:13" x14ac:dyDescent="0.25">
      <c r="E3328"/>
      <c r="M3328"/>
    </row>
    <row r="3329" spans="5:13" x14ac:dyDescent="0.25">
      <c r="E3329"/>
      <c r="M3329"/>
    </row>
    <row r="3330" spans="5:13" x14ac:dyDescent="0.25">
      <c r="E3330"/>
      <c r="M3330"/>
    </row>
    <row r="3331" spans="5:13" x14ac:dyDescent="0.25">
      <c r="E3331"/>
      <c r="M3331"/>
    </row>
    <row r="3332" spans="5:13" x14ac:dyDescent="0.25">
      <c r="E3332"/>
      <c r="M3332"/>
    </row>
    <row r="3333" spans="5:13" x14ac:dyDescent="0.25">
      <c r="E3333"/>
      <c r="M3333"/>
    </row>
    <row r="3334" spans="5:13" x14ac:dyDescent="0.25">
      <c r="E3334"/>
      <c r="M3334"/>
    </row>
    <row r="3335" spans="5:13" x14ac:dyDescent="0.25">
      <c r="E3335"/>
      <c r="M3335"/>
    </row>
    <row r="3336" spans="5:13" x14ac:dyDescent="0.25">
      <c r="E3336"/>
      <c r="M3336"/>
    </row>
    <row r="3337" spans="5:13" x14ac:dyDescent="0.25">
      <c r="E3337"/>
      <c r="M3337"/>
    </row>
    <row r="3338" spans="5:13" x14ac:dyDescent="0.25">
      <c r="E3338"/>
      <c r="M3338"/>
    </row>
    <row r="3339" spans="5:13" x14ac:dyDescent="0.25">
      <c r="E3339"/>
      <c r="M3339"/>
    </row>
    <row r="3340" spans="5:13" x14ac:dyDescent="0.25">
      <c r="E3340"/>
      <c r="M3340"/>
    </row>
    <row r="3341" spans="5:13" x14ac:dyDescent="0.25">
      <c r="E3341"/>
      <c r="M3341"/>
    </row>
    <row r="3342" spans="5:13" x14ac:dyDescent="0.25">
      <c r="E3342"/>
      <c r="M3342"/>
    </row>
    <row r="3343" spans="5:13" x14ac:dyDescent="0.25">
      <c r="E3343"/>
      <c r="M3343"/>
    </row>
    <row r="3344" spans="5:13" x14ac:dyDescent="0.25">
      <c r="E3344"/>
      <c r="M3344"/>
    </row>
    <row r="3345" spans="5:13" x14ac:dyDescent="0.25">
      <c r="E3345"/>
      <c r="M3345"/>
    </row>
    <row r="3346" spans="5:13" x14ac:dyDescent="0.25">
      <c r="E3346"/>
      <c r="M3346"/>
    </row>
    <row r="3347" spans="5:13" x14ac:dyDescent="0.25">
      <c r="E3347"/>
      <c r="M3347"/>
    </row>
    <row r="3348" spans="5:13" x14ac:dyDescent="0.25">
      <c r="E3348"/>
      <c r="M3348"/>
    </row>
    <row r="3349" spans="5:13" x14ac:dyDescent="0.25">
      <c r="E3349"/>
      <c r="M3349"/>
    </row>
    <row r="3350" spans="5:13" x14ac:dyDescent="0.25">
      <c r="E3350"/>
      <c r="M3350"/>
    </row>
    <row r="3351" spans="5:13" x14ac:dyDescent="0.25">
      <c r="E3351"/>
      <c r="M3351"/>
    </row>
    <row r="3352" spans="5:13" x14ac:dyDescent="0.25">
      <c r="E3352"/>
      <c r="M3352"/>
    </row>
    <row r="3353" spans="5:13" x14ac:dyDescent="0.25">
      <c r="E3353"/>
      <c r="M3353"/>
    </row>
    <row r="3354" spans="5:13" x14ac:dyDescent="0.25">
      <c r="E3354"/>
      <c r="M3354"/>
    </row>
    <row r="3355" spans="5:13" x14ac:dyDescent="0.25">
      <c r="E3355"/>
      <c r="M3355"/>
    </row>
    <row r="3356" spans="5:13" x14ac:dyDescent="0.25">
      <c r="E3356"/>
      <c r="M3356"/>
    </row>
    <row r="3357" spans="5:13" x14ac:dyDescent="0.25">
      <c r="E3357"/>
      <c r="M3357"/>
    </row>
    <row r="3358" spans="5:13" x14ac:dyDescent="0.25">
      <c r="E3358"/>
      <c r="M3358"/>
    </row>
    <row r="3359" spans="5:13" x14ac:dyDescent="0.25">
      <c r="E3359"/>
      <c r="M3359"/>
    </row>
    <row r="3360" spans="5:13" x14ac:dyDescent="0.25">
      <c r="E3360"/>
      <c r="M3360"/>
    </row>
    <row r="3361" spans="5:13" x14ac:dyDescent="0.25">
      <c r="E3361"/>
      <c r="M3361"/>
    </row>
    <row r="3362" spans="5:13" x14ac:dyDescent="0.25">
      <c r="E3362"/>
      <c r="M3362"/>
    </row>
    <row r="3363" spans="5:13" x14ac:dyDescent="0.25">
      <c r="E3363"/>
      <c r="M3363"/>
    </row>
    <row r="3364" spans="5:13" x14ac:dyDescent="0.25">
      <c r="E3364"/>
      <c r="M3364"/>
    </row>
    <row r="3365" spans="5:13" x14ac:dyDescent="0.25">
      <c r="E3365"/>
      <c r="M3365"/>
    </row>
    <row r="3366" spans="5:13" x14ac:dyDescent="0.25">
      <c r="E3366"/>
      <c r="M3366"/>
    </row>
    <row r="3367" spans="5:13" x14ac:dyDescent="0.25">
      <c r="E3367"/>
      <c r="M3367"/>
    </row>
    <row r="3368" spans="5:13" x14ac:dyDescent="0.25">
      <c r="E3368"/>
      <c r="M3368"/>
    </row>
    <row r="3369" spans="5:13" x14ac:dyDescent="0.25">
      <c r="E3369"/>
      <c r="M3369"/>
    </row>
    <row r="3370" spans="5:13" x14ac:dyDescent="0.25">
      <c r="E3370"/>
      <c r="M3370"/>
    </row>
    <row r="3371" spans="5:13" x14ac:dyDescent="0.25">
      <c r="E3371"/>
      <c r="M3371"/>
    </row>
    <row r="3372" spans="5:13" x14ac:dyDescent="0.25">
      <c r="E3372"/>
      <c r="M3372"/>
    </row>
    <row r="3373" spans="5:13" x14ac:dyDescent="0.25">
      <c r="E3373"/>
      <c r="M3373"/>
    </row>
    <row r="3374" spans="5:13" x14ac:dyDescent="0.25">
      <c r="E3374"/>
      <c r="M3374"/>
    </row>
    <row r="3375" spans="5:13" x14ac:dyDescent="0.25">
      <c r="E3375"/>
      <c r="M3375"/>
    </row>
    <row r="3376" spans="5:13" x14ac:dyDescent="0.25">
      <c r="E3376"/>
      <c r="M3376"/>
    </row>
    <row r="3377" spans="5:13" x14ac:dyDescent="0.25">
      <c r="E3377"/>
      <c r="M3377"/>
    </row>
    <row r="3378" spans="5:13" x14ac:dyDescent="0.25">
      <c r="E3378"/>
      <c r="M3378"/>
    </row>
    <row r="3379" spans="5:13" x14ac:dyDescent="0.25">
      <c r="E3379"/>
      <c r="M3379"/>
    </row>
    <row r="3380" spans="5:13" x14ac:dyDescent="0.25">
      <c r="E3380"/>
      <c r="M3380"/>
    </row>
    <row r="3381" spans="5:13" x14ac:dyDescent="0.25">
      <c r="E3381"/>
      <c r="M3381"/>
    </row>
    <row r="3382" spans="5:13" x14ac:dyDescent="0.25">
      <c r="E3382"/>
      <c r="M3382"/>
    </row>
    <row r="3383" spans="5:13" x14ac:dyDescent="0.25">
      <c r="E3383"/>
      <c r="M3383"/>
    </row>
    <row r="3384" spans="5:13" x14ac:dyDescent="0.25">
      <c r="E3384"/>
      <c r="M3384"/>
    </row>
    <row r="3385" spans="5:13" x14ac:dyDescent="0.25">
      <c r="E3385"/>
      <c r="M3385"/>
    </row>
    <row r="3386" spans="5:13" x14ac:dyDescent="0.25">
      <c r="E3386"/>
      <c r="M3386"/>
    </row>
    <row r="3387" spans="5:13" x14ac:dyDescent="0.25">
      <c r="E3387"/>
      <c r="M3387"/>
    </row>
    <row r="3388" spans="5:13" x14ac:dyDescent="0.25">
      <c r="E3388"/>
      <c r="M3388"/>
    </row>
    <row r="3389" spans="5:13" x14ac:dyDescent="0.25">
      <c r="E3389"/>
      <c r="M3389"/>
    </row>
    <row r="3390" spans="5:13" x14ac:dyDescent="0.25">
      <c r="E3390"/>
      <c r="M3390"/>
    </row>
    <row r="3391" spans="5:13" x14ac:dyDescent="0.25">
      <c r="E3391"/>
      <c r="M3391"/>
    </row>
    <row r="3392" spans="5:13" x14ac:dyDescent="0.25">
      <c r="E3392"/>
      <c r="M3392"/>
    </row>
    <row r="3393" spans="5:13" x14ac:dyDescent="0.25">
      <c r="E3393"/>
      <c r="M3393"/>
    </row>
    <row r="3394" spans="5:13" x14ac:dyDescent="0.25">
      <c r="E3394"/>
      <c r="M3394"/>
    </row>
    <row r="3395" spans="5:13" x14ac:dyDescent="0.25">
      <c r="E3395"/>
      <c r="M3395"/>
    </row>
    <row r="3396" spans="5:13" x14ac:dyDescent="0.25">
      <c r="E3396"/>
      <c r="M3396"/>
    </row>
    <row r="3397" spans="5:13" x14ac:dyDescent="0.25">
      <c r="E3397"/>
      <c r="M3397"/>
    </row>
    <row r="3398" spans="5:13" x14ac:dyDescent="0.25">
      <c r="E3398"/>
      <c r="M3398"/>
    </row>
    <row r="3399" spans="5:13" x14ac:dyDescent="0.25">
      <c r="E3399"/>
      <c r="M3399"/>
    </row>
    <row r="3400" spans="5:13" x14ac:dyDescent="0.25">
      <c r="E3400"/>
      <c r="M3400"/>
    </row>
    <row r="3401" spans="5:13" x14ac:dyDescent="0.25">
      <c r="E3401"/>
      <c r="M3401"/>
    </row>
    <row r="3402" spans="5:13" x14ac:dyDescent="0.25">
      <c r="E3402"/>
      <c r="M3402"/>
    </row>
    <row r="3403" spans="5:13" x14ac:dyDescent="0.25">
      <c r="E3403"/>
      <c r="M3403"/>
    </row>
    <row r="3404" spans="5:13" x14ac:dyDescent="0.25">
      <c r="E3404"/>
      <c r="M3404"/>
    </row>
    <row r="3405" spans="5:13" x14ac:dyDescent="0.25">
      <c r="E3405"/>
      <c r="M3405"/>
    </row>
    <row r="3406" spans="5:13" x14ac:dyDescent="0.25">
      <c r="E3406"/>
      <c r="M3406"/>
    </row>
    <row r="3407" spans="5:13" x14ac:dyDescent="0.25">
      <c r="E3407"/>
      <c r="M3407"/>
    </row>
    <row r="3408" spans="5:13" x14ac:dyDescent="0.25">
      <c r="E3408"/>
      <c r="M3408"/>
    </row>
    <row r="3409" spans="5:13" x14ac:dyDescent="0.25">
      <c r="E3409"/>
      <c r="M3409"/>
    </row>
    <row r="3410" spans="5:13" x14ac:dyDescent="0.25">
      <c r="E3410"/>
      <c r="M3410"/>
    </row>
    <row r="3411" spans="5:13" x14ac:dyDescent="0.25">
      <c r="E3411"/>
      <c r="M3411"/>
    </row>
    <row r="3412" spans="5:13" x14ac:dyDescent="0.25">
      <c r="E3412"/>
      <c r="M3412"/>
    </row>
    <row r="3413" spans="5:13" x14ac:dyDescent="0.25">
      <c r="E3413"/>
      <c r="M3413"/>
    </row>
    <row r="3414" spans="5:13" x14ac:dyDescent="0.25">
      <c r="E3414"/>
      <c r="M3414"/>
    </row>
    <row r="3415" spans="5:13" x14ac:dyDescent="0.25">
      <c r="E3415"/>
      <c r="M3415"/>
    </row>
    <row r="3416" spans="5:13" x14ac:dyDescent="0.25">
      <c r="E3416"/>
      <c r="M3416"/>
    </row>
    <row r="3417" spans="5:13" x14ac:dyDescent="0.25">
      <c r="E3417"/>
      <c r="M3417"/>
    </row>
    <row r="3418" spans="5:13" x14ac:dyDescent="0.25">
      <c r="E3418"/>
      <c r="M3418"/>
    </row>
    <row r="3419" spans="5:13" x14ac:dyDescent="0.25">
      <c r="E3419"/>
      <c r="M3419"/>
    </row>
    <row r="3420" spans="5:13" x14ac:dyDescent="0.25">
      <c r="E3420"/>
      <c r="M3420"/>
    </row>
    <row r="3421" spans="5:13" x14ac:dyDescent="0.25">
      <c r="E3421"/>
      <c r="M3421"/>
    </row>
    <row r="3422" spans="5:13" x14ac:dyDescent="0.25">
      <c r="E3422"/>
      <c r="M3422"/>
    </row>
    <row r="3423" spans="5:13" x14ac:dyDescent="0.25">
      <c r="E3423"/>
      <c r="M3423"/>
    </row>
    <row r="3424" spans="5:13" x14ac:dyDescent="0.25">
      <c r="E3424"/>
      <c r="M3424"/>
    </row>
    <row r="3425" spans="5:13" x14ac:dyDescent="0.25">
      <c r="E3425"/>
      <c r="M3425"/>
    </row>
    <row r="3426" spans="5:13" x14ac:dyDescent="0.25">
      <c r="E3426"/>
      <c r="M3426"/>
    </row>
    <row r="3427" spans="5:13" x14ac:dyDescent="0.25">
      <c r="E3427"/>
      <c r="M3427"/>
    </row>
    <row r="3428" spans="5:13" x14ac:dyDescent="0.25">
      <c r="E3428"/>
      <c r="M3428"/>
    </row>
    <row r="3429" spans="5:13" x14ac:dyDescent="0.25">
      <c r="E3429"/>
      <c r="M3429"/>
    </row>
    <row r="3430" spans="5:13" x14ac:dyDescent="0.25">
      <c r="E3430"/>
      <c r="M3430"/>
    </row>
    <row r="3431" spans="5:13" x14ac:dyDescent="0.25">
      <c r="E3431"/>
      <c r="M3431"/>
    </row>
    <row r="3432" spans="5:13" x14ac:dyDescent="0.25">
      <c r="E3432"/>
      <c r="M3432"/>
    </row>
    <row r="3433" spans="5:13" x14ac:dyDescent="0.25">
      <c r="E3433"/>
      <c r="M3433"/>
    </row>
    <row r="3434" spans="5:13" x14ac:dyDescent="0.25">
      <c r="E3434"/>
      <c r="M3434"/>
    </row>
    <row r="3435" spans="5:13" x14ac:dyDescent="0.25">
      <c r="E3435"/>
      <c r="M3435"/>
    </row>
    <row r="3436" spans="5:13" x14ac:dyDescent="0.25">
      <c r="E3436"/>
      <c r="M3436"/>
    </row>
    <row r="3437" spans="5:13" x14ac:dyDescent="0.25">
      <c r="E3437"/>
      <c r="M3437"/>
    </row>
    <row r="3438" spans="5:13" x14ac:dyDescent="0.25">
      <c r="E3438"/>
      <c r="M3438"/>
    </row>
    <row r="3439" spans="5:13" x14ac:dyDescent="0.25">
      <c r="E3439"/>
      <c r="M3439"/>
    </row>
    <row r="3440" spans="5:13" x14ac:dyDescent="0.25">
      <c r="E3440"/>
      <c r="M3440"/>
    </row>
    <row r="3441" spans="5:13" x14ac:dyDescent="0.25">
      <c r="E3441"/>
      <c r="M3441"/>
    </row>
    <row r="3442" spans="5:13" x14ac:dyDescent="0.25">
      <c r="E3442"/>
      <c r="M3442"/>
    </row>
    <row r="3443" spans="5:13" x14ac:dyDescent="0.25">
      <c r="E3443"/>
      <c r="M3443"/>
    </row>
    <row r="3444" spans="5:13" x14ac:dyDescent="0.25">
      <c r="E3444"/>
      <c r="M3444"/>
    </row>
    <row r="3445" spans="5:13" x14ac:dyDescent="0.25">
      <c r="E3445"/>
      <c r="M3445"/>
    </row>
    <row r="3446" spans="5:13" x14ac:dyDescent="0.25">
      <c r="E3446"/>
      <c r="M3446"/>
    </row>
    <row r="3447" spans="5:13" x14ac:dyDescent="0.25">
      <c r="E3447"/>
      <c r="M3447"/>
    </row>
    <row r="3448" spans="5:13" x14ac:dyDescent="0.25">
      <c r="E3448"/>
      <c r="M3448"/>
    </row>
    <row r="3449" spans="5:13" x14ac:dyDescent="0.25">
      <c r="E3449"/>
      <c r="M3449"/>
    </row>
    <row r="3450" spans="5:13" x14ac:dyDescent="0.25">
      <c r="E3450"/>
      <c r="M3450"/>
    </row>
    <row r="3451" spans="5:13" x14ac:dyDescent="0.25">
      <c r="E3451"/>
      <c r="M3451"/>
    </row>
    <row r="3452" spans="5:13" x14ac:dyDescent="0.25">
      <c r="E3452"/>
      <c r="M3452"/>
    </row>
    <row r="3453" spans="5:13" x14ac:dyDescent="0.25">
      <c r="E3453"/>
      <c r="M3453"/>
    </row>
    <row r="3454" spans="5:13" x14ac:dyDescent="0.25">
      <c r="E3454"/>
      <c r="M3454"/>
    </row>
    <row r="3455" spans="5:13" x14ac:dyDescent="0.25">
      <c r="E3455"/>
      <c r="M3455"/>
    </row>
    <row r="3456" spans="5:13" x14ac:dyDescent="0.25">
      <c r="E3456"/>
      <c r="M3456"/>
    </row>
    <row r="3457" spans="5:13" x14ac:dyDescent="0.25">
      <c r="E3457"/>
      <c r="M3457"/>
    </row>
    <row r="3458" spans="5:13" x14ac:dyDescent="0.25">
      <c r="E3458"/>
      <c r="M3458"/>
    </row>
    <row r="3459" spans="5:13" x14ac:dyDescent="0.25">
      <c r="E3459"/>
      <c r="M3459"/>
    </row>
    <row r="3460" spans="5:13" x14ac:dyDescent="0.25">
      <c r="E3460"/>
      <c r="M3460"/>
    </row>
    <row r="3461" spans="5:13" x14ac:dyDescent="0.25">
      <c r="E3461"/>
      <c r="M3461"/>
    </row>
    <row r="3462" spans="5:13" x14ac:dyDescent="0.25">
      <c r="E3462"/>
      <c r="M3462"/>
    </row>
    <row r="3463" spans="5:13" x14ac:dyDescent="0.25">
      <c r="E3463"/>
      <c r="M3463"/>
    </row>
    <row r="3464" spans="5:13" x14ac:dyDescent="0.25">
      <c r="E3464"/>
      <c r="M3464"/>
    </row>
    <row r="3465" spans="5:13" x14ac:dyDescent="0.25">
      <c r="E3465"/>
      <c r="M3465"/>
    </row>
    <row r="3466" spans="5:13" x14ac:dyDescent="0.25">
      <c r="E3466"/>
      <c r="M3466"/>
    </row>
    <row r="3467" spans="5:13" x14ac:dyDescent="0.25">
      <c r="E3467"/>
      <c r="M3467"/>
    </row>
    <row r="3468" spans="5:13" x14ac:dyDescent="0.25">
      <c r="E3468"/>
      <c r="M3468"/>
    </row>
    <row r="3469" spans="5:13" x14ac:dyDescent="0.25">
      <c r="E3469"/>
      <c r="M3469"/>
    </row>
    <row r="3470" spans="5:13" x14ac:dyDescent="0.25">
      <c r="E3470"/>
      <c r="M3470"/>
    </row>
    <row r="3471" spans="5:13" x14ac:dyDescent="0.25">
      <c r="E3471"/>
      <c r="M3471"/>
    </row>
    <row r="3472" spans="5:13" x14ac:dyDescent="0.25">
      <c r="E3472"/>
      <c r="M3472"/>
    </row>
    <row r="3473" spans="5:13" x14ac:dyDescent="0.25">
      <c r="E3473"/>
      <c r="M3473"/>
    </row>
    <row r="3474" spans="5:13" x14ac:dyDescent="0.25">
      <c r="E3474"/>
      <c r="M3474"/>
    </row>
    <row r="3475" spans="5:13" x14ac:dyDescent="0.25">
      <c r="E3475"/>
      <c r="M3475"/>
    </row>
    <row r="3476" spans="5:13" x14ac:dyDescent="0.25">
      <c r="E3476"/>
      <c r="M3476"/>
    </row>
    <row r="3477" spans="5:13" x14ac:dyDescent="0.25">
      <c r="E3477"/>
      <c r="M3477"/>
    </row>
    <row r="3478" spans="5:13" x14ac:dyDescent="0.25">
      <c r="E3478"/>
      <c r="M3478"/>
    </row>
    <row r="3479" spans="5:13" x14ac:dyDescent="0.25">
      <c r="E3479"/>
      <c r="M3479"/>
    </row>
    <row r="3480" spans="5:13" x14ac:dyDescent="0.25">
      <c r="E3480"/>
      <c r="M3480"/>
    </row>
    <row r="3481" spans="5:13" x14ac:dyDescent="0.25">
      <c r="E3481"/>
      <c r="M3481"/>
    </row>
    <row r="3482" spans="5:13" x14ac:dyDescent="0.25">
      <c r="E3482"/>
      <c r="M3482"/>
    </row>
    <row r="3483" spans="5:13" x14ac:dyDescent="0.25">
      <c r="E3483"/>
      <c r="M3483"/>
    </row>
    <row r="3484" spans="5:13" x14ac:dyDescent="0.25">
      <c r="E3484"/>
      <c r="M3484"/>
    </row>
    <row r="3485" spans="5:13" x14ac:dyDescent="0.25">
      <c r="E3485"/>
      <c r="M3485"/>
    </row>
    <row r="3486" spans="5:13" x14ac:dyDescent="0.25">
      <c r="E3486"/>
      <c r="M3486"/>
    </row>
    <row r="3487" spans="5:13" x14ac:dyDescent="0.25">
      <c r="E3487"/>
      <c r="M3487"/>
    </row>
    <row r="3488" spans="5:13" x14ac:dyDescent="0.25">
      <c r="E3488"/>
      <c r="M3488"/>
    </row>
    <row r="3489" spans="5:13" x14ac:dyDescent="0.25">
      <c r="E3489"/>
      <c r="M3489"/>
    </row>
    <row r="3490" spans="5:13" x14ac:dyDescent="0.25">
      <c r="E3490"/>
      <c r="M3490"/>
    </row>
    <row r="3491" spans="5:13" x14ac:dyDescent="0.25">
      <c r="E3491"/>
      <c r="M3491"/>
    </row>
    <row r="3492" spans="5:13" x14ac:dyDescent="0.25">
      <c r="E3492"/>
      <c r="M3492"/>
    </row>
    <row r="3493" spans="5:13" x14ac:dyDescent="0.25">
      <c r="E3493"/>
      <c r="M3493"/>
    </row>
    <row r="3494" spans="5:13" x14ac:dyDescent="0.25">
      <c r="E3494"/>
      <c r="M3494"/>
    </row>
    <row r="3495" spans="5:13" x14ac:dyDescent="0.25">
      <c r="E3495"/>
      <c r="M3495"/>
    </row>
    <row r="3496" spans="5:13" x14ac:dyDescent="0.25">
      <c r="E3496"/>
      <c r="M3496"/>
    </row>
    <row r="3497" spans="5:13" x14ac:dyDescent="0.25">
      <c r="E3497"/>
      <c r="M3497"/>
    </row>
    <row r="3498" spans="5:13" x14ac:dyDescent="0.25">
      <c r="E3498"/>
      <c r="M3498"/>
    </row>
    <row r="3499" spans="5:13" x14ac:dyDescent="0.25">
      <c r="E3499"/>
      <c r="M3499"/>
    </row>
    <row r="3500" spans="5:13" x14ac:dyDescent="0.25">
      <c r="E3500"/>
      <c r="M3500"/>
    </row>
    <row r="3501" spans="5:13" x14ac:dyDescent="0.25">
      <c r="E3501"/>
      <c r="M3501"/>
    </row>
    <row r="3502" spans="5:13" x14ac:dyDescent="0.25">
      <c r="E3502"/>
      <c r="M3502"/>
    </row>
    <row r="3503" spans="5:13" x14ac:dyDescent="0.25">
      <c r="E3503"/>
      <c r="M3503"/>
    </row>
    <row r="3504" spans="5:13" x14ac:dyDescent="0.25">
      <c r="E3504"/>
      <c r="M3504"/>
    </row>
    <row r="3505" spans="5:13" x14ac:dyDescent="0.25">
      <c r="E3505"/>
      <c r="M3505"/>
    </row>
    <row r="3506" spans="5:13" x14ac:dyDescent="0.25">
      <c r="E3506"/>
      <c r="M3506"/>
    </row>
    <row r="3507" spans="5:13" x14ac:dyDescent="0.25">
      <c r="E3507"/>
      <c r="M3507"/>
    </row>
    <row r="3508" spans="5:13" x14ac:dyDescent="0.25">
      <c r="E3508"/>
      <c r="M3508"/>
    </row>
    <row r="3509" spans="5:13" x14ac:dyDescent="0.25">
      <c r="E3509"/>
      <c r="M3509"/>
    </row>
    <row r="3510" spans="5:13" x14ac:dyDescent="0.25">
      <c r="E3510"/>
      <c r="M3510"/>
    </row>
    <row r="3511" spans="5:13" x14ac:dyDescent="0.25">
      <c r="E3511"/>
      <c r="M3511"/>
    </row>
    <row r="3512" spans="5:13" x14ac:dyDescent="0.25">
      <c r="E3512"/>
      <c r="M3512"/>
    </row>
    <row r="3513" spans="5:13" x14ac:dyDescent="0.25">
      <c r="E3513"/>
      <c r="M3513"/>
    </row>
    <row r="3514" spans="5:13" x14ac:dyDescent="0.25">
      <c r="E3514"/>
      <c r="M3514"/>
    </row>
    <row r="3515" spans="5:13" x14ac:dyDescent="0.25">
      <c r="E3515"/>
      <c r="M3515"/>
    </row>
    <row r="3516" spans="5:13" x14ac:dyDescent="0.25">
      <c r="E3516"/>
      <c r="M3516"/>
    </row>
    <row r="3517" spans="5:13" x14ac:dyDescent="0.25">
      <c r="E3517"/>
      <c r="M3517"/>
    </row>
    <row r="3518" spans="5:13" x14ac:dyDescent="0.25">
      <c r="E3518"/>
      <c r="M3518"/>
    </row>
    <row r="3519" spans="5:13" x14ac:dyDescent="0.25">
      <c r="E3519"/>
      <c r="M3519"/>
    </row>
    <row r="3520" spans="5:13" x14ac:dyDescent="0.25">
      <c r="E3520"/>
      <c r="M3520"/>
    </row>
    <row r="3521" spans="5:13" x14ac:dyDescent="0.25">
      <c r="E3521"/>
      <c r="M3521"/>
    </row>
    <row r="3522" spans="5:13" x14ac:dyDescent="0.25">
      <c r="E3522"/>
      <c r="M3522"/>
    </row>
    <row r="3523" spans="5:13" x14ac:dyDescent="0.25">
      <c r="E3523"/>
      <c r="M3523"/>
    </row>
    <row r="3524" spans="5:13" x14ac:dyDescent="0.25">
      <c r="E3524"/>
      <c r="M3524"/>
    </row>
    <row r="3525" spans="5:13" x14ac:dyDescent="0.25">
      <c r="E3525"/>
      <c r="M3525"/>
    </row>
    <row r="3526" spans="5:13" x14ac:dyDescent="0.25">
      <c r="E3526"/>
      <c r="M3526"/>
    </row>
    <row r="3527" spans="5:13" x14ac:dyDescent="0.25">
      <c r="E3527"/>
      <c r="M3527"/>
    </row>
    <row r="3528" spans="5:13" x14ac:dyDescent="0.25">
      <c r="E3528"/>
      <c r="M3528"/>
    </row>
    <row r="3529" spans="5:13" x14ac:dyDescent="0.25">
      <c r="E3529"/>
      <c r="M3529"/>
    </row>
    <row r="3530" spans="5:13" x14ac:dyDescent="0.25">
      <c r="E3530"/>
      <c r="M3530"/>
    </row>
    <row r="3531" spans="5:13" x14ac:dyDescent="0.25">
      <c r="E3531"/>
      <c r="M3531"/>
    </row>
    <row r="3532" spans="5:13" x14ac:dyDescent="0.25">
      <c r="E3532"/>
      <c r="M3532"/>
    </row>
    <row r="3533" spans="5:13" x14ac:dyDescent="0.25">
      <c r="E3533"/>
      <c r="M3533"/>
    </row>
    <row r="3534" spans="5:13" x14ac:dyDescent="0.25">
      <c r="E3534"/>
      <c r="M3534"/>
    </row>
    <row r="3535" spans="5:13" x14ac:dyDescent="0.25">
      <c r="E3535"/>
      <c r="M3535"/>
    </row>
    <row r="3536" spans="5:13" x14ac:dyDescent="0.25">
      <c r="E3536"/>
      <c r="M3536"/>
    </row>
    <row r="3537" spans="5:13" x14ac:dyDescent="0.25">
      <c r="E3537"/>
      <c r="M3537"/>
    </row>
    <row r="3538" spans="5:13" x14ac:dyDescent="0.25">
      <c r="E3538"/>
      <c r="M3538"/>
    </row>
    <row r="3539" spans="5:13" x14ac:dyDescent="0.25">
      <c r="E3539"/>
      <c r="M3539"/>
    </row>
    <row r="3540" spans="5:13" x14ac:dyDescent="0.25">
      <c r="E3540"/>
      <c r="M3540"/>
    </row>
    <row r="3541" spans="5:13" x14ac:dyDescent="0.25">
      <c r="E3541"/>
      <c r="M3541"/>
    </row>
    <row r="3542" spans="5:13" x14ac:dyDescent="0.25">
      <c r="E3542"/>
      <c r="M3542"/>
    </row>
    <row r="3543" spans="5:13" x14ac:dyDescent="0.25">
      <c r="E3543"/>
      <c r="M3543"/>
    </row>
    <row r="3544" spans="5:13" x14ac:dyDescent="0.25">
      <c r="E3544"/>
      <c r="M3544"/>
    </row>
    <row r="3545" spans="5:13" x14ac:dyDescent="0.25">
      <c r="E3545"/>
      <c r="M3545"/>
    </row>
    <row r="3546" spans="5:13" x14ac:dyDescent="0.25">
      <c r="E3546"/>
      <c r="M3546"/>
    </row>
    <row r="3547" spans="5:13" x14ac:dyDescent="0.25">
      <c r="E3547"/>
      <c r="M3547"/>
    </row>
    <row r="3548" spans="5:13" x14ac:dyDescent="0.25">
      <c r="E3548"/>
      <c r="M3548"/>
    </row>
    <row r="3549" spans="5:13" x14ac:dyDescent="0.25">
      <c r="E3549"/>
      <c r="M3549"/>
    </row>
    <row r="3550" spans="5:13" x14ac:dyDescent="0.25">
      <c r="E3550"/>
      <c r="M3550"/>
    </row>
    <row r="3551" spans="5:13" x14ac:dyDescent="0.25">
      <c r="E3551"/>
      <c r="M3551"/>
    </row>
    <row r="3552" spans="5:13" x14ac:dyDescent="0.25">
      <c r="E3552"/>
      <c r="M3552"/>
    </row>
    <row r="3553" spans="5:13" x14ac:dyDescent="0.25">
      <c r="E3553"/>
      <c r="M3553"/>
    </row>
    <row r="3554" spans="5:13" x14ac:dyDescent="0.25">
      <c r="E3554"/>
      <c r="M3554"/>
    </row>
    <row r="3555" spans="5:13" x14ac:dyDescent="0.25">
      <c r="E3555"/>
      <c r="M3555"/>
    </row>
    <row r="3556" spans="5:13" x14ac:dyDescent="0.25">
      <c r="E3556"/>
      <c r="M3556"/>
    </row>
    <row r="3557" spans="5:13" x14ac:dyDescent="0.25">
      <c r="E3557"/>
      <c r="M3557"/>
    </row>
    <row r="3558" spans="5:13" x14ac:dyDescent="0.25">
      <c r="E3558"/>
      <c r="M3558"/>
    </row>
    <row r="3559" spans="5:13" x14ac:dyDescent="0.25">
      <c r="E3559"/>
      <c r="M3559"/>
    </row>
    <row r="3560" spans="5:13" x14ac:dyDescent="0.25">
      <c r="E3560"/>
      <c r="M3560"/>
    </row>
    <row r="3561" spans="5:13" x14ac:dyDescent="0.25">
      <c r="E3561"/>
      <c r="M3561"/>
    </row>
    <row r="3562" spans="5:13" x14ac:dyDescent="0.25">
      <c r="E3562"/>
      <c r="M3562"/>
    </row>
    <row r="3563" spans="5:13" x14ac:dyDescent="0.25">
      <c r="E3563"/>
      <c r="M3563"/>
    </row>
    <row r="3564" spans="5:13" x14ac:dyDescent="0.25">
      <c r="E3564"/>
      <c r="M3564"/>
    </row>
    <row r="3565" spans="5:13" x14ac:dyDescent="0.25">
      <c r="E3565"/>
      <c r="M3565"/>
    </row>
    <row r="3566" spans="5:13" x14ac:dyDescent="0.25">
      <c r="E3566"/>
      <c r="M3566"/>
    </row>
    <row r="3567" spans="5:13" x14ac:dyDescent="0.25">
      <c r="E3567"/>
      <c r="M3567"/>
    </row>
    <row r="3568" spans="5:13" x14ac:dyDescent="0.25">
      <c r="E3568"/>
      <c r="M3568"/>
    </row>
    <row r="3569" spans="5:13" x14ac:dyDescent="0.25">
      <c r="E3569"/>
      <c r="M3569"/>
    </row>
    <row r="3570" spans="5:13" x14ac:dyDescent="0.25">
      <c r="E3570"/>
      <c r="M3570"/>
    </row>
    <row r="3571" spans="5:13" x14ac:dyDescent="0.25">
      <c r="E3571"/>
      <c r="M3571"/>
    </row>
    <row r="3572" spans="5:13" x14ac:dyDescent="0.25">
      <c r="E3572"/>
      <c r="M3572"/>
    </row>
    <row r="3573" spans="5:13" x14ac:dyDescent="0.25">
      <c r="E3573"/>
      <c r="M3573"/>
    </row>
    <row r="3574" spans="5:13" x14ac:dyDescent="0.25">
      <c r="E3574"/>
      <c r="M3574"/>
    </row>
    <row r="3575" spans="5:13" x14ac:dyDescent="0.25">
      <c r="E3575"/>
      <c r="M3575"/>
    </row>
    <row r="3576" spans="5:13" x14ac:dyDescent="0.25">
      <c r="E3576"/>
      <c r="M3576"/>
    </row>
    <row r="3577" spans="5:13" x14ac:dyDescent="0.25">
      <c r="E3577"/>
      <c r="M3577"/>
    </row>
    <row r="3578" spans="5:13" x14ac:dyDescent="0.25">
      <c r="E3578"/>
      <c r="M3578"/>
    </row>
    <row r="3579" spans="5:13" x14ac:dyDescent="0.25">
      <c r="E3579"/>
      <c r="M3579"/>
    </row>
    <row r="3580" spans="5:13" x14ac:dyDescent="0.25">
      <c r="E3580"/>
      <c r="M3580"/>
    </row>
    <row r="3581" spans="5:13" x14ac:dyDescent="0.25">
      <c r="E3581"/>
      <c r="M3581"/>
    </row>
    <row r="3582" spans="5:13" x14ac:dyDescent="0.25">
      <c r="E3582"/>
      <c r="M3582"/>
    </row>
    <row r="3583" spans="5:13" x14ac:dyDescent="0.25">
      <c r="E3583"/>
      <c r="M3583"/>
    </row>
    <row r="3584" spans="5:13" x14ac:dyDescent="0.25">
      <c r="E3584"/>
      <c r="M3584"/>
    </row>
    <row r="3585" spans="5:13" x14ac:dyDescent="0.25">
      <c r="E3585"/>
      <c r="M3585"/>
    </row>
    <row r="3586" spans="5:13" x14ac:dyDescent="0.25">
      <c r="E3586"/>
      <c r="M3586"/>
    </row>
    <row r="3587" spans="5:13" x14ac:dyDescent="0.25">
      <c r="E3587"/>
      <c r="M3587"/>
    </row>
    <row r="3588" spans="5:13" x14ac:dyDescent="0.25">
      <c r="E3588"/>
      <c r="M3588"/>
    </row>
    <row r="3589" spans="5:13" x14ac:dyDescent="0.25">
      <c r="E3589"/>
      <c r="M3589"/>
    </row>
    <row r="3590" spans="5:13" x14ac:dyDescent="0.25">
      <c r="E3590"/>
      <c r="M3590"/>
    </row>
    <row r="3591" spans="5:13" x14ac:dyDescent="0.25">
      <c r="E3591"/>
      <c r="M3591"/>
    </row>
    <row r="3592" spans="5:13" x14ac:dyDescent="0.25">
      <c r="E3592"/>
      <c r="M3592"/>
    </row>
    <row r="3593" spans="5:13" x14ac:dyDescent="0.25">
      <c r="E3593"/>
      <c r="M3593"/>
    </row>
    <row r="3594" spans="5:13" x14ac:dyDescent="0.25">
      <c r="E3594"/>
      <c r="M3594"/>
    </row>
    <row r="3595" spans="5:13" x14ac:dyDescent="0.25">
      <c r="E3595"/>
      <c r="M3595"/>
    </row>
    <row r="3596" spans="5:13" x14ac:dyDescent="0.25">
      <c r="E3596"/>
      <c r="M3596"/>
    </row>
    <row r="3597" spans="5:13" x14ac:dyDescent="0.25">
      <c r="E3597"/>
      <c r="M3597"/>
    </row>
    <row r="3598" spans="5:13" x14ac:dyDescent="0.25">
      <c r="E3598"/>
      <c r="M3598"/>
    </row>
    <row r="3599" spans="5:13" x14ac:dyDescent="0.25">
      <c r="E3599"/>
      <c r="M3599"/>
    </row>
    <row r="3600" spans="5:13" x14ac:dyDescent="0.25">
      <c r="E3600"/>
      <c r="M3600"/>
    </row>
    <row r="3601" spans="5:13" x14ac:dyDescent="0.25">
      <c r="E3601"/>
      <c r="M3601"/>
    </row>
    <row r="3602" spans="5:13" x14ac:dyDescent="0.25">
      <c r="E3602"/>
      <c r="M3602"/>
    </row>
    <row r="3603" spans="5:13" x14ac:dyDescent="0.25">
      <c r="E3603"/>
      <c r="M3603"/>
    </row>
    <row r="3604" spans="5:13" x14ac:dyDescent="0.25">
      <c r="E3604"/>
      <c r="M3604"/>
    </row>
    <row r="3605" spans="5:13" x14ac:dyDescent="0.25">
      <c r="E3605"/>
      <c r="M3605"/>
    </row>
    <row r="3606" spans="5:13" x14ac:dyDescent="0.25">
      <c r="E3606"/>
      <c r="M3606"/>
    </row>
    <row r="3607" spans="5:13" x14ac:dyDescent="0.25">
      <c r="E3607"/>
      <c r="M3607"/>
    </row>
    <row r="3608" spans="5:13" x14ac:dyDescent="0.25">
      <c r="E3608"/>
      <c r="M3608"/>
    </row>
    <row r="3609" spans="5:13" x14ac:dyDescent="0.25">
      <c r="E3609"/>
      <c r="M3609"/>
    </row>
    <row r="3610" spans="5:13" x14ac:dyDescent="0.25">
      <c r="E3610"/>
      <c r="M3610"/>
    </row>
    <row r="3611" spans="5:13" x14ac:dyDescent="0.25">
      <c r="E3611"/>
      <c r="M3611"/>
    </row>
    <row r="3612" spans="5:13" x14ac:dyDescent="0.25">
      <c r="E3612"/>
      <c r="M3612"/>
    </row>
    <row r="3613" spans="5:13" x14ac:dyDescent="0.25">
      <c r="E3613"/>
      <c r="M3613"/>
    </row>
    <row r="3614" spans="5:13" x14ac:dyDescent="0.25">
      <c r="E3614"/>
      <c r="M3614"/>
    </row>
    <row r="3615" spans="5:13" x14ac:dyDescent="0.25">
      <c r="E3615"/>
      <c r="M3615"/>
    </row>
    <row r="3616" spans="5:13" x14ac:dyDescent="0.25">
      <c r="E3616"/>
      <c r="M3616"/>
    </row>
    <row r="3617" spans="5:13" x14ac:dyDescent="0.25">
      <c r="E3617"/>
      <c r="M3617"/>
    </row>
    <row r="3618" spans="5:13" x14ac:dyDescent="0.25">
      <c r="E3618"/>
      <c r="M3618"/>
    </row>
    <row r="3619" spans="5:13" x14ac:dyDescent="0.25">
      <c r="E3619"/>
      <c r="M3619"/>
    </row>
    <row r="3620" spans="5:13" x14ac:dyDescent="0.25">
      <c r="E3620"/>
      <c r="M3620"/>
    </row>
    <row r="3621" spans="5:13" x14ac:dyDescent="0.25">
      <c r="E3621"/>
      <c r="M3621"/>
    </row>
    <row r="3622" spans="5:13" x14ac:dyDescent="0.25">
      <c r="E3622"/>
      <c r="M3622"/>
    </row>
    <row r="3623" spans="5:13" x14ac:dyDescent="0.25">
      <c r="E3623"/>
      <c r="M3623"/>
    </row>
    <row r="3624" spans="5:13" x14ac:dyDescent="0.25">
      <c r="E3624"/>
      <c r="M3624"/>
    </row>
    <row r="3625" spans="5:13" x14ac:dyDescent="0.25">
      <c r="E3625"/>
      <c r="M3625"/>
    </row>
    <row r="3626" spans="5:13" x14ac:dyDescent="0.25">
      <c r="E3626"/>
      <c r="M3626"/>
    </row>
    <row r="3627" spans="5:13" x14ac:dyDescent="0.25">
      <c r="E3627"/>
      <c r="M3627"/>
    </row>
    <row r="3628" spans="5:13" x14ac:dyDescent="0.25">
      <c r="E3628"/>
      <c r="M3628"/>
    </row>
    <row r="3629" spans="5:13" x14ac:dyDescent="0.25">
      <c r="E3629"/>
      <c r="M3629"/>
    </row>
    <row r="3630" spans="5:13" x14ac:dyDescent="0.25">
      <c r="E3630"/>
      <c r="M3630"/>
    </row>
    <row r="3631" spans="5:13" x14ac:dyDescent="0.25">
      <c r="E3631"/>
      <c r="M3631"/>
    </row>
    <row r="3632" spans="5:13" x14ac:dyDescent="0.25">
      <c r="E3632"/>
      <c r="M3632"/>
    </row>
    <row r="3633" spans="5:13" x14ac:dyDescent="0.25">
      <c r="E3633"/>
      <c r="M3633"/>
    </row>
    <row r="3634" spans="5:13" x14ac:dyDescent="0.25">
      <c r="E3634"/>
      <c r="M3634"/>
    </row>
    <row r="3635" spans="5:13" x14ac:dyDescent="0.25">
      <c r="E3635"/>
      <c r="M3635"/>
    </row>
    <row r="3636" spans="5:13" x14ac:dyDescent="0.25">
      <c r="E3636"/>
      <c r="M3636"/>
    </row>
    <row r="3637" spans="5:13" x14ac:dyDescent="0.25">
      <c r="E3637"/>
      <c r="M3637"/>
    </row>
    <row r="3638" spans="5:13" x14ac:dyDescent="0.25">
      <c r="E3638"/>
      <c r="M3638"/>
    </row>
    <row r="3639" spans="5:13" x14ac:dyDescent="0.25">
      <c r="E3639"/>
      <c r="M3639"/>
    </row>
    <row r="3640" spans="5:13" x14ac:dyDescent="0.25">
      <c r="E3640"/>
      <c r="M3640"/>
    </row>
    <row r="3641" spans="5:13" x14ac:dyDescent="0.25">
      <c r="E3641"/>
      <c r="M3641"/>
    </row>
    <row r="3642" spans="5:13" x14ac:dyDescent="0.25">
      <c r="E3642"/>
      <c r="M3642"/>
    </row>
    <row r="3643" spans="5:13" x14ac:dyDescent="0.25">
      <c r="E3643"/>
      <c r="M3643"/>
    </row>
    <row r="3644" spans="5:13" x14ac:dyDescent="0.25">
      <c r="E3644"/>
      <c r="M3644"/>
    </row>
    <row r="3645" spans="5:13" x14ac:dyDescent="0.25">
      <c r="E3645"/>
      <c r="M3645"/>
    </row>
    <row r="3646" spans="5:13" x14ac:dyDescent="0.25">
      <c r="E3646"/>
      <c r="M3646"/>
    </row>
    <row r="3647" spans="5:13" x14ac:dyDescent="0.25">
      <c r="E3647"/>
      <c r="M3647"/>
    </row>
    <row r="3648" spans="5:13" x14ac:dyDescent="0.25">
      <c r="E3648"/>
      <c r="M3648"/>
    </row>
    <row r="3649" spans="5:13" x14ac:dyDescent="0.25">
      <c r="E3649"/>
      <c r="M3649"/>
    </row>
    <row r="3650" spans="5:13" x14ac:dyDescent="0.25">
      <c r="E3650"/>
      <c r="M3650"/>
    </row>
    <row r="3651" spans="5:13" x14ac:dyDescent="0.25">
      <c r="E3651"/>
      <c r="M3651"/>
    </row>
    <row r="3652" spans="5:13" x14ac:dyDescent="0.25">
      <c r="E3652"/>
      <c r="M3652"/>
    </row>
    <row r="3653" spans="5:13" x14ac:dyDescent="0.25">
      <c r="E3653"/>
      <c r="M3653"/>
    </row>
    <row r="3654" spans="5:13" x14ac:dyDescent="0.25">
      <c r="E3654"/>
      <c r="M3654"/>
    </row>
    <row r="3655" spans="5:13" x14ac:dyDescent="0.25">
      <c r="E3655"/>
      <c r="M3655"/>
    </row>
    <row r="3656" spans="5:13" x14ac:dyDescent="0.25">
      <c r="E3656"/>
      <c r="M3656"/>
    </row>
    <row r="3657" spans="5:13" x14ac:dyDescent="0.25">
      <c r="E3657"/>
      <c r="M3657"/>
    </row>
    <row r="3658" spans="5:13" x14ac:dyDescent="0.25">
      <c r="E3658"/>
      <c r="M3658"/>
    </row>
    <row r="3659" spans="5:13" x14ac:dyDescent="0.25">
      <c r="E3659"/>
      <c r="M3659"/>
    </row>
    <row r="3660" spans="5:13" x14ac:dyDescent="0.25">
      <c r="E3660"/>
      <c r="M3660"/>
    </row>
    <row r="3661" spans="5:13" x14ac:dyDescent="0.25">
      <c r="E3661"/>
      <c r="M3661"/>
    </row>
    <row r="3662" spans="5:13" x14ac:dyDescent="0.25">
      <c r="E3662"/>
      <c r="M3662"/>
    </row>
    <row r="3663" spans="5:13" x14ac:dyDescent="0.25">
      <c r="E3663"/>
      <c r="M3663"/>
    </row>
    <row r="3664" spans="5:13" x14ac:dyDescent="0.25">
      <c r="E3664"/>
      <c r="M3664"/>
    </row>
    <row r="3665" spans="5:13" x14ac:dyDescent="0.25">
      <c r="E3665"/>
      <c r="M3665"/>
    </row>
    <row r="3666" spans="5:13" x14ac:dyDescent="0.25">
      <c r="E3666"/>
      <c r="M3666"/>
    </row>
    <row r="3667" spans="5:13" x14ac:dyDescent="0.25">
      <c r="E3667"/>
      <c r="M3667"/>
    </row>
    <row r="3668" spans="5:13" x14ac:dyDescent="0.25">
      <c r="E3668"/>
      <c r="M3668"/>
    </row>
    <row r="3669" spans="5:13" x14ac:dyDescent="0.25">
      <c r="E3669"/>
      <c r="M3669"/>
    </row>
    <row r="3670" spans="5:13" x14ac:dyDescent="0.25">
      <c r="E3670"/>
      <c r="M3670"/>
    </row>
    <row r="3671" spans="5:13" x14ac:dyDescent="0.25">
      <c r="E3671"/>
      <c r="M3671"/>
    </row>
    <row r="3672" spans="5:13" x14ac:dyDescent="0.25">
      <c r="E3672"/>
      <c r="M3672"/>
    </row>
    <row r="3673" spans="5:13" x14ac:dyDescent="0.25">
      <c r="E3673"/>
      <c r="M3673"/>
    </row>
    <row r="3674" spans="5:13" x14ac:dyDescent="0.25">
      <c r="E3674"/>
      <c r="M3674"/>
    </row>
    <row r="3675" spans="5:13" x14ac:dyDescent="0.25">
      <c r="E3675"/>
      <c r="M3675"/>
    </row>
    <row r="3676" spans="5:13" x14ac:dyDescent="0.25">
      <c r="E3676"/>
      <c r="M3676"/>
    </row>
    <row r="3677" spans="5:13" x14ac:dyDescent="0.25">
      <c r="E3677"/>
      <c r="M3677"/>
    </row>
    <row r="3678" spans="5:13" x14ac:dyDescent="0.25">
      <c r="E3678"/>
      <c r="M3678"/>
    </row>
    <row r="3679" spans="5:13" x14ac:dyDescent="0.25">
      <c r="E3679"/>
      <c r="M3679"/>
    </row>
    <row r="3680" spans="5:13" x14ac:dyDescent="0.25">
      <c r="E3680"/>
      <c r="M3680"/>
    </row>
    <row r="3681" spans="5:13" x14ac:dyDescent="0.25">
      <c r="E3681"/>
      <c r="M3681"/>
    </row>
    <row r="3682" spans="5:13" x14ac:dyDescent="0.25">
      <c r="E3682"/>
      <c r="M3682"/>
    </row>
    <row r="3683" spans="5:13" x14ac:dyDescent="0.25">
      <c r="E3683"/>
      <c r="M3683"/>
    </row>
    <row r="3684" spans="5:13" x14ac:dyDescent="0.25">
      <c r="E3684"/>
      <c r="M3684"/>
    </row>
    <row r="3685" spans="5:13" x14ac:dyDescent="0.25">
      <c r="E3685"/>
      <c r="M3685"/>
    </row>
    <row r="3686" spans="5:13" x14ac:dyDescent="0.25">
      <c r="E3686"/>
      <c r="M3686"/>
    </row>
    <row r="3687" spans="5:13" x14ac:dyDescent="0.25">
      <c r="E3687"/>
      <c r="M3687"/>
    </row>
    <row r="3688" spans="5:13" x14ac:dyDescent="0.25">
      <c r="E3688"/>
      <c r="M3688"/>
    </row>
    <row r="3689" spans="5:13" x14ac:dyDescent="0.25">
      <c r="E3689"/>
      <c r="M3689"/>
    </row>
    <row r="3690" spans="5:13" x14ac:dyDescent="0.25">
      <c r="E3690"/>
      <c r="M3690"/>
    </row>
    <row r="3691" spans="5:13" x14ac:dyDescent="0.25">
      <c r="E3691"/>
      <c r="M3691"/>
    </row>
    <row r="3692" spans="5:13" x14ac:dyDescent="0.25">
      <c r="E3692"/>
      <c r="M3692"/>
    </row>
    <row r="3693" spans="5:13" x14ac:dyDescent="0.25">
      <c r="E3693"/>
      <c r="M3693"/>
    </row>
    <row r="3694" spans="5:13" x14ac:dyDescent="0.25">
      <c r="E3694"/>
      <c r="M3694"/>
    </row>
    <row r="3695" spans="5:13" x14ac:dyDescent="0.25">
      <c r="E3695"/>
      <c r="M3695"/>
    </row>
    <row r="3696" spans="5:13" x14ac:dyDescent="0.25">
      <c r="E3696"/>
      <c r="M3696"/>
    </row>
    <row r="3697" spans="5:13" x14ac:dyDescent="0.25">
      <c r="E3697"/>
      <c r="M3697"/>
    </row>
    <row r="3698" spans="5:13" x14ac:dyDescent="0.25">
      <c r="E3698"/>
      <c r="M3698"/>
    </row>
    <row r="3699" spans="5:13" x14ac:dyDescent="0.25">
      <c r="E3699"/>
      <c r="M3699"/>
    </row>
    <row r="3700" spans="5:13" x14ac:dyDescent="0.25">
      <c r="E3700"/>
      <c r="M3700"/>
    </row>
    <row r="3701" spans="5:13" x14ac:dyDescent="0.25">
      <c r="E3701"/>
      <c r="M3701"/>
    </row>
    <row r="3702" spans="5:13" x14ac:dyDescent="0.25">
      <c r="E3702"/>
      <c r="M3702"/>
    </row>
    <row r="3703" spans="5:13" x14ac:dyDescent="0.25">
      <c r="E3703"/>
      <c r="M3703"/>
    </row>
    <row r="3704" spans="5:13" x14ac:dyDescent="0.25">
      <c r="E3704"/>
      <c r="M3704"/>
    </row>
    <row r="3705" spans="5:13" x14ac:dyDescent="0.25">
      <c r="E3705"/>
      <c r="M3705"/>
    </row>
    <row r="3706" spans="5:13" x14ac:dyDescent="0.25">
      <c r="E3706"/>
      <c r="M3706"/>
    </row>
    <row r="3707" spans="5:13" x14ac:dyDescent="0.25">
      <c r="E3707"/>
      <c r="M3707"/>
    </row>
    <row r="3708" spans="5:13" x14ac:dyDescent="0.25">
      <c r="E3708"/>
      <c r="M3708"/>
    </row>
    <row r="3709" spans="5:13" x14ac:dyDescent="0.25">
      <c r="E3709"/>
      <c r="M3709"/>
    </row>
    <row r="3710" spans="5:13" x14ac:dyDescent="0.25">
      <c r="E3710"/>
      <c r="M3710"/>
    </row>
    <row r="3711" spans="5:13" x14ac:dyDescent="0.25">
      <c r="E3711"/>
      <c r="M3711"/>
    </row>
    <row r="3712" spans="5:13" x14ac:dyDescent="0.25">
      <c r="E3712"/>
      <c r="M3712"/>
    </row>
    <row r="3713" spans="5:13" x14ac:dyDescent="0.25">
      <c r="E3713"/>
      <c r="M3713"/>
    </row>
    <row r="3714" spans="5:13" x14ac:dyDescent="0.25">
      <c r="E3714"/>
      <c r="M3714"/>
    </row>
    <row r="3715" spans="5:13" x14ac:dyDescent="0.25">
      <c r="E3715"/>
      <c r="M3715"/>
    </row>
    <row r="3716" spans="5:13" x14ac:dyDescent="0.25">
      <c r="E3716"/>
      <c r="M3716"/>
    </row>
    <row r="3717" spans="5:13" x14ac:dyDescent="0.25">
      <c r="E3717"/>
      <c r="M3717"/>
    </row>
    <row r="3718" spans="5:13" x14ac:dyDescent="0.25">
      <c r="E3718"/>
      <c r="M3718"/>
    </row>
    <row r="3719" spans="5:13" x14ac:dyDescent="0.25">
      <c r="E3719"/>
      <c r="M3719"/>
    </row>
    <row r="3720" spans="5:13" x14ac:dyDescent="0.25">
      <c r="E3720"/>
      <c r="M3720"/>
    </row>
    <row r="3721" spans="5:13" x14ac:dyDescent="0.25">
      <c r="E3721"/>
      <c r="M3721"/>
    </row>
    <row r="3722" spans="5:13" x14ac:dyDescent="0.25">
      <c r="E3722"/>
      <c r="M3722"/>
    </row>
    <row r="3723" spans="5:13" x14ac:dyDescent="0.25">
      <c r="E3723"/>
      <c r="M3723"/>
    </row>
    <row r="3724" spans="5:13" x14ac:dyDescent="0.25">
      <c r="E3724"/>
      <c r="M3724"/>
    </row>
    <row r="3725" spans="5:13" x14ac:dyDescent="0.25">
      <c r="E3725"/>
      <c r="M3725"/>
    </row>
    <row r="3726" spans="5:13" x14ac:dyDescent="0.25">
      <c r="E3726"/>
      <c r="M3726"/>
    </row>
    <row r="3727" spans="5:13" x14ac:dyDescent="0.25">
      <c r="E3727"/>
      <c r="M3727"/>
    </row>
    <row r="3728" spans="5:13" x14ac:dyDescent="0.25">
      <c r="E3728"/>
      <c r="M3728"/>
    </row>
    <row r="3729" spans="5:13" x14ac:dyDescent="0.25">
      <c r="E3729"/>
      <c r="M3729"/>
    </row>
    <row r="3730" spans="5:13" x14ac:dyDescent="0.25">
      <c r="E3730"/>
      <c r="M3730"/>
    </row>
    <row r="3731" spans="5:13" x14ac:dyDescent="0.25">
      <c r="E3731"/>
      <c r="M3731"/>
    </row>
    <row r="3732" spans="5:13" x14ac:dyDescent="0.25">
      <c r="E3732"/>
      <c r="M3732"/>
    </row>
    <row r="3733" spans="5:13" x14ac:dyDescent="0.25">
      <c r="E3733"/>
      <c r="M3733"/>
    </row>
    <row r="3734" spans="5:13" x14ac:dyDescent="0.25">
      <c r="E3734"/>
      <c r="M3734"/>
    </row>
    <row r="3735" spans="5:13" x14ac:dyDescent="0.25">
      <c r="E3735"/>
      <c r="M3735"/>
    </row>
    <row r="3736" spans="5:13" x14ac:dyDescent="0.25">
      <c r="E3736"/>
      <c r="M3736"/>
    </row>
    <row r="3737" spans="5:13" x14ac:dyDescent="0.25">
      <c r="E3737"/>
      <c r="M3737"/>
    </row>
    <row r="3738" spans="5:13" x14ac:dyDescent="0.25">
      <c r="E3738"/>
      <c r="M3738"/>
    </row>
    <row r="3739" spans="5:13" x14ac:dyDescent="0.25">
      <c r="E3739"/>
      <c r="M3739"/>
    </row>
    <row r="3740" spans="5:13" x14ac:dyDescent="0.25">
      <c r="E3740"/>
      <c r="M3740"/>
    </row>
    <row r="3741" spans="5:13" x14ac:dyDescent="0.25">
      <c r="E3741"/>
      <c r="M3741"/>
    </row>
    <row r="3742" spans="5:13" x14ac:dyDescent="0.25">
      <c r="E3742"/>
      <c r="M3742"/>
    </row>
    <row r="3743" spans="5:13" x14ac:dyDescent="0.25">
      <c r="E3743"/>
      <c r="M3743"/>
    </row>
    <row r="3744" spans="5:13" x14ac:dyDescent="0.25">
      <c r="E3744"/>
      <c r="M3744"/>
    </row>
    <row r="3745" spans="5:13" x14ac:dyDescent="0.25">
      <c r="E3745"/>
      <c r="M3745"/>
    </row>
    <row r="3746" spans="5:13" x14ac:dyDescent="0.25">
      <c r="E3746"/>
      <c r="M3746"/>
    </row>
    <row r="3747" spans="5:13" x14ac:dyDescent="0.25">
      <c r="E3747"/>
      <c r="M3747"/>
    </row>
    <row r="3748" spans="5:13" x14ac:dyDescent="0.25">
      <c r="E3748"/>
      <c r="M3748"/>
    </row>
    <row r="3749" spans="5:13" x14ac:dyDescent="0.25">
      <c r="E3749"/>
      <c r="M3749"/>
    </row>
    <row r="3750" spans="5:13" x14ac:dyDescent="0.25">
      <c r="E3750"/>
      <c r="M3750"/>
    </row>
    <row r="3751" spans="5:13" x14ac:dyDescent="0.25">
      <c r="E3751"/>
      <c r="M3751"/>
    </row>
    <row r="3752" spans="5:13" x14ac:dyDescent="0.25">
      <c r="E3752"/>
      <c r="M3752"/>
    </row>
    <row r="3753" spans="5:13" x14ac:dyDescent="0.25">
      <c r="E3753"/>
      <c r="M3753"/>
    </row>
    <row r="3754" spans="5:13" x14ac:dyDescent="0.25">
      <c r="E3754"/>
      <c r="M3754"/>
    </row>
    <row r="3755" spans="5:13" x14ac:dyDescent="0.25">
      <c r="E3755"/>
      <c r="M3755"/>
    </row>
    <row r="3756" spans="5:13" x14ac:dyDescent="0.25">
      <c r="E3756"/>
      <c r="M3756"/>
    </row>
    <row r="3757" spans="5:13" x14ac:dyDescent="0.25">
      <c r="E3757"/>
      <c r="M3757"/>
    </row>
    <row r="3758" spans="5:13" x14ac:dyDescent="0.25">
      <c r="E3758"/>
      <c r="M3758"/>
    </row>
    <row r="3759" spans="5:13" x14ac:dyDescent="0.25">
      <c r="E3759"/>
      <c r="M3759"/>
    </row>
    <row r="3760" spans="5:13" x14ac:dyDescent="0.25">
      <c r="E3760"/>
      <c r="M3760"/>
    </row>
    <row r="3761" spans="5:13" x14ac:dyDescent="0.25">
      <c r="E3761"/>
      <c r="M3761"/>
    </row>
    <row r="3762" spans="5:13" x14ac:dyDescent="0.25">
      <c r="E3762"/>
      <c r="M3762"/>
    </row>
    <row r="3763" spans="5:13" x14ac:dyDescent="0.25">
      <c r="E3763"/>
      <c r="M3763"/>
    </row>
    <row r="3764" spans="5:13" x14ac:dyDescent="0.25">
      <c r="E3764"/>
      <c r="M3764"/>
    </row>
    <row r="3765" spans="5:13" x14ac:dyDescent="0.25">
      <c r="E3765"/>
      <c r="M3765"/>
    </row>
    <row r="3766" spans="5:13" x14ac:dyDescent="0.25">
      <c r="E3766"/>
      <c r="M3766"/>
    </row>
    <row r="3767" spans="5:13" x14ac:dyDescent="0.25">
      <c r="E3767"/>
      <c r="M3767"/>
    </row>
    <row r="3768" spans="5:13" x14ac:dyDescent="0.25">
      <c r="E3768"/>
      <c r="M3768"/>
    </row>
    <row r="3769" spans="5:13" x14ac:dyDescent="0.25">
      <c r="E3769"/>
      <c r="M3769"/>
    </row>
    <row r="3770" spans="5:13" x14ac:dyDescent="0.25">
      <c r="E3770"/>
      <c r="M3770"/>
    </row>
    <row r="3771" spans="5:13" x14ac:dyDescent="0.25">
      <c r="E3771"/>
      <c r="M3771"/>
    </row>
    <row r="3772" spans="5:13" x14ac:dyDescent="0.25">
      <c r="E3772"/>
      <c r="M3772"/>
    </row>
    <row r="3773" spans="5:13" x14ac:dyDescent="0.25">
      <c r="E3773"/>
      <c r="M3773"/>
    </row>
    <row r="3774" spans="5:13" x14ac:dyDescent="0.25">
      <c r="E3774"/>
      <c r="M3774"/>
    </row>
    <row r="3775" spans="5:13" x14ac:dyDescent="0.25">
      <c r="E3775"/>
      <c r="M3775"/>
    </row>
    <row r="3776" spans="5:13" x14ac:dyDescent="0.25">
      <c r="E3776"/>
      <c r="M3776"/>
    </row>
    <row r="3777" spans="5:13" x14ac:dyDescent="0.25">
      <c r="E3777"/>
      <c r="M3777"/>
    </row>
    <row r="3778" spans="5:13" x14ac:dyDescent="0.25">
      <c r="E3778"/>
      <c r="M3778"/>
    </row>
    <row r="3779" spans="5:13" x14ac:dyDescent="0.25">
      <c r="E3779"/>
      <c r="M3779"/>
    </row>
    <row r="3780" spans="5:13" x14ac:dyDescent="0.25">
      <c r="E3780"/>
      <c r="M3780"/>
    </row>
    <row r="3781" spans="5:13" x14ac:dyDescent="0.25">
      <c r="E3781"/>
      <c r="M3781"/>
    </row>
    <row r="3782" spans="5:13" x14ac:dyDescent="0.25">
      <c r="E3782"/>
      <c r="M3782"/>
    </row>
    <row r="3783" spans="5:13" x14ac:dyDescent="0.25">
      <c r="E3783"/>
      <c r="M3783"/>
    </row>
    <row r="3784" spans="5:13" x14ac:dyDescent="0.25">
      <c r="E3784"/>
      <c r="M3784"/>
    </row>
    <row r="3785" spans="5:13" x14ac:dyDescent="0.25">
      <c r="E3785"/>
      <c r="M3785"/>
    </row>
    <row r="3786" spans="5:13" x14ac:dyDescent="0.25">
      <c r="E3786"/>
      <c r="M3786"/>
    </row>
    <row r="3787" spans="5:13" x14ac:dyDescent="0.25">
      <c r="E3787"/>
      <c r="M3787"/>
    </row>
    <row r="3788" spans="5:13" x14ac:dyDescent="0.25">
      <c r="E3788"/>
      <c r="M3788"/>
    </row>
    <row r="3789" spans="5:13" x14ac:dyDescent="0.25">
      <c r="E3789"/>
      <c r="M3789"/>
    </row>
    <row r="3790" spans="5:13" x14ac:dyDescent="0.25">
      <c r="E3790"/>
      <c r="M3790"/>
    </row>
    <row r="3791" spans="5:13" x14ac:dyDescent="0.25">
      <c r="E3791"/>
      <c r="M3791"/>
    </row>
    <row r="3792" spans="5:13" x14ac:dyDescent="0.25">
      <c r="E3792"/>
      <c r="M3792"/>
    </row>
    <row r="3793" spans="5:13" x14ac:dyDescent="0.25">
      <c r="E3793"/>
      <c r="M3793"/>
    </row>
    <row r="3794" spans="5:13" x14ac:dyDescent="0.25">
      <c r="E3794"/>
      <c r="M3794"/>
    </row>
    <row r="3795" spans="5:13" x14ac:dyDescent="0.25">
      <c r="E3795"/>
      <c r="M3795"/>
    </row>
    <row r="3796" spans="5:13" x14ac:dyDescent="0.25">
      <c r="E3796"/>
      <c r="M3796"/>
    </row>
    <row r="3797" spans="5:13" x14ac:dyDescent="0.25">
      <c r="E3797"/>
      <c r="M3797"/>
    </row>
    <row r="3798" spans="5:13" x14ac:dyDescent="0.25">
      <c r="E3798"/>
      <c r="M3798"/>
    </row>
    <row r="3799" spans="5:13" x14ac:dyDescent="0.25">
      <c r="E3799"/>
      <c r="M3799"/>
    </row>
    <row r="3800" spans="5:13" x14ac:dyDescent="0.25">
      <c r="E3800"/>
      <c r="M3800"/>
    </row>
    <row r="3801" spans="5:13" x14ac:dyDescent="0.25">
      <c r="E3801"/>
      <c r="M3801"/>
    </row>
    <row r="3802" spans="5:13" x14ac:dyDescent="0.25">
      <c r="E3802"/>
      <c r="M3802"/>
    </row>
    <row r="3803" spans="5:13" x14ac:dyDescent="0.25">
      <c r="E3803"/>
      <c r="M3803"/>
    </row>
    <row r="3804" spans="5:13" x14ac:dyDescent="0.25">
      <c r="E3804"/>
      <c r="M3804"/>
    </row>
    <row r="3805" spans="5:13" x14ac:dyDescent="0.25">
      <c r="E3805"/>
      <c r="M3805"/>
    </row>
    <row r="3806" spans="5:13" x14ac:dyDescent="0.25">
      <c r="E3806"/>
      <c r="M3806"/>
    </row>
    <row r="3807" spans="5:13" x14ac:dyDescent="0.25">
      <c r="E3807"/>
      <c r="M3807"/>
    </row>
    <row r="3808" spans="5:13" x14ac:dyDescent="0.25">
      <c r="E3808"/>
      <c r="M3808"/>
    </row>
    <row r="3809" spans="5:13" x14ac:dyDescent="0.25">
      <c r="E3809"/>
      <c r="M3809"/>
    </row>
    <row r="3810" spans="5:13" x14ac:dyDescent="0.25">
      <c r="E3810"/>
      <c r="M3810"/>
    </row>
    <row r="3811" spans="5:13" x14ac:dyDescent="0.25">
      <c r="E3811"/>
      <c r="M3811"/>
    </row>
    <row r="3812" spans="5:13" x14ac:dyDescent="0.25">
      <c r="E3812"/>
      <c r="M3812"/>
    </row>
    <row r="3813" spans="5:13" x14ac:dyDescent="0.25">
      <c r="E3813"/>
      <c r="M3813"/>
    </row>
    <row r="3814" spans="5:13" x14ac:dyDescent="0.25">
      <c r="E3814"/>
      <c r="M3814"/>
    </row>
    <row r="3815" spans="5:13" x14ac:dyDescent="0.25">
      <c r="E3815"/>
      <c r="M3815"/>
    </row>
    <row r="3816" spans="5:13" x14ac:dyDescent="0.25">
      <c r="E3816"/>
      <c r="M3816"/>
    </row>
    <row r="3817" spans="5:13" x14ac:dyDescent="0.25">
      <c r="E3817"/>
      <c r="M3817"/>
    </row>
    <row r="3818" spans="5:13" x14ac:dyDescent="0.25">
      <c r="E3818"/>
      <c r="M3818"/>
    </row>
    <row r="3819" spans="5:13" x14ac:dyDescent="0.25">
      <c r="E3819"/>
      <c r="M3819"/>
    </row>
    <row r="3820" spans="5:13" x14ac:dyDescent="0.25">
      <c r="E3820"/>
      <c r="M3820"/>
    </row>
    <row r="3821" spans="5:13" x14ac:dyDescent="0.25">
      <c r="E3821"/>
      <c r="M3821"/>
    </row>
    <row r="3822" spans="5:13" x14ac:dyDescent="0.25">
      <c r="E3822"/>
      <c r="M3822"/>
    </row>
    <row r="3823" spans="5:13" x14ac:dyDescent="0.25">
      <c r="E3823"/>
      <c r="M3823"/>
    </row>
    <row r="3824" spans="5:13" x14ac:dyDescent="0.25">
      <c r="E3824"/>
      <c r="M3824"/>
    </row>
    <row r="3825" spans="5:13" x14ac:dyDescent="0.25">
      <c r="E3825"/>
      <c r="M3825"/>
    </row>
    <row r="3826" spans="5:13" x14ac:dyDescent="0.25">
      <c r="E3826"/>
      <c r="M3826"/>
    </row>
    <row r="3827" spans="5:13" x14ac:dyDescent="0.25">
      <c r="E3827"/>
      <c r="M3827"/>
    </row>
    <row r="3828" spans="5:13" x14ac:dyDescent="0.25">
      <c r="E3828"/>
      <c r="M3828"/>
    </row>
    <row r="3829" spans="5:13" x14ac:dyDescent="0.25">
      <c r="E3829"/>
      <c r="M3829"/>
    </row>
    <row r="3830" spans="5:13" x14ac:dyDescent="0.25">
      <c r="E3830"/>
      <c r="M3830"/>
    </row>
    <row r="3831" spans="5:13" x14ac:dyDescent="0.25">
      <c r="E3831"/>
      <c r="M3831"/>
    </row>
    <row r="3832" spans="5:13" x14ac:dyDescent="0.25">
      <c r="E3832"/>
      <c r="M3832"/>
    </row>
    <row r="3833" spans="5:13" x14ac:dyDescent="0.25">
      <c r="E3833"/>
      <c r="M3833"/>
    </row>
    <row r="3834" spans="5:13" x14ac:dyDescent="0.25">
      <c r="E3834"/>
      <c r="M3834"/>
    </row>
    <row r="3835" spans="5:13" x14ac:dyDescent="0.25">
      <c r="E3835"/>
      <c r="M3835"/>
    </row>
    <row r="3836" spans="5:13" x14ac:dyDescent="0.25">
      <c r="E3836"/>
      <c r="M3836"/>
    </row>
    <row r="3837" spans="5:13" x14ac:dyDescent="0.25">
      <c r="E3837"/>
      <c r="M3837"/>
    </row>
    <row r="3838" spans="5:13" x14ac:dyDescent="0.25">
      <c r="E3838"/>
      <c r="M3838"/>
    </row>
    <row r="3839" spans="5:13" x14ac:dyDescent="0.25">
      <c r="E3839"/>
      <c r="M3839"/>
    </row>
    <row r="3840" spans="5:13" x14ac:dyDescent="0.25">
      <c r="E3840"/>
      <c r="M3840"/>
    </row>
    <row r="3841" spans="5:13" x14ac:dyDescent="0.25">
      <c r="E3841"/>
      <c r="M3841"/>
    </row>
    <row r="3842" spans="5:13" x14ac:dyDescent="0.25">
      <c r="E3842"/>
      <c r="M3842"/>
    </row>
    <row r="3843" spans="5:13" x14ac:dyDescent="0.25">
      <c r="E3843"/>
      <c r="M3843"/>
    </row>
    <row r="3844" spans="5:13" x14ac:dyDescent="0.25">
      <c r="E3844"/>
      <c r="M3844"/>
    </row>
    <row r="3845" spans="5:13" x14ac:dyDescent="0.25">
      <c r="E3845"/>
      <c r="M3845"/>
    </row>
    <row r="3846" spans="5:13" x14ac:dyDescent="0.25">
      <c r="E3846"/>
      <c r="M3846"/>
    </row>
    <row r="3847" spans="5:13" x14ac:dyDescent="0.25">
      <c r="E3847"/>
      <c r="M3847"/>
    </row>
    <row r="3848" spans="5:13" x14ac:dyDescent="0.25">
      <c r="E3848"/>
      <c r="M3848"/>
    </row>
    <row r="3849" spans="5:13" x14ac:dyDescent="0.25">
      <c r="E3849"/>
      <c r="M3849"/>
    </row>
    <row r="3850" spans="5:13" x14ac:dyDescent="0.25">
      <c r="E3850"/>
      <c r="M3850"/>
    </row>
    <row r="3851" spans="5:13" x14ac:dyDescent="0.25">
      <c r="E3851"/>
      <c r="M3851"/>
    </row>
    <row r="3852" spans="5:13" x14ac:dyDescent="0.25">
      <c r="E3852"/>
      <c r="M3852"/>
    </row>
    <row r="3853" spans="5:13" x14ac:dyDescent="0.25">
      <c r="E3853"/>
      <c r="M3853"/>
    </row>
    <row r="3854" spans="5:13" x14ac:dyDescent="0.25">
      <c r="E3854"/>
      <c r="M3854"/>
    </row>
    <row r="3855" spans="5:13" x14ac:dyDescent="0.25">
      <c r="E3855"/>
      <c r="M3855"/>
    </row>
    <row r="3856" spans="5:13" x14ac:dyDescent="0.25">
      <c r="E3856"/>
      <c r="M3856"/>
    </row>
    <row r="3857" spans="5:13" x14ac:dyDescent="0.25">
      <c r="E3857"/>
      <c r="M3857"/>
    </row>
    <row r="3858" spans="5:13" x14ac:dyDescent="0.25">
      <c r="E3858"/>
      <c r="M3858"/>
    </row>
    <row r="3859" spans="5:13" x14ac:dyDescent="0.25">
      <c r="E3859"/>
      <c r="M3859"/>
    </row>
    <row r="3860" spans="5:13" x14ac:dyDescent="0.25">
      <c r="E3860"/>
      <c r="M3860"/>
    </row>
    <row r="3861" spans="5:13" x14ac:dyDescent="0.25">
      <c r="E3861"/>
      <c r="M3861"/>
    </row>
    <row r="3862" spans="5:13" x14ac:dyDescent="0.25">
      <c r="E3862"/>
      <c r="M3862"/>
    </row>
    <row r="3863" spans="5:13" x14ac:dyDescent="0.25">
      <c r="E3863"/>
      <c r="M3863"/>
    </row>
    <row r="3864" spans="5:13" x14ac:dyDescent="0.25">
      <c r="E3864"/>
      <c r="M3864"/>
    </row>
    <row r="3865" spans="5:13" x14ac:dyDescent="0.25">
      <c r="E3865"/>
      <c r="M3865"/>
    </row>
    <row r="3866" spans="5:13" x14ac:dyDescent="0.25">
      <c r="E3866"/>
      <c r="M3866"/>
    </row>
    <row r="3867" spans="5:13" x14ac:dyDescent="0.25">
      <c r="E3867"/>
      <c r="M3867"/>
    </row>
    <row r="3868" spans="5:13" x14ac:dyDescent="0.25">
      <c r="E3868"/>
      <c r="M3868"/>
    </row>
    <row r="3869" spans="5:13" x14ac:dyDescent="0.25">
      <c r="E3869"/>
      <c r="M3869"/>
    </row>
    <row r="3870" spans="5:13" x14ac:dyDescent="0.25">
      <c r="E3870"/>
      <c r="M3870"/>
    </row>
    <row r="3871" spans="5:13" x14ac:dyDescent="0.25">
      <c r="E3871"/>
      <c r="M3871"/>
    </row>
    <row r="3872" spans="5:13" x14ac:dyDescent="0.25">
      <c r="E3872"/>
      <c r="M3872"/>
    </row>
    <row r="3873" spans="5:13" x14ac:dyDescent="0.25">
      <c r="E3873"/>
      <c r="M3873"/>
    </row>
    <row r="3874" spans="5:13" x14ac:dyDescent="0.25">
      <c r="E3874"/>
      <c r="M3874"/>
    </row>
    <row r="3875" spans="5:13" x14ac:dyDescent="0.25">
      <c r="E3875"/>
      <c r="M3875"/>
    </row>
    <row r="3876" spans="5:13" x14ac:dyDescent="0.25">
      <c r="E3876"/>
      <c r="M3876"/>
    </row>
    <row r="3877" spans="5:13" x14ac:dyDescent="0.25">
      <c r="E3877"/>
      <c r="M3877"/>
    </row>
    <row r="3878" spans="5:13" x14ac:dyDescent="0.25">
      <c r="E3878"/>
      <c r="M3878"/>
    </row>
    <row r="3879" spans="5:13" x14ac:dyDescent="0.25">
      <c r="E3879"/>
      <c r="M3879"/>
    </row>
    <row r="3880" spans="5:13" x14ac:dyDescent="0.25">
      <c r="E3880"/>
      <c r="M3880"/>
    </row>
    <row r="3881" spans="5:13" x14ac:dyDescent="0.25">
      <c r="E3881"/>
      <c r="M3881"/>
    </row>
    <row r="3882" spans="5:13" x14ac:dyDescent="0.25">
      <c r="E3882"/>
      <c r="M3882"/>
    </row>
    <row r="3883" spans="5:13" x14ac:dyDescent="0.25">
      <c r="E3883"/>
      <c r="M3883"/>
    </row>
    <row r="3884" spans="5:13" x14ac:dyDescent="0.25">
      <c r="E3884"/>
      <c r="M3884"/>
    </row>
    <row r="3885" spans="5:13" x14ac:dyDescent="0.25">
      <c r="E3885"/>
      <c r="M3885"/>
    </row>
    <row r="3886" spans="5:13" x14ac:dyDescent="0.25">
      <c r="E3886"/>
      <c r="M3886"/>
    </row>
    <row r="3887" spans="5:13" x14ac:dyDescent="0.25">
      <c r="E3887"/>
      <c r="M3887"/>
    </row>
    <row r="3888" spans="5:13" x14ac:dyDescent="0.25">
      <c r="E3888"/>
      <c r="M3888"/>
    </row>
    <row r="3889" spans="5:13" x14ac:dyDescent="0.25">
      <c r="E3889"/>
      <c r="M3889"/>
    </row>
    <row r="3890" spans="5:13" x14ac:dyDescent="0.25">
      <c r="E3890"/>
      <c r="M3890"/>
    </row>
    <row r="3891" spans="5:13" x14ac:dyDescent="0.25">
      <c r="E3891"/>
      <c r="M3891"/>
    </row>
    <row r="3892" spans="5:13" x14ac:dyDescent="0.25">
      <c r="E3892"/>
      <c r="M3892"/>
    </row>
    <row r="3893" spans="5:13" x14ac:dyDescent="0.25">
      <c r="E3893"/>
      <c r="M3893"/>
    </row>
    <row r="3894" spans="5:13" x14ac:dyDescent="0.25">
      <c r="E3894"/>
      <c r="M3894"/>
    </row>
    <row r="3895" spans="5:13" x14ac:dyDescent="0.25">
      <c r="E3895"/>
      <c r="M3895"/>
    </row>
    <row r="3896" spans="5:13" x14ac:dyDescent="0.25">
      <c r="E3896"/>
      <c r="M3896"/>
    </row>
    <row r="3897" spans="5:13" x14ac:dyDescent="0.25">
      <c r="E3897"/>
      <c r="M3897"/>
    </row>
    <row r="3898" spans="5:13" x14ac:dyDescent="0.25">
      <c r="E3898"/>
      <c r="M3898"/>
    </row>
    <row r="3899" spans="5:13" x14ac:dyDescent="0.25">
      <c r="E3899"/>
      <c r="M3899"/>
    </row>
    <row r="3900" spans="5:13" x14ac:dyDescent="0.25">
      <c r="E3900"/>
      <c r="M3900"/>
    </row>
    <row r="3901" spans="5:13" x14ac:dyDescent="0.25">
      <c r="E3901"/>
      <c r="M3901"/>
    </row>
    <row r="3902" spans="5:13" x14ac:dyDescent="0.25">
      <c r="E3902"/>
      <c r="M3902"/>
    </row>
    <row r="3903" spans="5:13" x14ac:dyDescent="0.25">
      <c r="E3903"/>
      <c r="M3903"/>
    </row>
    <row r="3904" spans="5:13" x14ac:dyDescent="0.25">
      <c r="E3904"/>
      <c r="M3904"/>
    </row>
    <row r="3905" spans="5:13" x14ac:dyDescent="0.25">
      <c r="E3905"/>
      <c r="M3905"/>
    </row>
    <row r="3906" spans="5:13" x14ac:dyDescent="0.25">
      <c r="E3906"/>
      <c r="M3906"/>
    </row>
    <row r="3907" spans="5:13" x14ac:dyDescent="0.25">
      <c r="E3907"/>
      <c r="M3907"/>
    </row>
    <row r="3908" spans="5:13" x14ac:dyDescent="0.25">
      <c r="E3908"/>
      <c r="M3908"/>
    </row>
    <row r="3909" spans="5:13" x14ac:dyDescent="0.25">
      <c r="E3909"/>
      <c r="M3909"/>
    </row>
    <row r="3910" spans="5:13" x14ac:dyDescent="0.25">
      <c r="E3910"/>
      <c r="M3910"/>
    </row>
    <row r="3911" spans="5:13" x14ac:dyDescent="0.25">
      <c r="E3911"/>
      <c r="M3911"/>
    </row>
    <row r="3912" spans="5:13" x14ac:dyDescent="0.25">
      <c r="E3912"/>
      <c r="M3912"/>
    </row>
    <row r="3913" spans="5:13" x14ac:dyDescent="0.25">
      <c r="E3913"/>
      <c r="M3913"/>
    </row>
    <row r="3914" spans="5:13" x14ac:dyDescent="0.25">
      <c r="E3914"/>
      <c r="M3914"/>
    </row>
    <row r="3915" spans="5:13" x14ac:dyDescent="0.25">
      <c r="E3915"/>
      <c r="M3915"/>
    </row>
    <row r="3916" spans="5:13" x14ac:dyDescent="0.25">
      <c r="E3916"/>
      <c r="M3916"/>
    </row>
    <row r="3917" spans="5:13" x14ac:dyDescent="0.25">
      <c r="E3917"/>
      <c r="M3917"/>
    </row>
    <row r="3918" spans="5:13" x14ac:dyDescent="0.25">
      <c r="E3918"/>
      <c r="M3918"/>
    </row>
    <row r="3919" spans="5:13" x14ac:dyDescent="0.25">
      <c r="E3919"/>
      <c r="M3919"/>
    </row>
    <row r="3920" spans="5:13" x14ac:dyDescent="0.25">
      <c r="E3920"/>
      <c r="M3920"/>
    </row>
    <row r="3921" spans="5:13" x14ac:dyDescent="0.25">
      <c r="E3921"/>
      <c r="M3921"/>
    </row>
    <row r="3922" spans="5:13" x14ac:dyDescent="0.25">
      <c r="E3922"/>
      <c r="M3922"/>
    </row>
    <row r="3923" spans="5:13" x14ac:dyDescent="0.25">
      <c r="E3923"/>
      <c r="M3923"/>
    </row>
    <row r="3924" spans="5:13" x14ac:dyDescent="0.25">
      <c r="E3924"/>
      <c r="M3924"/>
    </row>
    <row r="3925" spans="5:13" x14ac:dyDescent="0.25">
      <c r="E3925"/>
      <c r="M3925"/>
    </row>
    <row r="3926" spans="5:13" x14ac:dyDescent="0.25">
      <c r="E3926"/>
      <c r="M3926"/>
    </row>
    <row r="3927" spans="5:13" x14ac:dyDescent="0.25">
      <c r="E3927"/>
      <c r="M3927"/>
    </row>
    <row r="3928" spans="5:13" x14ac:dyDescent="0.25">
      <c r="E3928"/>
      <c r="M3928"/>
    </row>
    <row r="3929" spans="5:13" x14ac:dyDescent="0.25">
      <c r="E3929"/>
      <c r="M3929"/>
    </row>
    <row r="3930" spans="5:13" x14ac:dyDescent="0.25">
      <c r="E3930"/>
      <c r="M3930"/>
    </row>
    <row r="3931" spans="5:13" x14ac:dyDescent="0.25">
      <c r="E3931"/>
      <c r="M3931"/>
    </row>
    <row r="3932" spans="5:13" x14ac:dyDescent="0.25">
      <c r="E3932"/>
      <c r="M3932"/>
    </row>
    <row r="3933" spans="5:13" x14ac:dyDescent="0.25">
      <c r="E3933"/>
      <c r="M3933"/>
    </row>
    <row r="3934" spans="5:13" x14ac:dyDescent="0.25">
      <c r="E3934"/>
      <c r="M3934"/>
    </row>
    <row r="3935" spans="5:13" x14ac:dyDescent="0.25">
      <c r="E3935"/>
      <c r="M3935"/>
    </row>
    <row r="3936" spans="5:13" x14ac:dyDescent="0.25">
      <c r="E3936"/>
      <c r="M3936"/>
    </row>
    <row r="3937" spans="5:13" x14ac:dyDescent="0.25">
      <c r="E3937"/>
      <c r="M3937"/>
    </row>
    <row r="3938" spans="5:13" x14ac:dyDescent="0.25">
      <c r="E3938"/>
      <c r="M3938"/>
    </row>
    <row r="3939" spans="5:13" x14ac:dyDescent="0.25">
      <c r="E3939"/>
      <c r="M3939"/>
    </row>
    <row r="3940" spans="5:13" x14ac:dyDescent="0.25">
      <c r="E3940"/>
      <c r="M3940"/>
    </row>
    <row r="3941" spans="5:13" x14ac:dyDescent="0.25">
      <c r="E3941"/>
      <c r="M3941"/>
    </row>
    <row r="3942" spans="5:13" x14ac:dyDescent="0.25">
      <c r="E3942"/>
      <c r="M3942"/>
    </row>
    <row r="3943" spans="5:13" x14ac:dyDescent="0.25">
      <c r="E3943"/>
      <c r="M3943"/>
    </row>
    <row r="3944" spans="5:13" x14ac:dyDescent="0.25">
      <c r="E3944"/>
      <c r="M3944"/>
    </row>
    <row r="3945" spans="5:13" x14ac:dyDescent="0.25">
      <c r="E3945"/>
      <c r="M3945"/>
    </row>
    <row r="3946" spans="5:13" x14ac:dyDescent="0.25">
      <c r="E3946"/>
      <c r="M3946"/>
    </row>
    <row r="3947" spans="5:13" x14ac:dyDescent="0.25">
      <c r="E3947"/>
      <c r="M3947"/>
    </row>
    <row r="3948" spans="5:13" x14ac:dyDescent="0.25">
      <c r="E3948"/>
      <c r="M3948"/>
    </row>
    <row r="3949" spans="5:13" x14ac:dyDescent="0.25">
      <c r="E3949"/>
      <c r="M3949"/>
    </row>
    <row r="3950" spans="5:13" x14ac:dyDescent="0.25">
      <c r="E3950"/>
      <c r="M3950"/>
    </row>
    <row r="3951" spans="5:13" x14ac:dyDescent="0.25">
      <c r="E3951"/>
      <c r="M3951"/>
    </row>
    <row r="3952" spans="5:13" x14ac:dyDescent="0.25">
      <c r="E3952"/>
      <c r="M3952"/>
    </row>
    <row r="3953" spans="5:13" x14ac:dyDescent="0.25">
      <c r="E3953"/>
      <c r="M3953"/>
    </row>
    <row r="3954" spans="5:13" x14ac:dyDescent="0.25">
      <c r="E3954"/>
      <c r="M3954"/>
    </row>
    <row r="3955" spans="5:13" x14ac:dyDescent="0.25">
      <c r="E3955"/>
      <c r="M3955"/>
    </row>
    <row r="3956" spans="5:13" x14ac:dyDescent="0.25">
      <c r="E3956"/>
      <c r="M3956"/>
    </row>
    <row r="3957" spans="5:13" x14ac:dyDescent="0.25">
      <c r="E3957"/>
      <c r="M3957"/>
    </row>
    <row r="3958" spans="5:13" x14ac:dyDescent="0.25">
      <c r="E3958"/>
      <c r="M3958"/>
    </row>
    <row r="3959" spans="5:13" x14ac:dyDescent="0.25">
      <c r="E3959"/>
      <c r="M3959"/>
    </row>
    <row r="3960" spans="5:13" x14ac:dyDescent="0.25">
      <c r="E3960"/>
      <c r="M3960"/>
    </row>
    <row r="3961" spans="5:13" x14ac:dyDescent="0.25">
      <c r="E3961"/>
      <c r="M3961"/>
    </row>
    <row r="3962" spans="5:13" x14ac:dyDescent="0.25">
      <c r="E3962"/>
      <c r="M3962"/>
    </row>
    <row r="3963" spans="5:13" x14ac:dyDescent="0.25">
      <c r="E3963"/>
      <c r="M3963"/>
    </row>
    <row r="3964" spans="5:13" x14ac:dyDescent="0.25">
      <c r="E3964"/>
      <c r="M3964"/>
    </row>
    <row r="3965" spans="5:13" x14ac:dyDescent="0.25">
      <c r="E3965"/>
      <c r="M3965"/>
    </row>
    <row r="3966" spans="5:13" x14ac:dyDescent="0.25">
      <c r="E3966"/>
      <c r="M3966"/>
    </row>
    <row r="3967" spans="5:13" x14ac:dyDescent="0.25">
      <c r="E3967"/>
      <c r="M3967"/>
    </row>
    <row r="3968" spans="5:13" x14ac:dyDescent="0.25">
      <c r="E3968"/>
      <c r="M3968"/>
    </row>
    <row r="3969" spans="5:13" x14ac:dyDescent="0.25">
      <c r="E3969"/>
      <c r="M3969"/>
    </row>
    <row r="3970" spans="5:13" x14ac:dyDescent="0.25">
      <c r="E3970"/>
      <c r="M3970"/>
    </row>
    <row r="3971" spans="5:13" x14ac:dyDescent="0.25">
      <c r="E3971"/>
      <c r="M3971"/>
    </row>
    <row r="3972" spans="5:13" x14ac:dyDescent="0.25">
      <c r="E3972"/>
      <c r="M3972"/>
    </row>
    <row r="3973" spans="5:13" x14ac:dyDescent="0.25">
      <c r="E3973"/>
      <c r="M3973"/>
    </row>
    <row r="3974" spans="5:13" x14ac:dyDescent="0.25">
      <c r="E3974"/>
      <c r="M3974"/>
    </row>
    <row r="3975" spans="5:13" x14ac:dyDescent="0.25">
      <c r="E3975"/>
      <c r="M3975"/>
    </row>
    <row r="3976" spans="5:13" x14ac:dyDescent="0.25">
      <c r="E3976"/>
      <c r="M3976"/>
    </row>
    <row r="3977" spans="5:13" x14ac:dyDescent="0.25">
      <c r="E3977"/>
      <c r="M3977"/>
    </row>
    <row r="3978" spans="5:13" x14ac:dyDescent="0.25">
      <c r="E3978"/>
      <c r="M3978"/>
    </row>
    <row r="3979" spans="5:13" x14ac:dyDescent="0.25">
      <c r="E3979"/>
      <c r="M3979"/>
    </row>
    <row r="3980" spans="5:13" x14ac:dyDescent="0.25">
      <c r="E3980"/>
      <c r="M3980"/>
    </row>
    <row r="3981" spans="5:13" x14ac:dyDescent="0.25">
      <c r="E3981"/>
      <c r="M3981"/>
    </row>
    <row r="3982" spans="5:13" x14ac:dyDescent="0.25">
      <c r="E3982"/>
      <c r="M3982"/>
    </row>
    <row r="3983" spans="5:13" x14ac:dyDescent="0.25">
      <c r="E3983"/>
      <c r="M3983"/>
    </row>
    <row r="3984" spans="5:13" x14ac:dyDescent="0.25">
      <c r="E3984"/>
      <c r="M3984"/>
    </row>
    <row r="3985" spans="5:13" x14ac:dyDescent="0.25">
      <c r="E3985"/>
      <c r="M3985"/>
    </row>
    <row r="3986" spans="5:13" x14ac:dyDescent="0.25">
      <c r="E3986"/>
      <c r="M3986"/>
    </row>
    <row r="3987" spans="5:13" x14ac:dyDescent="0.25">
      <c r="E3987"/>
      <c r="M3987"/>
    </row>
    <row r="3988" spans="5:13" x14ac:dyDescent="0.25">
      <c r="E3988"/>
      <c r="M3988"/>
    </row>
    <row r="3989" spans="5:13" x14ac:dyDescent="0.25">
      <c r="E3989"/>
      <c r="M3989"/>
    </row>
    <row r="3990" spans="5:13" x14ac:dyDescent="0.25">
      <c r="E3990"/>
      <c r="M3990"/>
    </row>
    <row r="3991" spans="5:13" x14ac:dyDescent="0.25">
      <c r="E3991"/>
      <c r="M3991"/>
    </row>
    <row r="3992" spans="5:13" x14ac:dyDescent="0.25">
      <c r="E3992"/>
      <c r="M3992"/>
    </row>
    <row r="3993" spans="5:13" x14ac:dyDescent="0.25">
      <c r="E3993"/>
      <c r="M3993"/>
    </row>
    <row r="3994" spans="5:13" x14ac:dyDescent="0.25">
      <c r="E3994"/>
      <c r="M3994"/>
    </row>
    <row r="3995" spans="5:13" x14ac:dyDescent="0.25">
      <c r="E3995"/>
      <c r="M3995"/>
    </row>
    <row r="3996" spans="5:13" x14ac:dyDescent="0.25">
      <c r="E3996"/>
      <c r="M3996"/>
    </row>
    <row r="3997" spans="5:13" x14ac:dyDescent="0.25">
      <c r="E3997"/>
      <c r="M3997"/>
    </row>
    <row r="3998" spans="5:13" x14ac:dyDescent="0.25">
      <c r="E3998"/>
      <c r="M3998"/>
    </row>
    <row r="3999" spans="5:13" x14ac:dyDescent="0.25">
      <c r="E3999"/>
      <c r="M3999"/>
    </row>
    <row r="4000" spans="5:13" x14ac:dyDescent="0.25">
      <c r="E4000"/>
      <c r="M4000"/>
    </row>
    <row r="4001" spans="5:13" x14ac:dyDescent="0.25">
      <c r="E4001"/>
      <c r="M4001"/>
    </row>
    <row r="4002" spans="5:13" x14ac:dyDescent="0.25">
      <c r="E4002"/>
      <c r="M4002"/>
    </row>
    <row r="4003" spans="5:13" x14ac:dyDescent="0.25">
      <c r="E4003"/>
      <c r="M4003"/>
    </row>
    <row r="4004" spans="5:13" x14ac:dyDescent="0.25">
      <c r="E4004"/>
      <c r="M4004"/>
    </row>
    <row r="4005" spans="5:13" x14ac:dyDescent="0.25">
      <c r="E4005"/>
      <c r="M4005"/>
    </row>
    <row r="4006" spans="5:13" x14ac:dyDescent="0.25">
      <c r="E4006"/>
      <c r="M4006"/>
    </row>
    <row r="4007" spans="5:13" x14ac:dyDescent="0.25">
      <c r="E4007"/>
      <c r="M4007"/>
    </row>
    <row r="4008" spans="5:13" x14ac:dyDescent="0.25">
      <c r="E4008"/>
      <c r="M4008"/>
    </row>
    <row r="4009" spans="5:13" x14ac:dyDescent="0.25">
      <c r="E4009"/>
      <c r="M4009"/>
    </row>
    <row r="4010" spans="5:13" x14ac:dyDescent="0.25">
      <c r="E4010"/>
      <c r="M4010"/>
    </row>
    <row r="4011" spans="5:13" x14ac:dyDescent="0.25">
      <c r="E4011"/>
      <c r="M4011"/>
    </row>
    <row r="4012" spans="5:13" x14ac:dyDescent="0.25">
      <c r="E4012"/>
      <c r="M4012"/>
    </row>
    <row r="4013" spans="5:13" x14ac:dyDescent="0.25">
      <c r="E4013"/>
      <c r="M4013"/>
    </row>
    <row r="4014" spans="5:13" x14ac:dyDescent="0.25">
      <c r="E4014"/>
      <c r="M4014"/>
    </row>
    <row r="4015" spans="5:13" x14ac:dyDescent="0.25">
      <c r="E4015"/>
      <c r="M4015"/>
    </row>
    <row r="4016" spans="5:13" x14ac:dyDescent="0.25">
      <c r="E4016"/>
      <c r="M4016"/>
    </row>
    <row r="4017" spans="5:13" x14ac:dyDescent="0.25">
      <c r="E4017"/>
      <c r="M4017"/>
    </row>
    <row r="4018" spans="5:13" x14ac:dyDescent="0.25">
      <c r="E4018"/>
      <c r="M4018"/>
    </row>
    <row r="4019" spans="5:13" x14ac:dyDescent="0.25">
      <c r="E4019"/>
      <c r="M4019"/>
    </row>
    <row r="4020" spans="5:13" x14ac:dyDescent="0.25">
      <c r="E4020"/>
      <c r="M4020"/>
    </row>
    <row r="4021" spans="5:13" x14ac:dyDescent="0.25">
      <c r="E4021"/>
      <c r="M4021"/>
    </row>
    <row r="4022" spans="5:13" x14ac:dyDescent="0.25">
      <c r="E4022"/>
      <c r="M4022"/>
    </row>
    <row r="4023" spans="5:13" x14ac:dyDescent="0.25">
      <c r="E4023"/>
      <c r="M4023"/>
    </row>
    <row r="4024" spans="5:13" x14ac:dyDescent="0.25">
      <c r="E4024"/>
      <c r="M4024"/>
    </row>
    <row r="4025" spans="5:13" x14ac:dyDescent="0.25">
      <c r="E4025"/>
      <c r="M4025"/>
    </row>
    <row r="4026" spans="5:13" x14ac:dyDescent="0.25">
      <c r="E4026"/>
      <c r="M4026"/>
    </row>
    <row r="4027" spans="5:13" x14ac:dyDescent="0.25">
      <c r="E4027"/>
      <c r="M4027"/>
    </row>
    <row r="4028" spans="5:13" x14ac:dyDescent="0.25">
      <c r="E4028"/>
      <c r="M4028"/>
    </row>
    <row r="4029" spans="5:13" x14ac:dyDescent="0.25">
      <c r="E4029"/>
      <c r="M4029"/>
    </row>
    <row r="4030" spans="5:13" x14ac:dyDescent="0.25">
      <c r="E4030"/>
      <c r="M4030"/>
    </row>
    <row r="4031" spans="5:13" x14ac:dyDescent="0.25">
      <c r="E4031"/>
      <c r="M4031"/>
    </row>
    <row r="4032" spans="5:13" x14ac:dyDescent="0.25">
      <c r="E4032"/>
      <c r="M4032"/>
    </row>
    <row r="4033" spans="5:13" x14ac:dyDescent="0.25">
      <c r="E4033"/>
      <c r="M4033"/>
    </row>
    <row r="4034" spans="5:13" x14ac:dyDescent="0.25">
      <c r="E4034"/>
      <c r="M4034"/>
    </row>
    <row r="4035" spans="5:13" x14ac:dyDescent="0.25">
      <c r="E4035"/>
      <c r="M4035"/>
    </row>
    <row r="4036" spans="5:13" x14ac:dyDescent="0.25">
      <c r="E4036"/>
      <c r="M4036"/>
    </row>
    <row r="4037" spans="5:13" x14ac:dyDescent="0.25">
      <c r="E4037"/>
      <c r="M4037"/>
    </row>
    <row r="4038" spans="5:13" x14ac:dyDescent="0.25">
      <c r="E4038"/>
      <c r="M4038"/>
    </row>
    <row r="4039" spans="5:13" x14ac:dyDescent="0.25">
      <c r="E4039"/>
      <c r="M4039"/>
    </row>
    <row r="4040" spans="5:13" x14ac:dyDescent="0.25">
      <c r="E4040"/>
      <c r="M4040"/>
    </row>
    <row r="4041" spans="5:13" x14ac:dyDescent="0.25">
      <c r="E4041"/>
      <c r="M4041"/>
    </row>
    <row r="4042" spans="5:13" x14ac:dyDescent="0.25">
      <c r="E4042"/>
      <c r="M4042"/>
    </row>
    <row r="4043" spans="5:13" x14ac:dyDescent="0.25">
      <c r="E4043"/>
      <c r="M4043"/>
    </row>
    <row r="4044" spans="5:13" x14ac:dyDescent="0.25">
      <c r="E4044"/>
      <c r="M4044"/>
    </row>
    <row r="4045" spans="5:13" x14ac:dyDescent="0.25">
      <c r="E4045"/>
      <c r="M4045"/>
    </row>
    <row r="4046" spans="5:13" x14ac:dyDescent="0.25">
      <c r="E4046"/>
      <c r="M4046"/>
    </row>
    <row r="4047" spans="5:13" x14ac:dyDescent="0.25">
      <c r="E4047"/>
      <c r="M4047"/>
    </row>
    <row r="4048" spans="5:13" x14ac:dyDescent="0.25">
      <c r="E4048"/>
      <c r="M4048"/>
    </row>
    <row r="4049" spans="5:13" x14ac:dyDescent="0.25">
      <c r="E4049"/>
      <c r="M4049"/>
    </row>
    <row r="4050" spans="5:13" x14ac:dyDescent="0.25">
      <c r="E4050"/>
      <c r="M4050"/>
    </row>
    <row r="4051" spans="5:13" x14ac:dyDescent="0.25">
      <c r="E4051"/>
      <c r="M4051"/>
    </row>
    <row r="4052" spans="5:13" x14ac:dyDescent="0.25">
      <c r="E4052"/>
      <c r="M4052"/>
    </row>
    <row r="4053" spans="5:13" x14ac:dyDescent="0.25">
      <c r="E4053"/>
      <c r="M4053"/>
    </row>
    <row r="4054" spans="5:13" x14ac:dyDescent="0.25">
      <c r="E4054"/>
      <c r="M4054"/>
    </row>
    <row r="4055" spans="5:13" x14ac:dyDescent="0.25">
      <c r="E4055"/>
      <c r="M4055"/>
    </row>
    <row r="4056" spans="5:13" x14ac:dyDescent="0.25">
      <c r="E4056"/>
      <c r="M4056"/>
    </row>
    <row r="4057" spans="5:13" x14ac:dyDescent="0.25">
      <c r="E4057"/>
      <c r="M4057"/>
    </row>
    <row r="4058" spans="5:13" x14ac:dyDescent="0.25">
      <c r="E4058"/>
      <c r="M4058"/>
    </row>
    <row r="4059" spans="5:13" x14ac:dyDescent="0.25">
      <c r="E4059"/>
      <c r="M4059"/>
    </row>
    <row r="4060" spans="5:13" x14ac:dyDescent="0.25">
      <c r="E4060"/>
      <c r="M4060"/>
    </row>
    <row r="4061" spans="5:13" x14ac:dyDescent="0.25">
      <c r="E4061"/>
      <c r="M4061"/>
    </row>
    <row r="4062" spans="5:13" x14ac:dyDescent="0.25">
      <c r="E4062"/>
      <c r="M4062"/>
    </row>
    <row r="4063" spans="5:13" x14ac:dyDescent="0.25">
      <c r="E4063"/>
      <c r="M4063"/>
    </row>
    <row r="4064" spans="5:13" x14ac:dyDescent="0.25">
      <c r="E4064"/>
      <c r="M4064"/>
    </row>
    <row r="4065" spans="5:13" x14ac:dyDescent="0.25">
      <c r="E4065"/>
      <c r="M4065"/>
    </row>
    <row r="4066" spans="5:13" x14ac:dyDescent="0.25">
      <c r="E4066"/>
      <c r="M4066"/>
    </row>
    <row r="4067" spans="5:13" x14ac:dyDescent="0.25">
      <c r="E4067"/>
      <c r="M4067"/>
    </row>
    <row r="4068" spans="5:13" x14ac:dyDescent="0.25">
      <c r="E4068"/>
      <c r="M4068"/>
    </row>
    <row r="4069" spans="5:13" x14ac:dyDescent="0.25">
      <c r="E4069"/>
      <c r="M4069"/>
    </row>
    <row r="4070" spans="5:13" x14ac:dyDescent="0.25">
      <c r="E4070"/>
      <c r="M4070"/>
    </row>
    <row r="4071" spans="5:13" x14ac:dyDescent="0.25">
      <c r="E4071"/>
      <c r="M4071"/>
    </row>
    <row r="4072" spans="5:13" x14ac:dyDescent="0.25">
      <c r="E4072"/>
      <c r="M4072"/>
    </row>
    <row r="4073" spans="5:13" x14ac:dyDescent="0.25">
      <c r="E4073"/>
      <c r="M4073"/>
    </row>
    <row r="4074" spans="5:13" x14ac:dyDescent="0.25">
      <c r="E4074"/>
      <c r="M4074"/>
    </row>
    <row r="4075" spans="5:13" x14ac:dyDescent="0.25">
      <c r="E4075"/>
      <c r="M4075"/>
    </row>
    <row r="4076" spans="5:13" x14ac:dyDescent="0.25">
      <c r="E4076"/>
      <c r="M4076"/>
    </row>
    <row r="4077" spans="5:13" x14ac:dyDescent="0.25">
      <c r="E4077"/>
      <c r="M4077"/>
    </row>
    <row r="4078" spans="5:13" x14ac:dyDescent="0.25">
      <c r="E4078"/>
      <c r="M4078"/>
    </row>
    <row r="4079" spans="5:13" x14ac:dyDescent="0.25">
      <c r="E4079"/>
      <c r="M4079"/>
    </row>
    <row r="4080" spans="5:13" x14ac:dyDescent="0.25">
      <c r="E4080"/>
      <c r="M4080"/>
    </row>
    <row r="4081" spans="5:13" x14ac:dyDescent="0.25">
      <c r="E4081"/>
      <c r="M4081"/>
    </row>
    <row r="4082" spans="5:13" x14ac:dyDescent="0.25">
      <c r="E4082"/>
      <c r="M4082"/>
    </row>
    <row r="4083" spans="5:13" x14ac:dyDescent="0.25">
      <c r="E4083"/>
      <c r="M4083"/>
    </row>
    <row r="4084" spans="5:13" x14ac:dyDescent="0.25">
      <c r="E4084"/>
      <c r="M4084"/>
    </row>
    <row r="4085" spans="5:13" x14ac:dyDescent="0.25">
      <c r="E4085"/>
      <c r="M4085"/>
    </row>
    <row r="4086" spans="5:13" x14ac:dyDescent="0.25">
      <c r="E4086"/>
      <c r="M4086"/>
    </row>
    <row r="4087" spans="5:13" x14ac:dyDescent="0.25">
      <c r="E4087"/>
      <c r="M4087"/>
    </row>
    <row r="4088" spans="5:13" x14ac:dyDescent="0.25">
      <c r="E4088"/>
      <c r="M4088"/>
    </row>
    <row r="4089" spans="5:13" x14ac:dyDescent="0.25">
      <c r="E4089"/>
      <c r="M4089"/>
    </row>
    <row r="4090" spans="5:13" x14ac:dyDescent="0.25">
      <c r="E4090"/>
      <c r="M4090"/>
    </row>
    <row r="4091" spans="5:13" x14ac:dyDescent="0.25">
      <c r="E4091"/>
      <c r="M4091"/>
    </row>
    <row r="4092" spans="5:13" x14ac:dyDescent="0.25">
      <c r="E4092"/>
      <c r="M4092"/>
    </row>
    <row r="4093" spans="5:13" x14ac:dyDescent="0.25">
      <c r="E4093"/>
      <c r="M4093"/>
    </row>
    <row r="4094" spans="5:13" x14ac:dyDescent="0.25">
      <c r="E4094"/>
      <c r="M4094"/>
    </row>
    <row r="4095" spans="5:13" x14ac:dyDescent="0.25">
      <c r="E4095"/>
      <c r="M4095"/>
    </row>
    <row r="4096" spans="5:13" x14ac:dyDescent="0.25">
      <c r="E4096"/>
      <c r="M4096"/>
    </row>
    <row r="4097" spans="5:13" x14ac:dyDescent="0.25">
      <c r="E4097"/>
      <c r="M4097"/>
    </row>
    <row r="4098" spans="5:13" x14ac:dyDescent="0.25">
      <c r="E4098"/>
      <c r="M4098"/>
    </row>
    <row r="4099" spans="5:13" x14ac:dyDescent="0.25">
      <c r="E4099"/>
      <c r="M4099"/>
    </row>
    <row r="4100" spans="5:13" x14ac:dyDescent="0.25">
      <c r="E4100"/>
      <c r="M4100"/>
    </row>
    <row r="4101" spans="5:13" x14ac:dyDescent="0.25">
      <c r="E4101"/>
      <c r="M4101"/>
    </row>
    <row r="4102" spans="5:13" x14ac:dyDescent="0.25">
      <c r="E4102"/>
      <c r="M4102"/>
    </row>
    <row r="4103" spans="5:13" x14ac:dyDescent="0.25">
      <c r="E4103"/>
      <c r="M4103"/>
    </row>
    <row r="4104" spans="5:13" x14ac:dyDescent="0.25">
      <c r="E4104"/>
      <c r="M4104"/>
    </row>
    <row r="4105" spans="5:13" x14ac:dyDescent="0.25">
      <c r="E4105"/>
      <c r="M4105"/>
    </row>
    <row r="4106" spans="5:13" x14ac:dyDescent="0.25">
      <c r="E4106"/>
      <c r="M4106"/>
    </row>
    <row r="4107" spans="5:13" x14ac:dyDescent="0.25">
      <c r="E4107"/>
      <c r="M4107"/>
    </row>
    <row r="4108" spans="5:13" x14ac:dyDescent="0.25">
      <c r="E4108"/>
      <c r="M4108"/>
    </row>
    <row r="4109" spans="5:13" x14ac:dyDescent="0.25">
      <c r="E4109"/>
      <c r="M4109"/>
    </row>
    <row r="4110" spans="5:13" x14ac:dyDescent="0.25">
      <c r="E4110"/>
      <c r="M4110"/>
    </row>
    <row r="4111" spans="5:13" x14ac:dyDescent="0.25">
      <c r="E4111"/>
      <c r="M4111"/>
    </row>
    <row r="4112" spans="5:13" x14ac:dyDescent="0.25">
      <c r="E4112"/>
      <c r="M4112"/>
    </row>
    <row r="4113" spans="5:13" x14ac:dyDescent="0.25">
      <c r="E4113"/>
      <c r="M4113"/>
    </row>
    <row r="4114" spans="5:13" x14ac:dyDescent="0.25">
      <c r="E4114"/>
      <c r="M4114"/>
    </row>
    <row r="4115" spans="5:13" x14ac:dyDescent="0.25">
      <c r="E4115"/>
      <c r="M4115"/>
    </row>
    <row r="4116" spans="5:13" x14ac:dyDescent="0.25">
      <c r="E4116"/>
      <c r="M4116"/>
    </row>
    <row r="4117" spans="5:13" x14ac:dyDescent="0.25">
      <c r="E4117"/>
      <c r="M4117"/>
    </row>
    <row r="4118" spans="5:13" x14ac:dyDescent="0.25">
      <c r="E4118"/>
      <c r="M4118"/>
    </row>
    <row r="4119" spans="5:13" x14ac:dyDescent="0.25">
      <c r="E4119"/>
      <c r="M4119"/>
    </row>
    <row r="4120" spans="5:13" x14ac:dyDescent="0.25">
      <c r="E4120"/>
      <c r="M4120"/>
    </row>
    <row r="4121" spans="5:13" x14ac:dyDescent="0.25">
      <c r="E4121"/>
      <c r="M4121"/>
    </row>
    <row r="4122" spans="5:13" x14ac:dyDescent="0.25">
      <c r="E4122"/>
      <c r="M4122"/>
    </row>
    <row r="4123" spans="5:13" x14ac:dyDescent="0.25">
      <c r="E4123"/>
      <c r="M4123"/>
    </row>
    <row r="4124" spans="5:13" x14ac:dyDescent="0.25">
      <c r="E4124"/>
      <c r="M4124"/>
    </row>
    <row r="4125" spans="5:13" x14ac:dyDescent="0.25">
      <c r="E4125"/>
      <c r="M4125"/>
    </row>
    <row r="4126" spans="5:13" x14ac:dyDescent="0.25">
      <c r="E4126"/>
      <c r="M4126"/>
    </row>
    <row r="4127" spans="5:13" x14ac:dyDescent="0.25">
      <c r="E4127"/>
      <c r="M4127"/>
    </row>
    <row r="4128" spans="5:13" x14ac:dyDescent="0.25">
      <c r="E4128"/>
      <c r="M4128"/>
    </row>
    <row r="4129" spans="5:13" x14ac:dyDescent="0.25">
      <c r="E4129"/>
      <c r="M4129"/>
    </row>
    <row r="4130" spans="5:13" x14ac:dyDescent="0.25">
      <c r="E4130"/>
      <c r="M4130"/>
    </row>
    <row r="4131" spans="5:13" x14ac:dyDescent="0.25">
      <c r="E4131"/>
      <c r="M4131"/>
    </row>
    <row r="4132" spans="5:13" x14ac:dyDescent="0.25">
      <c r="E4132"/>
      <c r="M4132"/>
    </row>
    <row r="4133" spans="5:13" x14ac:dyDescent="0.25">
      <c r="E4133"/>
      <c r="M4133"/>
    </row>
    <row r="4134" spans="5:13" x14ac:dyDescent="0.25">
      <c r="E4134"/>
      <c r="M4134"/>
    </row>
    <row r="4135" spans="5:13" x14ac:dyDescent="0.25">
      <c r="E4135"/>
      <c r="M4135"/>
    </row>
    <row r="4136" spans="5:13" x14ac:dyDescent="0.25">
      <c r="E4136"/>
      <c r="M4136"/>
    </row>
    <row r="4137" spans="5:13" x14ac:dyDescent="0.25">
      <c r="E4137"/>
      <c r="M4137"/>
    </row>
    <row r="4138" spans="5:13" x14ac:dyDescent="0.25">
      <c r="E4138"/>
      <c r="M4138"/>
    </row>
    <row r="4139" spans="5:13" x14ac:dyDescent="0.25">
      <c r="E4139"/>
      <c r="M4139"/>
    </row>
    <row r="4140" spans="5:13" x14ac:dyDescent="0.25">
      <c r="E4140"/>
      <c r="M4140"/>
    </row>
    <row r="4141" spans="5:13" x14ac:dyDescent="0.25">
      <c r="E4141"/>
      <c r="M4141"/>
    </row>
    <row r="4142" spans="5:13" x14ac:dyDescent="0.25">
      <c r="E4142"/>
      <c r="M4142"/>
    </row>
    <row r="4143" spans="5:13" x14ac:dyDescent="0.25">
      <c r="E4143"/>
      <c r="M4143"/>
    </row>
    <row r="4144" spans="5:13" x14ac:dyDescent="0.25">
      <c r="E4144"/>
      <c r="M4144"/>
    </row>
    <row r="4145" spans="5:13" x14ac:dyDescent="0.25">
      <c r="E4145"/>
      <c r="M4145"/>
    </row>
    <row r="4146" spans="5:13" x14ac:dyDescent="0.25">
      <c r="E4146"/>
      <c r="M4146"/>
    </row>
    <row r="4147" spans="5:13" x14ac:dyDescent="0.25">
      <c r="E4147"/>
      <c r="M4147"/>
    </row>
    <row r="4148" spans="5:13" x14ac:dyDescent="0.25">
      <c r="E4148"/>
      <c r="M4148"/>
    </row>
    <row r="4149" spans="5:13" x14ac:dyDescent="0.25">
      <c r="E4149"/>
      <c r="M4149"/>
    </row>
    <row r="4150" spans="5:13" x14ac:dyDescent="0.25">
      <c r="E4150"/>
      <c r="M4150"/>
    </row>
    <row r="4151" spans="5:13" x14ac:dyDescent="0.25">
      <c r="E4151"/>
      <c r="M4151"/>
    </row>
    <row r="4152" spans="5:13" x14ac:dyDescent="0.25">
      <c r="E4152"/>
      <c r="M4152"/>
    </row>
    <row r="4153" spans="5:13" x14ac:dyDescent="0.25">
      <c r="E4153"/>
      <c r="M4153"/>
    </row>
    <row r="4154" spans="5:13" x14ac:dyDescent="0.25">
      <c r="E4154"/>
      <c r="M4154"/>
    </row>
    <row r="4155" spans="5:13" x14ac:dyDescent="0.25">
      <c r="E4155"/>
      <c r="M4155"/>
    </row>
    <row r="4156" spans="5:13" x14ac:dyDescent="0.25">
      <c r="E4156"/>
      <c r="M4156"/>
    </row>
    <row r="4157" spans="5:13" x14ac:dyDescent="0.25">
      <c r="E4157"/>
      <c r="M4157"/>
    </row>
    <row r="4158" spans="5:13" x14ac:dyDescent="0.25">
      <c r="E4158"/>
      <c r="M4158"/>
    </row>
    <row r="4159" spans="5:13" x14ac:dyDescent="0.25">
      <c r="E4159"/>
      <c r="M4159"/>
    </row>
    <row r="4160" spans="5:13" x14ac:dyDescent="0.25">
      <c r="E4160"/>
      <c r="M4160"/>
    </row>
    <row r="4161" spans="5:13" x14ac:dyDescent="0.25">
      <c r="E4161"/>
      <c r="M4161"/>
    </row>
    <row r="4162" spans="5:13" x14ac:dyDescent="0.25">
      <c r="E4162"/>
      <c r="M4162"/>
    </row>
    <row r="4163" spans="5:13" x14ac:dyDescent="0.25">
      <c r="E4163"/>
      <c r="M4163"/>
    </row>
    <row r="4164" spans="5:13" x14ac:dyDescent="0.25">
      <c r="E4164"/>
      <c r="M4164"/>
    </row>
    <row r="4165" spans="5:13" x14ac:dyDescent="0.25">
      <c r="E4165"/>
      <c r="M4165"/>
    </row>
    <row r="4166" spans="5:13" x14ac:dyDescent="0.25">
      <c r="E4166"/>
      <c r="M4166"/>
    </row>
    <row r="4167" spans="5:13" x14ac:dyDescent="0.25">
      <c r="E4167"/>
      <c r="M4167"/>
    </row>
    <row r="4168" spans="5:13" x14ac:dyDescent="0.25">
      <c r="E4168"/>
      <c r="M4168"/>
    </row>
    <row r="4169" spans="5:13" x14ac:dyDescent="0.25">
      <c r="E4169"/>
      <c r="M4169"/>
    </row>
    <row r="4170" spans="5:13" x14ac:dyDescent="0.25">
      <c r="E4170"/>
      <c r="M4170"/>
    </row>
    <row r="4171" spans="5:13" x14ac:dyDescent="0.25">
      <c r="E4171"/>
      <c r="M4171"/>
    </row>
    <row r="4172" spans="5:13" x14ac:dyDescent="0.25">
      <c r="E4172"/>
      <c r="M4172"/>
    </row>
    <row r="4173" spans="5:13" x14ac:dyDescent="0.25">
      <c r="E4173"/>
      <c r="M4173"/>
    </row>
    <row r="4174" spans="5:13" x14ac:dyDescent="0.25">
      <c r="E4174"/>
      <c r="M4174"/>
    </row>
    <row r="4175" spans="5:13" x14ac:dyDescent="0.25">
      <c r="E4175"/>
      <c r="M4175"/>
    </row>
    <row r="4176" spans="5:13" x14ac:dyDescent="0.25">
      <c r="E4176"/>
      <c r="M4176"/>
    </row>
    <row r="4177" spans="5:13" x14ac:dyDescent="0.25">
      <c r="E4177"/>
      <c r="M4177"/>
    </row>
    <row r="4178" spans="5:13" x14ac:dyDescent="0.25">
      <c r="E4178"/>
      <c r="M4178"/>
    </row>
    <row r="4179" spans="5:13" x14ac:dyDescent="0.25">
      <c r="E4179"/>
      <c r="M4179"/>
    </row>
    <row r="4180" spans="5:13" x14ac:dyDescent="0.25">
      <c r="E4180"/>
      <c r="M4180"/>
    </row>
    <row r="4181" spans="5:13" x14ac:dyDescent="0.25">
      <c r="E4181"/>
      <c r="M4181"/>
    </row>
    <row r="4182" spans="5:13" x14ac:dyDescent="0.25">
      <c r="E4182"/>
      <c r="M4182"/>
    </row>
    <row r="4183" spans="5:13" x14ac:dyDescent="0.25">
      <c r="E4183"/>
      <c r="M4183"/>
    </row>
    <row r="4184" spans="5:13" x14ac:dyDescent="0.25">
      <c r="E4184"/>
      <c r="M4184"/>
    </row>
    <row r="4185" spans="5:13" x14ac:dyDescent="0.25">
      <c r="E4185"/>
      <c r="M4185"/>
    </row>
    <row r="4186" spans="5:13" x14ac:dyDescent="0.25">
      <c r="E4186"/>
      <c r="M4186"/>
    </row>
    <row r="4187" spans="5:13" x14ac:dyDescent="0.25">
      <c r="E4187"/>
      <c r="M4187"/>
    </row>
    <row r="4188" spans="5:13" x14ac:dyDescent="0.25">
      <c r="E4188"/>
      <c r="M4188"/>
    </row>
    <row r="4189" spans="5:13" x14ac:dyDescent="0.25">
      <c r="E4189"/>
      <c r="M4189"/>
    </row>
    <row r="4190" spans="5:13" x14ac:dyDescent="0.25">
      <c r="E4190"/>
      <c r="M4190"/>
    </row>
    <row r="4191" spans="5:13" x14ac:dyDescent="0.25">
      <c r="E4191"/>
      <c r="M4191"/>
    </row>
    <row r="4192" spans="5:13" x14ac:dyDescent="0.25">
      <c r="E4192"/>
      <c r="M4192"/>
    </row>
    <row r="4193" spans="5:13" x14ac:dyDescent="0.25">
      <c r="E4193"/>
      <c r="M4193"/>
    </row>
    <row r="4194" spans="5:13" x14ac:dyDescent="0.25">
      <c r="E4194"/>
      <c r="M4194"/>
    </row>
    <row r="4195" spans="5:13" x14ac:dyDescent="0.25">
      <c r="E4195"/>
      <c r="M4195"/>
    </row>
    <row r="4196" spans="5:13" x14ac:dyDescent="0.25">
      <c r="E4196"/>
      <c r="M4196"/>
    </row>
    <row r="4197" spans="5:13" x14ac:dyDescent="0.25">
      <c r="E4197"/>
      <c r="M4197"/>
    </row>
    <row r="4198" spans="5:13" x14ac:dyDescent="0.25">
      <c r="E4198"/>
      <c r="M4198"/>
    </row>
    <row r="4199" spans="5:13" x14ac:dyDescent="0.25">
      <c r="E4199"/>
      <c r="M4199"/>
    </row>
    <row r="4200" spans="5:13" x14ac:dyDescent="0.25">
      <c r="E4200"/>
      <c r="M4200"/>
    </row>
    <row r="4201" spans="5:13" x14ac:dyDescent="0.25">
      <c r="E4201"/>
      <c r="M4201"/>
    </row>
    <row r="4202" spans="5:13" x14ac:dyDescent="0.25">
      <c r="E4202"/>
      <c r="M4202"/>
    </row>
    <row r="4203" spans="5:13" x14ac:dyDescent="0.25">
      <c r="E4203"/>
      <c r="M4203"/>
    </row>
    <row r="4204" spans="5:13" x14ac:dyDescent="0.25">
      <c r="E4204"/>
      <c r="M4204"/>
    </row>
    <row r="4205" spans="5:13" x14ac:dyDescent="0.25">
      <c r="E4205"/>
      <c r="M4205"/>
    </row>
    <row r="4206" spans="5:13" x14ac:dyDescent="0.25">
      <c r="E4206"/>
      <c r="M4206"/>
    </row>
    <row r="4207" spans="5:13" x14ac:dyDescent="0.25">
      <c r="E4207"/>
      <c r="M4207"/>
    </row>
    <row r="4208" spans="5:13" x14ac:dyDescent="0.25">
      <c r="E4208"/>
      <c r="M4208"/>
    </row>
    <row r="4209" spans="5:13" x14ac:dyDescent="0.25">
      <c r="E4209"/>
      <c r="M4209"/>
    </row>
    <row r="4210" spans="5:13" x14ac:dyDescent="0.25">
      <c r="E4210"/>
      <c r="M4210"/>
    </row>
    <row r="4211" spans="5:13" x14ac:dyDescent="0.25">
      <c r="E4211"/>
      <c r="M4211"/>
    </row>
    <row r="4212" spans="5:13" x14ac:dyDescent="0.25">
      <c r="E4212"/>
      <c r="M4212"/>
    </row>
    <row r="4213" spans="5:13" x14ac:dyDescent="0.25">
      <c r="E4213"/>
      <c r="M4213"/>
    </row>
    <row r="4214" spans="5:13" x14ac:dyDescent="0.25">
      <c r="E4214"/>
      <c r="M4214"/>
    </row>
    <row r="4215" spans="5:13" x14ac:dyDescent="0.25">
      <c r="E4215"/>
      <c r="M4215"/>
    </row>
    <row r="4216" spans="5:13" x14ac:dyDescent="0.25">
      <c r="E4216"/>
      <c r="M4216"/>
    </row>
    <row r="4217" spans="5:13" x14ac:dyDescent="0.25">
      <c r="E4217"/>
      <c r="M4217"/>
    </row>
    <row r="4218" spans="5:13" x14ac:dyDescent="0.25">
      <c r="E4218"/>
      <c r="M4218"/>
    </row>
    <row r="4219" spans="5:13" x14ac:dyDescent="0.25">
      <c r="E4219"/>
      <c r="M4219"/>
    </row>
    <row r="4220" spans="5:13" x14ac:dyDescent="0.25">
      <c r="E4220"/>
      <c r="M4220"/>
    </row>
    <row r="4221" spans="5:13" x14ac:dyDescent="0.25">
      <c r="E4221"/>
      <c r="M4221"/>
    </row>
    <row r="4222" spans="5:13" x14ac:dyDescent="0.25">
      <c r="E4222"/>
      <c r="M4222"/>
    </row>
    <row r="4223" spans="5:13" x14ac:dyDescent="0.25">
      <c r="E4223"/>
      <c r="M4223"/>
    </row>
    <row r="4224" spans="5:13" x14ac:dyDescent="0.25">
      <c r="E4224"/>
      <c r="M4224"/>
    </row>
    <row r="4225" spans="5:13" x14ac:dyDescent="0.25">
      <c r="E4225"/>
      <c r="M4225"/>
    </row>
    <row r="4226" spans="5:13" x14ac:dyDescent="0.25">
      <c r="E4226"/>
      <c r="M4226"/>
    </row>
    <row r="4227" spans="5:13" x14ac:dyDescent="0.25">
      <c r="E4227"/>
      <c r="M4227"/>
    </row>
    <row r="4228" spans="5:13" x14ac:dyDescent="0.25">
      <c r="E4228"/>
      <c r="M4228"/>
    </row>
    <row r="4229" spans="5:13" x14ac:dyDescent="0.25">
      <c r="E4229"/>
      <c r="M4229"/>
    </row>
    <row r="4230" spans="5:13" x14ac:dyDescent="0.25">
      <c r="E4230"/>
      <c r="M4230"/>
    </row>
    <row r="4231" spans="5:13" x14ac:dyDescent="0.25">
      <c r="E4231"/>
      <c r="M4231"/>
    </row>
    <row r="4232" spans="5:13" x14ac:dyDescent="0.25">
      <c r="E4232"/>
      <c r="M4232"/>
    </row>
    <row r="4233" spans="5:13" x14ac:dyDescent="0.25">
      <c r="E4233"/>
      <c r="M4233"/>
    </row>
    <row r="4234" spans="5:13" x14ac:dyDescent="0.25">
      <c r="E4234"/>
      <c r="M4234"/>
    </row>
    <row r="4235" spans="5:13" x14ac:dyDescent="0.25">
      <c r="E4235"/>
      <c r="M4235"/>
    </row>
    <row r="4236" spans="5:13" x14ac:dyDescent="0.25">
      <c r="E4236"/>
      <c r="M4236"/>
    </row>
    <row r="4237" spans="5:13" x14ac:dyDescent="0.25">
      <c r="E4237"/>
      <c r="M4237"/>
    </row>
    <row r="4238" spans="5:13" x14ac:dyDescent="0.25">
      <c r="E4238"/>
      <c r="M4238"/>
    </row>
    <row r="4239" spans="5:13" x14ac:dyDescent="0.25">
      <c r="E4239"/>
      <c r="M4239"/>
    </row>
    <row r="4240" spans="5:13" x14ac:dyDescent="0.25">
      <c r="E4240"/>
      <c r="M4240"/>
    </row>
    <row r="4241" spans="5:13" x14ac:dyDescent="0.25">
      <c r="E4241"/>
      <c r="M4241"/>
    </row>
    <row r="4242" spans="5:13" x14ac:dyDescent="0.25">
      <c r="E4242"/>
      <c r="M4242"/>
    </row>
    <row r="4243" spans="5:13" x14ac:dyDescent="0.25">
      <c r="E4243"/>
      <c r="M4243"/>
    </row>
    <row r="4244" spans="5:13" x14ac:dyDescent="0.25">
      <c r="E4244"/>
      <c r="M4244"/>
    </row>
    <row r="4245" spans="5:13" x14ac:dyDescent="0.25">
      <c r="E4245"/>
      <c r="M4245"/>
    </row>
    <row r="4246" spans="5:13" x14ac:dyDescent="0.25">
      <c r="E4246"/>
      <c r="M4246"/>
    </row>
    <row r="4247" spans="5:13" x14ac:dyDescent="0.25">
      <c r="E4247"/>
      <c r="M4247"/>
    </row>
    <row r="4248" spans="5:13" x14ac:dyDescent="0.25">
      <c r="E4248"/>
      <c r="M4248"/>
    </row>
    <row r="4249" spans="5:13" x14ac:dyDescent="0.25">
      <c r="E4249"/>
      <c r="M4249"/>
    </row>
    <row r="4250" spans="5:13" x14ac:dyDescent="0.25">
      <c r="E4250"/>
      <c r="M4250"/>
    </row>
    <row r="4251" spans="5:13" x14ac:dyDescent="0.25">
      <c r="E4251"/>
      <c r="M4251"/>
    </row>
    <row r="4252" spans="5:13" x14ac:dyDescent="0.25">
      <c r="E4252"/>
      <c r="M4252"/>
    </row>
    <row r="4253" spans="5:13" x14ac:dyDescent="0.25">
      <c r="E4253"/>
      <c r="M4253"/>
    </row>
    <row r="4254" spans="5:13" x14ac:dyDescent="0.25">
      <c r="E4254"/>
      <c r="M4254"/>
    </row>
    <row r="4255" spans="5:13" x14ac:dyDescent="0.25">
      <c r="E4255"/>
      <c r="M4255"/>
    </row>
    <row r="4256" spans="5:13" x14ac:dyDescent="0.25">
      <c r="E4256"/>
      <c r="M4256"/>
    </row>
    <row r="4257" spans="5:13" x14ac:dyDescent="0.25">
      <c r="E4257"/>
      <c r="M4257"/>
    </row>
    <row r="4258" spans="5:13" x14ac:dyDescent="0.25">
      <c r="E4258"/>
      <c r="M4258"/>
    </row>
    <row r="4259" spans="5:13" x14ac:dyDescent="0.25">
      <c r="E4259"/>
      <c r="M4259"/>
    </row>
    <row r="4260" spans="5:13" x14ac:dyDescent="0.25">
      <c r="E4260"/>
      <c r="M4260"/>
    </row>
    <row r="4261" spans="5:13" x14ac:dyDescent="0.25">
      <c r="E4261"/>
      <c r="M4261"/>
    </row>
    <row r="4262" spans="5:13" x14ac:dyDescent="0.25">
      <c r="E4262"/>
      <c r="M4262"/>
    </row>
    <row r="4263" spans="5:13" x14ac:dyDescent="0.25">
      <c r="E4263"/>
      <c r="M4263"/>
    </row>
    <row r="4264" spans="5:13" x14ac:dyDescent="0.25">
      <c r="E4264"/>
      <c r="M4264"/>
    </row>
    <row r="4265" spans="5:13" x14ac:dyDescent="0.25">
      <c r="E4265"/>
      <c r="M4265"/>
    </row>
    <row r="4266" spans="5:13" x14ac:dyDescent="0.25">
      <c r="E4266"/>
      <c r="M4266"/>
    </row>
    <row r="4267" spans="5:13" x14ac:dyDescent="0.25">
      <c r="E4267"/>
      <c r="M4267"/>
    </row>
    <row r="4268" spans="5:13" x14ac:dyDescent="0.25">
      <c r="E4268"/>
      <c r="M4268"/>
    </row>
    <row r="4269" spans="5:13" x14ac:dyDescent="0.25">
      <c r="E4269"/>
      <c r="M4269"/>
    </row>
    <row r="4270" spans="5:13" x14ac:dyDescent="0.25">
      <c r="E4270"/>
      <c r="M4270"/>
    </row>
    <row r="4271" spans="5:13" x14ac:dyDescent="0.25">
      <c r="E4271"/>
      <c r="M4271"/>
    </row>
    <row r="4272" spans="5:13" x14ac:dyDescent="0.25">
      <c r="E4272"/>
      <c r="M4272"/>
    </row>
    <row r="4273" spans="5:13" x14ac:dyDescent="0.25">
      <c r="E4273"/>
      <c r="M4273"/>
    </row>
    <row r="4274" spans="5:13" x14ac:dyDescent="0.25">
      <c r="E4274"/>
      <c r="M4274"/>
    </row>
    <row r="4275" spans="5:13" x14ac:dyDescent="0.25">
      <c r="E4275"/>
      <c r="M4275"/>
    </row>
    <row r="4276" spans="5:13" x14ac:dyDescent="0.25">
      <c r="E4276"/>
      <c r="M4276"/>
    </row>
    <row r="4277" spans="5:13" x14ac:dyDescent="0.25">
      <c r="E4277"/>
      <c r="M4277"/>
    </row>
    <row r="4278" spans="5:13" x14ac:dyDescent="0.25">
      <c r="E4278"/>
      <c r="M4278"/>
    </row>
    <row r="4279" spans="5:13" x14ac:dyDescent="0.25">
      <c r="E4279"/>
      <c r="M4279"/>
    </row>
    <row r="4280" spans="5:13" x14ac:dyDescent="0.25">
      <c r="E4280"/>
      <c r="M4280"/>
    </row>
    <row r="4281" spans="5:13" x14ac:dyDescent="0.25">
      <c r="E4281"/>
      <c r="M4281"/>
    </row>
    <row r="4282" spans="5:13" x14ac:dyDescent="0.25">
      <c r="E4282"/>
      <c r="M4282"/>
    </row>
    <row r="4283" spans="5:13" x14ac:dyDescent="0.25">
      <c r="E4283"/>
      <c r="M4283"/>
    </row>
    <row r="4284" spans="5:13" x14ac:dyDescent="0.25">
      <c r="E4284"/>
      <c r="M4284"/>
    </row>
    <row r="4285" spans="5:13" x14ac:dyDescent="0.25">
      <c r="E4285"/>
      <c r="M4285"/>
    </row>
    <row r="4286" spans="5:13" x14ac:dyDescent="0.25">
      <c r="E4286"/>
      <c r="M4286"/>
    </row>
    <row r="4287" spans="5:13" x14ac:dyDescent="0.25">
      <c r="E4287"/>
      <c r="M4287"/>
    </row>
    <row r="4288" spans="5:13" x14ac:dyDescent="0.25">
      <c r="E4288"/>
      <c r="M4288"/>
    </row>
    <row r="4289" spans="5:13" x14ac:dyDescent="0.25">
      <c r="E4289"/>
      <c r="M4289"/>
    </row>
    <row r="4290" spans="5:13" x14ac:dyDescent="0.25">
      <c r="E4290"/>
      <c r="M4290"/>
    </row>
    <row r="4291" spans="5:13" x14ac:dyDescent="0.25">
      <c r="E4291"/>
      <c r="M4291"/>
    </row>
    <row r="4292" spans="5:13" x14ac:dyDescent="0.25">
      <c r="E4292"/>
      <c r="M4292"/>
    </row>
    <row r="4293" spans="5:13" x14ac:dyDescent="0.25">
      <c r="E4293"/>
      <c r="M4293"/>
    </row>
    <row r="4294" spans="5:13" x14ac:dyDescent="0.25">
      <c r="E4294"/>
      <c r="M4294"/>
    </row>
    <row r="4295" spans="5:13" x14ac:dyDescent="0.25">
      <c r="E4295"/>
      <c r="M4295"/>
    </row>
    <row r="4296" spans="5:13" x14ac:dyDescent="0.25">
      <c r="E4296"/>
      <c r="M4296"/>
    </row>
    <row r="4297" spans="5:13" x14ac:dyDescent="0.25">
      <c r="E4297"/>
      <c r="M4297"/>
    </row>
    <row r="4298" spans="5:13" x14ac:dyDescent="0.25">
      <c r="E4298"/>
      <c r="M4298"/>
    </row>
    <row r="4299" spans="5:13" x14ac:dyDescent="0.25">
      <c r="E4299"/>
      <c r="M4299"/>
    </row>
    <row r="4300" spans="5:13" x14ac:dyDescent="0.25">
      <c r="E4300"/>
      <c r="M4300"/>
    </row>
    <row r="4301" spans="5:13" x14ac:dyDescent="0.25">
      <c r="E4301"/>
      <c r="M4301"/>
    </row>
    <row r="4302" spans="5:13" x14ac:dyDescent="0.25">
      <c r="E4302"/>
      <c r="M4302"/>
    </row>
    <row r="4303" spans="5:13" x14ac:dyDescent="0.25">
      <c r="E4303"/>
      <c r="M4303"/>
    </row>
    <row r="4304" spans="5:13" x14ac:dyDescent="0.25">
      <c r="E4304"/>
      <c r="M4304"/>
    </row>
    <row r="4305" spans="5:13" x14ac:dyDescent="0.25">
      <c r="E4305"/>
      <c r="M4305"/>
    </row>
    <row r="4306" spans="5:13" x14ac:dyDescent="0.25">
      <c r="E4306"/>
      <c r="M4306"/>
    </row>
    <row r="4307" spans="5:13" x14ac:dyDescent="0.25">
      <c r="E4307"/>
      <c r="M4307"/>
    </row>
    <row r="4308" spans="5:13" x14ac:dyDescent="0.25">
      <c r="E4308"/>
      <c r="M4308"/>
    </row>
    <row r="4309" spans="5:13" x14ac:dyDescent="0.25">
      <c r="E4309"/>
      <c r="M4309"/>
    </row>
    <row r="4310" spans="5:13" x14ac:dyDescent="0.25">
      <c r="E4310"/>
      <c r="M4310"/>
    </row>
    <row r="4311" spans="5:13" x14ac:dyDescent="0.25">
      <c r="E4311"/>
      <c r="M4311"/>
    </row>
    <row r="4312" spans="5:13" x14ac:dyDescent="0.25">
      <c r="E4312"/>
      <c r="M4312"/>
    </row>
    <row r="4313" spans="5:13" x14ac:dyDescent="0.25">
      <c r="E4313"/>
      <c r="M4313"/>
    </row>
    <row r="4314" spans="5:13" x14ac:dyDescent="0.25">
      <c r="E4314"/>
      <c r="M4314"/>
    </row>
    <row r="4315" spans="5:13" x14ac:dyDescent="0.25">
      <c r="E4315"/>
      <c r="M4315"/>
    </row>
    <row r="4316" spans="5:13" x14ac:dyDescent="0.25">
      <c r="E4316"/>
      <c r="M4316"/>
    </row>
    <row r="4317" spans="5:13" x14ac:dyDescent="0.25">
      <c r="E4317"/>
      <c r="M4317"/>
    </row>
    <row r="4318" spans="5:13" x14ac:dyDescent="0.25">
      <c r="E4318"/>
      <c r="M4318"/>
    </row>
    <row r="4319" spans="5:13" x14ac:dyDescent="0.25">
      <c r="E4319"/>
      <c r="M4319"/>
    </row>
    <row r="4320" spans="5:13" x14ac:dyDescent="0.25">
      <c r="E4320"/>
      <c r="M4320"/>
    </row>
    <row r="4321" spans="5:13" x14ac:dyDescent="0.25">
      <c r="E4321"/>
      <c r="M4321"/>
    </row>
    <row r="4322" spans="5:13" x14ac:dyDescent="0.25">
      <c r="E4322"/>
      <c r="M4322"/>
    </row>
    <row r="4323" spans="5:13" x14ac:dyDescent="0.25">
      <c r="E4323"/>
      <c r="M4323"/>
    </row>
    <row r="4324" spans="5:13" x14ac:dyDescent="0.25">
      <c r="E4324"/>
      <c r="M4324"/>
    </row>
    <row r="4325" spans="5:13" x14ac:dyDescent="0.25">
      <c r="E4325"/>
      <c r="M4325"/>
    </row>
    <row r="4326" spans="5:13" x14ac:dyDescent="0.25">
      <c r="E4326"/>
      <c r="M4326"/>
    </row>
    <row r="4327" spans="5:13" x14ac:dyDescent="0.25">
      <c r="E4327"/>
      <c r="M4327"/>
    </row>
    <row r="4328" spans="5:13" x14ac:dyDescent="0.25">
      <c r="E4328"/>
      <c r="M4328"/>
    </row>
    <row r="4329" spans="5:13" x14ac:dyDescent="0.25">
      <c r="E4329"/>
      <c r="M4329"/>
    </row>
    <row r="4330" spans="5:13" x14ac:dyDescent="0.25">
      <c r="E4330"/>
      <c r="M4330"/>
    </row>
    <row r="4331" spans="5:13" x14ac:dyDescent="0.25">
      <c r="E4331"/>
      <c r="M4331"/>
    </row>
    <row r="4332" spans="5:13" x14ac:dyDescent="0.25">
      <c r="E4332"/>
      <c r="M4332"/>
    </row>
    <row r="4333" spans="5:13" x14ac:dyDescent="0.25">
      <c r="E4333"/>
      <c r="M4333"/>
    </row>
    <row r="4334" spans="5:13" x14ac:dyDescent="0.25">
      <c r="E4334"/>
      <c r="M4334"/>
    </row>
    <row r="4335" spans="5:13" x14ac:dyDescent="0.25">
      <c r="E4335"/>
      <c r="M4335"/>
    </row>
    <row r="4336" spans="5:13" x14ac:dyDescent="0.25">
      <c r="E4336"/>
      <c r="M4336"/>
    </row>
    <row r="4337" spans="5:13" x14ac:dyDescent="0.25">
      <c r="E4337"/>
      <c r="M4337"/>
    </row>
    <row r="4338" spans="5:13" x14ac:dyDescent="0.25">
      <c r="E4338"/>
      <c r="M4338"/>
    </row>
    <row r="4339" spans="5:13" x14ac:dyDescent="0.25">
      <c r="E4339"/>
      <c r="M4339"/>
    </row>
    <row r="4340" spans="5:13" x14ac:dyDescent="0.25">
      <c r="E4340"/>
      <c r="M4340"/>
    </row>
    <row r="4341" spans="5:13" x14ac:dyDescent="0.25">
      <c r="E4341"/>
      <c r="M4341"/>
    </row>
    <row r="4342" spans="5:13" x14ac:dyDescent="0.25">
      <c r="E4342"/>
      <c r="M4342"/>
    </row>
    <row r="4343" spans="5:13" x14ac:dyDescent="0.25">
      <c r="E4343"/>
      <c r="M4343"/>
    </row>
    <row r="4344" spans="5:13" x14ac:dyDescent="0.25">
      <c r="E4344"/>
      <c r="M4344"/>
    </row>
    <row r="4345" spans="5:13" x14ac:dyDescent="0.25">
      <c r="E4345"/>
      <c r="M4345"/>
    </row>
    <row r="4346" spans="5:13" x14ac:dyDescent="0.25">
      <c r="E4346"/>
      <c r="M4346"/>
    </row>
    <row r="4347" spans="5:13" x14ac:dyDescent="0.25">
      <c r="E4347"/>
      <c r="M4347"/>
    </row>
    <row r="4348" spans="5:13" x14ac:dyDescent="0.25">
      <c r="E4348"/>
      <c r="M4348"/>
    </row>
    <row r="4349" spans="5:13" x14ac:dyDescent="0.25">
      <c r="E4349"/>
      <c r="M4349"/>
    </row>
    <row r="4350" spans="5:13" x14ac:dyDescent="0.25">
      <c r="E4350"/>
      <c r="M4350"/>
    </row>
    <row r="4351" spans="5:13" x14ac:dyDescent="0.25">
      <c r="E4351"/>
      <c r="M4351"/>
    </row>
    <row r="4352" spans="5:13" x14ac:dyDescent="0.25">
      <c r="E4352"/>
      <c r="M4352"/>
    </row>
    <row r="4353" spans="5:13" x14ac:dyDescent="0.25">
      <c r="E4353"/>
      <c r="M4353"/>
    </row>
    <row r="4354" spans="5:13" x14ac:dyDescent="0.25">
      <c r="E4354"/>
      <c r="M4354"/>
    </row>
    <row r="4355" spans="5:13" x14ac:dyDescent="0.25">
      <c r="E4355"/>
      <c r="M4355"/>
    </row>
    <row r="4356" spans="5:13" x14ac:dyDescent="0.25">
      <c r="E4356"/>
      <c r="M4356"/>
    </row>
    <row r="4357" spans="5:13" x14ac:dyDescent="0.25">
      <c r="E4357"/>
      <c r="M4357"/>
    </row>
    <row r="4358" spans="5:13" x14ac:dyDescent="0.25">
      <c r="E4358"/>
      <c r="M4358"/>
    </row>
    <row r="4359" spans="5:13" x14ac:dyDescent="0.25">
      <c r="E4359"/>
      <c r="M4359"/>
    </row>
    <row r="4360" spans="5:13" x14ac:dyDescent="0.25">
      <c r="E4360"/>
      <c r="M4360"/>
    </row>
    <row r="4361" spans="5:13" x14ac:dyDescent="0.25">
      <c r="E4361"/>
      <c r="M4361"/>
    </row>
    <row r="4362" spans="5:13" x14ac:dyDescent="0.25">
      <c r="E4362"/>
      <c r="M4362"/>
    </row>
    <row r="4363" spans="5:13" x14ac:dyDescent="0.25">
      <c r="E4363"/>
      <c r="M4363"/>
    </row>
    <row r="4364" spans="5:13" x14ac:dyDescent="0.25">
      <c r="E4364"/>
      <c r="M4364"/>
    </row>
    <row r="4365" spans="5:13" x14ac:dyDescent="0.25">
      <c r="E4365"/>
      <c r="M4365"/>
    </row>
    <row r="4366" spans="5:13" x14ac:dyDescent="0.25">
      <c r="E4366"/>
      <c r="M4366"/>
    </row>
    <row r="4367" spans="5:13" x14ac:dyDescent="0.25">
      <c r="E4367"/>
      <c r="M4367"/>
    </row>
    <row r="4368" spans="5:13" x14ac:dyDescent="0.25">
      <c r="E4368"/>
      <c r="M4368"/>
    </row>
    <row r="4369" spans="5:13" x14ac:dyDescent="0.25">
      <c r="E4369"/>
      <c r="M4369"/>
    </row>
    <row r="4370" spans="5:13" x14ac:dyDescent="0.25">
      <c r="E4370"/>
      <c r="M4370"/>
    </row>
    <row r="4371" spans="5:13" x14ac:dyDescent="0.25">
      <c r="E4371"/>
      <c r="M4371"/>
    </row>
    <row r="4372" spans="5:13" x14ac:dyDescent="0.25">
      <c r="E4372"/>
      <c r="M4372"/>
    </row>
    <row r="4373" spans="5:13" x14ac:dyDescent="0.25">
      <c r="E4373"/>
      <c r="M4373"/>
    </row>
    <row r="4374" spans="5:13" x14ac:dyDescent="0.25">
      <c r="E4374"/>
      <c r="M4374"/>
    </row>
    <row r="4375" spans="5:13" x14ac:dyDescent="0.25">
      <c r="E4375"/>
      <c r="M4375"/>
    </row>
    <row r="4376" spans="5:13" x14ac:dyDescent="0.25">
      <c r="E4376"/>
      <c r="M4376"/>
    </row>
    <row r="4377" spans="5:13" x14ac:dyDescent="0.25">
      <c r="E4377"/>
      <c r="M4377"/>
    </row>
    <row r="4378" spans="5:13" x14ac:dyDescent="0.25">
      <c r="E4378"/>
      <c r="M4378"/>
    </row>
    <row r="4379" spans="5:13" x14ac:dyDescent="0.25">
      <c r="E4379"/>
      <c r="M4379"/>
    </row>
    <row r="4380" spans="5:13" x14ac:dyDescent="0.25">
      <c r="E4380"/>
      <c r="M4380"/>
    </row>
    <row r="4381" spans="5:13" x14ac:dyDescent="0.25">
      <c r="E4381"/>
      <c r="M4381"/>
    </row>
    <row r="4382" spans="5:13" x14ac:dyDescent="0.25">
      <c r="E4382"/>
      <c r="M4382"/>
    </row>
    <row r="4383" spans="5:13" x14ac:dyDescent="0.25">
      <c r="E4383"/>
      <c r="M4383"/>
    </row>
    <row r="4384" spans="5:13" x14ac:dyDescent="0.25">
      <c r="E4384"/>
      <c r="M4384"/>
    </row>
    <row r="4385" spans="5:13" x14ac:dyDescent="0.25">
      <c r="E4385"/>
      <c r="M4385"/>
    </row>
    <row r="4386" spans="5:13" x14ac:dyDescent="0.25">
      <c r="E4386"/>
      <c r="M4386"/>
    </row>
    <row r="4387" spans="5:13" x14ac:dyDescent="0.25">
      <c r="E4387"/>
      <c r="M4387"/>
    </row>
    <row r="4388" spans="5:13" x14ac:dyDescent="0.25">
      <c r="E4388"/>
      <c r="M4388"/>
    </row>
    <row r="4389" spans="5:13" x14ac:dyDescent="0.25">
      <c r="E4389"/>
      <c r="M4389"/>
    </row>
    <row r="4390" spans="5:13" x14ac:dyDescent="0.25">
      <c r="E4390"/>
      <c r="M4390"/>
    </row>
    <row r="4391" spans="5:13" x14ac:dyDescent="0.25">
      <c r="E4391"/>
      <c r="M4391"/>
    </row>
    <row r="4392" spans="5:13" x14ac:dyDescent="0.25">
      <c r="E4392"/>
      <c r="M4392"/>
    </row>
    <row r="4393" spans="5:13" x14ac:dyDescent="0.25">
      <c r="E4393"/>
      <c r="M4393"/>
    </row>
    <row r="4394" spans="5:13" x14ac:dyDescent="0.25">
      <c r="E4394"/>
      <c r="M4394"/>
    </row>
    <row r="4395" spans="5:13" x14ac:dyDescent="0.25">
      <c r="E4395"/>
      <c r="M4395"/>
    </row>
    <row r="4396" spans="5:13" x14ac:dyDescent="0.25">
      <c r="E4396"/>
      <c r="M4396"/>
    </row>
    <row r="4397" spans="5:13" x14ac:dyDescent="0.25">
      <c r="E4397"/>
      <c r="M4397"/>
    </row>
    <row r="4398" spans="5:13" x14ac:dyDescent="0.25">
      <c r="E4398"/>
      <c r="M4398"/>
    </row>
    <row r="4399" spans="5:13" x14ac:dyDescent="0.25">
      <c r="E4399"/>
      <c r="M4399"/>
    </row>
    <row r="4400" spans="5:13" x14ac:dyDescent="0.25">
      <c r="E4400"/>
      <c r="M4400"/>
    </row>
    <row r="4401" spans="5:13" x14ac:dyDescent="0.25">
      <c r="E4401"/>
      <c r="M4401"/>
    </row>
    <row r="4402" spans="5:13" x14ac:dyDescent="0.25">
      <c r="E4402"/>
      <c r="M4402"/>
    </row>
    <row r="4403" spans="5:13" x14ac:dyDescent="0.25">
      <c r="E4403"/>
      <c r="M4403"/>
    </row>
    <row r="4404" spans="5:13" x14ac:dyDescent="0.25">
      <c r="E4404"/>
      <c r="M4404"/>
    </row>
    <row r="4405" spans="5:13" x14ac:dyDescent="0.25">
      <c r="E4405"/>
      <c r="M4405"/>
    </row>
    <row r="4406" spans="5:13" x14ac:dyDescent="0.25">
      <c r="E4406"/>
      <c r="M4406"/>
    </row>
    <row r="4407" spans="5:13" x14ac:dyDescent="0.25">
      <c r="E4407"/>
      <c r="M4407"/>
    </row>
    <row r="4408" spans="5:13" x14ac:dyDescent="0.25">
      <c r="E4408"/>
      <c r="M4408"/>
    </row>
    <row r="4409" spans="5:13" x14ac:dyDescent="0.25">
      <c r="E4409"/>
      <c r="M4409"/>
    </row>
    <row r="4410" spans="5:13" x14ac:dyDescent="0.25">
      <c r="E4410"/>
      <c r="M4410"/>
    </row>
    <row r="4411" spans="5:13" x14ac:dyDescent="0.25">
      <c r="E4411"/>
      <c r="M4411"/>
    </row>
    <row r="4412" spans="5:13" x14ac:dyDescent="0.25">
      <c r="E4412"/>
      <c r="M4412"/>
    </row>
    <row r="4413" spans="5:13" x14ac:dyDescent="0.25">
      <c r="E4413"/>
      <c r="M4413"/>
    </row>
    <row r="4414" spans="5:13" x14ac:dyDescent="0.25">
      <c r="E4414"/>
      <c r="M4414"/>
    </row>
    <row r="4415" spans="5:13" x14ac:dyDescent="0.25">
      <c r="E4415"/>
      <c r="M4415"/>
    </row>
    <row r="4416" spans="5:13" x14ac:dyDescent="0.25">
      <c r="E4416"/>
      <c r="M4416"/>
    </row>
    <row r="4417" spans="5:13" x14ac:dyDescent="0.25">
      <c r="E4417"/>
      <c r="M4417"/>
    </row>
    <row r="4418" spans="5:13" x14ac:dyDescent="0.25">
      <c r="E4418"/>
      <c r="M4418"/>
    </row>
    <row r="4419" spans="5:13" x14ac:dyDescent="0.25">
      <c r="E4419"/>
      <c r="M4419"/>
    </row>
    <row r="4420" spans="5:13" x14ac:dyDescent="0.25">
      <c r="E4420"/>
      <c r="M4420"/>
    </row>
    <row r="4421" spans="5:13" x14ac:dyDescent="0.25">
      <c r="E4421"/>
      <c r="M4421"/>
    </row>
    <row r="4422" spans="5:13" x14ac:dyDescent="0.25">
      <c r="E4422"/>
      <c r="M4422"/>
    </row>
    <row r="4423" spans="5:13" x14ac:dyDescent="0.25">
      <c r="E4423"/>
      <c r="M4423"/>
    </row>
    <row r="4424" spans="5:13" x14ac:dyDescent="0.25">
      <c r="E4424"/>
      <c r="M4424"/>
    </row>
    <row r="4425" spans="5:13" x14ac:dyDescent="0.25">
      <c r="E4425"/>
      <c r="M4425"/>
    </row>
    <row r="4426" spans="5:13" x14ac:dyDescent="0.25">
      <c r="E4426"/>
      <c r="M4426"/>
    </row>
    <row r="4427" spans="5:13" x14ac:dyDescent="0.25">
      <c r="E4427"/>
      <c r="M4427"/>
    </row>
    <row r="4428" spans="5:13" x14ac:dyDescent="0.25">
      <c r="E4428"/>
      <c r="M4428"/>
    </row>
    <row r="4429" spans="5:13" x14ac:dyDescent="0.25">
      <c r="E4429"/>
      <c r="M4429"/>
    </row>
    <row r="4430" spans="5:13" x14ac:dyDescent="0.25">
      <c r="E4430"/>
      <c r="M4430"/>
    </row>
    <row r="4431" spans="5:13" x14ac:dyDescent="0.25">
      <c r="E4431"/>
      <c r="M4431"/>
    </row>
    <row r="4432" spans="5:13" x14ac:dyDescent="0.25">
      <c r="E4432"/>
      <c r="M4432"/>
    </row>
    <row r="4433" spans="5:13" x14ac:dyDescent="0.25">
      <c r="E4433"/>
      <c r="M4433"/>
    </row>
    <row r="4434" spans="5:13" x14ac:dyDescent="0.25">
      <c r="E4434"/>
      <c r="M4434"/>
    </row>
    <row r="4435" spans="5:13" x14ac:dyDescent="0.25">
      <c r="E4435"/>
      <c r="M4435"/>
    </row>
    <row r="4436" spans="5:13" x14ac:dyDescent="0.25">
      <c r="E4436"/>
      <c r="M4436"/>
    </row>
    <row r="4437" spans="5:13" x14ac:dyDescent="0.25">
      <c r="E4437"/>
      <c r="M4437"/>
    </row>
    <row r="4438" spans="5:13" x14ac:dyDescent="0.25">
      <c r="E4438"/>
      <c r="M4438"/>
    </row>
    <row r="4439" spans="5:13" x14ac:dyDescent="0.25">
      <c r="E4439"/>
      <c r="M4439"/>
    </row>
    <row r="4440" spans="5:13" x14ac:dyDescent="0.25">
      <c r="E4440"/>
      <c r="M4440"/>
    </row>
    <row r="4441" spans="5:13" x14ac:dyDescent="0.25">
      <c r="E4441"/>
      <c r="M4441"/>
    </row>
    <row r="4442" spans="5:13" x14ac:dyDescent="0.25">
      <c r="E4442"/>
      <c r="M4442"/>
    </row>
    <row r="4443" spans="5:13" x14ac:dyDescent="0.25">
      <c r="E4443"/>
      <c r="M4443"/>
    </row>
    <row r="4444" spans="5:13" x14ac:dyDescent="0.25">
      <c r="E4444"/>
      <c r="M4444"/>
    </row>
    <row r="4445" spans="5:13" x14ac:dyDescent="0.25">
      <c r="E4445"/>
      <c r="M4445"/>
    </row>
    <row r="4446" spans="5:13" x14ac:dyDescent="0.25">
      <c r="E4446"/>
      <c r="M4446"/>
    </row>
    <row r="4447" spans="5:13" x14ac:dyDescent="0.25">
      <c r="E4447"/>
      <c r="M4447"/>
    </row>
    <row r="4448" spans="5:13" x14ac:dyDescent="0.25">
      <c r="E4448"/>
      <c r="M4448"/>
    </row>
    <row r="4449" spans="5:13" x14ac:dyDescent="0.25">
      <c r="E4449"/>
      <c r="M4449"/>
    </row>
    <row r="4450" spans="5:13" x14ac:dyDescent="0.25">
      <c r="E4450"/>
      <c r="M4450"/>
    </row>
    <row r="4451" spans="5:13" x14ac:dyDescent="0.25">
      <c r="E4451"/>
      <c r="M4451"/>
    </row>
    <row r="4452" spans="5:13" x14ac:dyDescent="0.25">
      <c r="E4452"/>
      <c r="M4452"/>
    </row>
    <row r="4453" spans="5:13" x14ac:dyDescent="0.25">
      <c r="E4453"/>
      <c r="M4453"/>
    </row>
    <row r="4454" spans="5:13" x14ac:dyDescent="0.25">
      <c r="E4454"/>
      <c r="M4454"/>
    </row>
    <row r="4455" spans="5:13" x14ac:dyDescent="0.25">
      <c r="E4455"/>
      <c r="M4455"/>
    </row>
    <row r="4456" spans="5:13" x14ac:dyDescent="0.25">
      <c r="E4456"/>
      <c r="M4456"/>
    </row>
    <row r="4457" spans="5:13" x14ac:dyDescent="0.25">
      <c r="E4457"/>
      <c r="M4457"/>
    </row>
    <row r="4458" spans="5:13" x14ac:dyDescent="0.25">
      <c r="E4458"/>
      <c r="M4458"/>
    </row>
    <row r="4459" spans="5:13" x14ac:dyDescent="0.25">
      <c r="E4459"/>
      <c r="M4459"/>
    </row>
    <row r="4460" spans="5:13" x14ac:dyDescent="0.25">
      <c r="E4460"/>
      <c r="M4460"/>
    </row>
    <row r="4461" spans="5:13" x14ac:dyDescent="0.25">
      <c r="E4461"/>
      <c r="M4461"/>
    </row>
    <row r="4462" spans="5:13" x14ac:dyDescent="0.25">
      <c r="E4462"/>
      <c r="M4462"/>
    </row>
    <row r="4463" spans="5:13" x14ac:dyDescent="0.25">
      <c r="E4463"/>
      <c r="M4463"/>
    </row>
    <row r="4464" spans="5:13" x14ac:dyDescent="0.25">
      <c r="E4464"/>
      <c r="M4464"/>
    </row>
    <row r="4465" spans="5:13" x14ac:dyDescent="0.25">
      <c r="E4465"/>
      <c r="M4465"/>
    </row>
    <row r="4466" spans="5:13" x14ac:dyDescent="0.25">
      <c r="E4466"/>
      <c r="M4466"/>
    </row>
    <row r="4467" spans="5:13" x14ac:dyDescent="0.25">
      <c r="E4467"/>
      <c r="M4467"/>
    </row>
    <row r="4468" spans="5:13" x14ac:dyDescent="0.25">
      <c r="E4468"/>
      <c r="M4468"/>
    </row>
    <row r="4469" spans="5:13" x14ac:dyDescent="0.25">
      <c r="E4469"/>
      <c r="M4469"/>
    </row>
    <row r="4470" spans="5:13" x14ac:dyDescent="0.25">
      <c r="E4470"/>
      <c r="M4470"/>
    </row>
    <row r="4471" spans="5:13" x14ac:dyDescent="0.25">
      <c r="E4471"/>
      <c r="M4471"/>
    </row>
    <row r="4472" spans="5:13" x14ac:dyDescent="0.25">
      <c r="E4472"/>
      <c r="M4472"/>
    </row>
    <row r="4473" spans="5:13" x14ac:dyDescent="0.25">
      <c r="E4473"/>
      <c r="M4473"/>
    </row>
    <row r="4474" spans="5:13" x14ac:dyDescent="0.25">
      <c r="E4474"/>
      <c r="M4474"/>
    </row>
    <row r="4475" spans="5:13" x14ac:dyDescent="0.25">
      <c r="E4475"/>
      <c r="M4475"/>
    </row>
    <row r="4476" spans="5:13" x14ac:dyDescent="0.25">
      <c r="E4476"/>
      <c r="M4476"/>
    </row>
    <row r="4477" spans="5:13" x14ac:dyDescent="0.25">
      <c r="E4477"/>
      <c r="M4477"/>
    </row>
    <row r="4478" spans="5:13" x14ac:dyDescent="0.25">
      <c r="E4478"/>
      <c r="M4478"/>
    </row>
    <row r="4479" spans="5:13" x14ac:dyDescent="0.25">
      <c r="E4479"/>
      <c r="M4479"/>
    </row>
    <row r="4480" spans="5:13" x14ac:dyDescent="0.25">
      <c r="E4480"/>
      <c r="M4480"/>
    </row>
    <row r="4481" spans="5:13" x14ac:dyDescent="0.25">
      <c r="E4481"/>
      <c r="M4481"/>
    </row>
    <row r="4482" spans="5:13" x14ac:dyDescent="0.25">
      <c r="E4482"/>
      <c r="M4482"/>
    </row>
    <row r="4483" spans="5:13" x14ac:dyDescent="0.25">
      <c r="E4483"/>
      <c r="M4483"/>
    </row>
    <row r="4484" spans="5:13" x14ac:dyDescent="0.25">
      <c r="E4484"/>
      <c r="M4484"/>
    </row>
    <row r="4485" spans="5:13" x14ac:dyDescent="0.25">
      <c r="E4485"/>
      <c r="M4485"/>
    </row>
    <row r="4486" spans="5:13" x14ac:dyDescent="0.25">
      <c r="E4486"/>
      <c r="M4486"/>
    </row>
    <row r="4487" spans="5:13" x14ac:dyDescent="0.25">
      <c r="E4487"/>
      <c r="M4487"/>
    </row>
    <row r="4488" spans="5:13" x14ac:dyDescent="0.25">
      <c r="E4488"/>
      <c r="M4488"/>
    </row>
    <row r="4489" spans="5:13" x14ac:dyDescent="0.25">
      <c r="E4489"/>
      <c r="M4489"/>
    </row>
    <row r="4490" spans="5:13" x14ac:dyDescent="0.25">
      <c r="E4490"/>
      <c r="M4490"/>
    </row>
    <row r="4491" spans="5:13" x14ac:dyDescent="0.25">
      <c r="E4491"/>
      <c r="M4491"/>
    </row>
    <row r="4492" spans="5:13" x14ac:dyDescent="0.25">
      <c r="E4492"/>
      <c r="M4492"/>
    </row>
    <row r="4493" spans="5:13" x14ac:dyDescent="0.25">
      <c r="E4493"/>
      <c r="M4493"/>
    </row>
    <row r="4494" spans="5:13" x14ac:dyDescent="0.25">
      <c r="E4494"/>
      <c r="M4494"/>
    </row>
    <row r="4495" spans="5:13" x14ac:dyDescent="0.25">
      <c r="E4495"/>
      <c r="M4495"/>
    </row>
    <row r="4496" spans="5:13" x14ac:dyDescent="0.25">
      <c r="E4496"/>
      <c r="M4496"/>
    </row>
    <row r="4497" spans="5:13" x14ac:dyDescent="0.25">
      <c r="E4497"/>
      <c r="M4497"/>
    </row>
    <row r="4498" spans="5:13" x14ac:dyDescent="0.25">
      <c r="E4498"/>
      <c r="M4498"/>
    </row>
    <row r="4499" spans="5:13" x14ac:dyDescent="0.25">
      <c r="E4499"/>
      <c r="M4499"/>
    </row>
    <row r="4500" spans="5:13" x14ac:dyDescent="0.25">
      <c r="E4500"/>
      <c r="M4500"/>
    </row>
    <row r="4501" spans="5:13" x14ac:dyDescent="0.25">
      <c r="E4501"/>
      <c r="M4501"/>
    </row>
    <row r="4502" spans="5:13" x14ac:dyDescent="0.25">
      <c r="E4502"/>
      <c r="M4502"/>
    </row>
    <row r="4503" spans="5:13" x14ac:dyDescent="0.25">
      <c r="E4503"/>
      <c r="M4503"/>
    </row>
    <row r="4504" spans="5:13" x14ac:dyDescent="0.25">
      <c r="E4504"/>
      <c r="M4504"/>
    </row>
    <row r="4505" spans="5:13" x14ac:dyDescent="0.25">
      <c r="E4505"/>
      <c r="M4505"/>
    </row>
    <row r="4506" spans="5:13" x14ac:dyDescent="0.25">
      <c r="E4506"/>
      <c r="M4506"/>
    </row>
    <row r="4507" spans="5:13" x14ac:dyDescent="0.25">
      <c r="E4507"/>
      <c r="M4507"/>
    </row>
    <row r="4508" spans="5:13" x14ac:dyDescent="0.25">
      <c r="E4508"/>
      <c r="M4508"/>
    </row>
    <row r="4509" spans="5:13" x14ac:dyDescent="0.25">
      <c r="E4509"/>
      <c r="M4509"/>
    </row>
    <row r="4510" spans="5:13" x14ac:dyDescent="0.25">
      <c r="E4510"/>
      <c r="M4510"/>
    </row>
    <row r="4511" spans="5:13" x14ac:dyDescent="0.25">
      <c r="E4511"/>
      <c r="M4511"/>
    </row>
    <row r="4512" spans="5:13" x14ac:dyDescent="0.25">
      <c r="E4512"/>
      <c r="M4512"/>
    </row>
    <row r="4513" spans="5:13" x14ac:dyDescent="0.25">
      <c r="E4513"/>
      <c r="M4513"/>
    </row>
    <row r="4514" spans="5:13" x14ac:dyDescent="0.25">
      <c r="E4514"/>
      <c r="M4514"/>
    </row>
    <row r="4515" spans="5:13" x14ac:dyDescent="0.25">
      <c r="E4515"/>
      <c r="M4515"/>
    </row>
    <row r="4516" spans="5:13" x14ac:dyDescent="0.25">
      <c r="E4516"/>
      <c r="M4516"/>
    </row>
    <row r="4517" spans="5:13" x14ac:dyDescent="0.25">
      <c r="E4517"/>
      <c r="M4517"/>
    </row>
    <row r="4518" spans="5:13" x14ac:dyDescent="0.25">
      <c r="E4518"/>
      <c r="M4518"/>
    </row>
    <row r="4519" spans="5:13" x14ac:dyDescent="0.25">
      <c r="E4519"/>
      <c r="M4519"/>
    </row>
    <row r="4520" spans="5:13" x14ac:dyDescent="0.25">
      <c r="E4520"/>
      <c r="M4520"/>
    </row>
    <row r="4521" spans="5:13" x14ac:dyDescent="0.25">
      <c r="E4521"/>
      <c r="M4521"/>
    </row>
    <row r="4522" spans="5:13" x14ac:dyDescent="0.25">
      <c r="E4522"/>
      <c r="M4522"/>
    </row>
    <row r="4523" spans="5:13" x14ac:dyDescent="0.25">
      <c r="E4523"/>
      <c r="M4523"/>
    </row>
    <row r="4524" spans="5:13" x14ac:dyDescent="0.25">
      <c r="E4524"/>
      <c r="M4524"/>
    </row>
    <row r="4525" spans="5:13" x14ac:dyDescent="0.25">
      <c r="E4525"/>
      <c r="M4525"/>
    </row>
    <row r="4526" spans="5:13" x14ac:dyDescent="0.25">
      <c r="E4526"/>
      <c r="M4526"/>
    </row>
    <row r="4527" spans="5:13" x14ac:dyDescent="0.25">
      <c r="E4527"/>
      <c r="M4527"/>
    </row>
    <row r="4528" spans="5:13" x14ac:dyDescent="0.25">
      <c r="E4528"/>
      <c r="M4528"/>
    </row>
    <row r="4529" spans="5:13" x14ac:dyDescent="0.25">
      <c r="E4529"/>
      <c r="M4529"/>
    </row>
    <row r="4530" spans="5:13" x14ac:dyDescent="0.25">
      <c r="E4530"/>
      <c r="M4530"/>
    </row>
    <row r="4531" spans="5:13" x14ac:dyDescent="0.25">
      <c r="E4531"/>
      <c r="M4531"/>
    </row>
    <row r="4532" spans="5:13" x14ac:dyDescent="0.25">
      <c r="E4532"/>
      <c r="M4532"/>
    </row>
    <row r="4533" spans="5:13" x14ac:dyDescent="0.25">
      <c r="E4533"/>
      <c r="M4533"/>
    </row>
    <row r="4534" spans="5:13" x14ac:dyDescent="0.25">
      <c r="E4534"/>
      <c r="M4534"/>
    </row>
    <row r="4535" spans="5:13" x14ac:dyDescent="0.25">
      <c r="E4535"/>
      <c r="M4535"/>
    </row>
    <row r="4536" spans="5:13" x14ac:dyDescent="0.25">
      <c r="E4536"/>
      <c r="M4536"/>
    </row>
    <row r="4537" spans="5:13" x14ac:dyDescent="0.25">
      <c r="E4537"/>
      <c r="M4537"/>
    </row>
    <row r="4538" spans="5:13" x14ac:dyDescent="0.25">
      <c r="E4538"/>
      <c r="M4538"/>
    </row>
    <row r="4539" spans="5:13" x14ac:dyDescent="0.25">
      <c r="E4539"/>
      <c r="M4539"/>
    </row>
    <row r="4540" spans="5:13" x14ac:dyDescent="0.25">
      <c r="E4540"/>
      <c r="M4540"/>
    </row>
    <row r="4541" spans="5:13" x14ac:dyDescent="0.25">
      <c r="E4541"/>
      <c r="M4541"/>
    </row>
    <row r="4542" spans="5:13" x14ac:dyDescent="0.25">
      <c r="E4542"/>
      <c r="M4542"/>
    </row>
    <row r="4543" spans="5:13" x14ac:dyDescent="0.25">
      <c r="E4543"/>
      <c r="M4543"/>
    </row>
    <row r="4544" spans="5:13" x14ac:dyDescent="0.25">
      <c r="E4544"/>
      <c r="M4544"/>
    </row>
    <row r="4545" spans="5:13" x14ac:dyDescent="0.25">
      <c r="E4545"/>
      <c r="M4545"/>
    </row>
    <row r="4546" spans="5:13" x14ac:dyDescent="0.25">
      <c r="E4546"/>
      <c r="M4546"/>
    </row>
    <row r="4547" spans="5:13" x14ac:dyDescent="0.25">
      <c r="E4547"/>
      <c r="M4547"/>
    </row>
    <row r="4548" spans="5:13" x14ac:dyDescent="0.25">
      <c r="E4548"/>
      <c r="M4548"/>
    </row>
    <row r="4549" spans="5:13" x14ac:dyDescent="0.25">
      <c r="E4549"/>
      <c r="M4549"/>
    </row>
    <row r="4550" spans="5:13" x14ac:dyDescent="0.25">
      <c r="E4550"/>
      <c r="M4550"/>
    </row>
    <row r="4551" spans="5:13" x14ac:dyDescent="0.25">
      <c r="E4551"/>
      <c r="M4551"/>
    </row>
    <row r="4552" spans="5:13" x14ac:dyDescent="0.25">
      <c r="E4552"/>
      <c r="M4552"/>
    </row>
    <row r="4553" spans="5:13" x14ac:dyDescent="0.25">
      <c r="E4553"/>
      <c r="M4553"/>
    </row>
    <row r="4554" spans="5:13" x14ac:dyDescent="0.25">
      <c r="E4554"/>
      <c r="M4554"/>
    </row>
    <row r="4555" spans="5:13" x14ac:dyDescent="0.25">
      <c r="E4555"/>
      <c r="M4555"/>
    </row>
    <row r="4556" spans="5:13" x14ac:dyDescent="0.25">
      <c r="E4556"/>
      <c r="M4556"/>
    </row>
    <row r="4557" spans="5:13" x14ac:dyDescent="0.25">
      <c r="E4557"/>
      <c r="M4557"/>
    </row>
    <row r="4558" spans="5:13" x14ac:dyDescent="0.25">
      <c r="E4558"/>
      <c r="M4558"/>
    </row>
    <row r="4559" spans="5:13" x14ac:dyDescent="0.25">
      <c r="E4559"/>
      <c r="M4559"/>
    </row>
    <row r="4560" spans="5:13" x14ac:dyDescent="0.25">
      <c r="E4560"/>
      <c r="M4560"/>
    </row>
    <row r="4561" spans="5:13" x14ac:dyDescent="0.25">
      <c r="E4561"/>
      <c r="M4561"/>
    </row>
    <row r="4562" spans="5:13" x14ac:dyDescent="0.25">
      <c r="E4562"/>
      <c r="M4562"/>
    </row>
    <row r="4563" spans="5:13" x14ac:dyDescent="0.25">
      <c r="E4563"/>
      <c r="M4563"/>
    </row>
    <row r="4564" spans="5:13" x14ac:dyDescent="0.25">
      <c r="E4564"/>
      <c r="M4564"/>
    </row>
    <row r="4565" spans="5:13" x14ac:dyDescent="0.25">
      <c r="E4565"/>
      <c r="M4565"/>
    </row>
    <row r="4566" spans="5:13" x14ac:dyDescent="0.25">
      <c r="E4566"/>
      <c r="M4566"/>
    </row>
    <row r="4567" spans="5:13" x14ac:dyDescent="0.25">
      <c r="E4567"/>
      <c r="M4567"/>
    </row>
    <row r="4568" spans="5:13" x14ac:dyDescent="0.25">
      <c r="E4568"/>
      <c r="M4568"/>
    </row>
    <row r="4569" spans="5:13" x14ac:dyDescent="0.25">
      <c r="E4569"/>
      <c r="M4569"/>
    </row>
    <row r="4570" spans="5:13" x14ac:dyDescent="0.25">
      <c r="E4570"/>
      <c r="M4570"/>
    </row>
    <row r="4571" spans="5:13" x14ac:dyDescent="0.25">
      <c r="E4571"/>
      <c r="M4571"/>
    </row>
    <row r="4572" spans="5:13" x14ac:dyDescent="0.25">
      <c r="E4572"/>
      <c r="M4572"/>
    </row>
    <row r="4573" spans="5:13" x14ac:dyDescent="0.25">
      <c r="E4573"/>
      <c r="M4573"/>
    </row>
    <row r="4574" spans="5:13" x14ac:dyDescent="0.25">
      <c r="E4574"/>
      <c r="M4574"/>
    </row>
    <row r="4575" spans="5:13" x14ac:dyDescent="0.25">
      <c r="E4575"/>
      <c r="M4575"/>
    </row>
    <row r="4576" spans="5:13" x14ac:dyDescent="0.25">
      <c r="E4576"/>
      <c r="M4576"/>
    </row>
    <row r="4577" spans="5:13" x14ac:dyDescent="0.25">
      <c r="E4577"/>
      <c r="M4577"/>
    </row>
    <row r="4578" spans="5:13" x14ac:dyDescent="0.25">
      <c r="E4578"/>
      <c r="M4578"/>
    </row>
    <row r="4579" spans="5:13" x14ac:dyDescent="0.25">
      <c r="E4579"/>
      <c r="M4579"/>
    </row>
    <row r="4580" spans="5:13" x14ac:dyDescent="0.25">
      <c r="E4580"/>
      <c r="M4580"/>
    </row>
    <row r="4581" spans="5:13" x14ac:dyDescent="0.25">
      <c r="E4581"/>
      <c r="M4581"/>
    </row>
    <row r="4582" spans="5:13" x14ac:dyDescent="0.25">
      <c r="E4582"/>
      <c r="M4582"/>
    </row>
    <row r="4583" spans="5:13" x14ac:dyDescent="0.25">
      <c r="E4583"/>
      <c r="M4583"/>
    </row>
    <row r="4584" spans="5:13" x14ac:dyDescent="0.25">
      <c r="E4584"/>
      <c r="M4584"/>
    </row>
    <row r="4585" spans="5:13" x14ac:dyDescent="0.25">
      <c r="E4585"/>
      <c r="M4585"/>
    </row>
    <row r="4586" spans="5:13" x14ac:dyDescent="0.25">
      <c r="E4586"/>
      <c r="M4586"/>
    </row>
    <row r="4587" spans="5:13" x14ac:dyDescent="0.25">
      <c r="E4587"/>
      <c r="M4587"/>
    </row>
    <row r="4588" spans="5:13" x14ac:dyDescent="0.25">
      <c r="E4588"/>
      <c r="M4588"/>
    </row>
    <row r="4589" spans="5:13" x14ac:dyDescent="0.25">
      <c r="E4589"/>
      <c r="M4589"/>
    </row>
    <row r="4590" spans="5:13" x14ac:dyDescent="0.25">
      <c r="E4590"/>
      <c r="M4590"/>
    </row>
    <row r="4591" spans="5:13" x14ac:dyDescent="0.25">
      <c r="E4591"/>
      <c r="M4591"/>
    </row>
    <row r="4592" spans="5:13" x14ac:dyDescent="0.25">
      <c r="E4592"/>
      <c r="M4592"/>
    </row>
    <row r="4593" spans="5:13" x14ac:dyDescent="0.25">
      <c r="E4593"/>
      <c r="M4593"/>
    </row>
    <row r="4594" spans="5:13" x14ac:dyDescent="0.25">
      <c r="E4594"/>
      <c r="M4594"/>
    </row>
    <row r="4595" spans="5:13" x14ac:dyDescent="0.25">
      <c r="E4595"/>
      <c r="M4595"/>
    </row>
    <row r="4596" spans="5:13" x14ac:dyDescent="0.25">
      <c r="E4596"/>
      <c r="M4596"/>
    </row>
    <row r="4597" spans="5:13" x14ac:dyDescent="0.25">
      <c r="E4597"/>
      <c r="M4597"/>
    </row>
    <row r="4598" spans="5:13" x14ac:dyDescent="0.25">
      <c r="E4598"/>
      <c r="M4598"/>
    </row>
    <row r="4599" spans="5:13" x14ac:dyDescent="0.25">
      <c r="E4599"/>
      <c r="M4599"/>
    </row>
    <row r="4600" spans="5:13" x14ac:dyDescent="0.25">
      <c r="E4600"/>
      <c r="M4600"/>
    </row>
    <row r="4601" spans="5:13" x14ac:dyDescent="0.25">
      <c r="E4601"/>
      <c r="M4601"/>
    </row>
    <row r="4602" spans="5:13" x14ac:dyDescent="0.25">
      <c r="E4602"/>
      <c r="M4602"/>
    </row>
    <row r="4603" spans="5:13" x14ac:dyDescent="0.25">
      <c r="E4603"/>
      <c r="M4603"/>
    </row>
    <row r="4604" spans="5:13" x14ac:dyDescent="0.25">
      <c r="E4604"/>
      <c r="M4604"/>
    </row>
    <row r="4605" spans="5:13" x14ac:dyDescent="0.25">
      <c r="E4605"/>
      <c r="M4605"/>
    </row>
    <row r="4606" spans="5:13" x14ac:dyDescent="0.25">
      <c r="E4606"/>
      <c r="M4606"/>
    </row>
    <row r="4607" spans="5:13" x14ac:dyDescent="0.25">
      <c r="E4607"/>
      <c r="M4607"/>
    </row>
    <row r="4608" spans="5:13" x14ac:dyDescent="0.25">
      <c r="E4608"/>
      <c r="M4608"/>
    </row>
    <row r="4609" spans="5:13" x14ac:dyDescent="0.25">
      <c r="E4609"/>
      <c r="M4609"/>
    </row>
    <row r="4610" spans="5:13" x14ac:dyDescent="0.25">
      <c r="E4610"/>
      <c r="M4610"/>
    </row>
    <row r="4611" spans="5:13" x14ac:dyDescent="0.25">
      <c r="E4611"/>
      <c r="M4611"/>
    </row>
    <row r="4612" spans="5:13" x14ac:dyDescent="0.25">
      <c r="E4612"/>
      <c r="M4612"/>
    </row>
    <row r="4613" spans="5:13" x14ac:dyDescent="0.25">
      <c r="E4613"/>
      <c r="M4613"/>
    </row>
    <row r="4614" spans="5:13" x14ac:dyDescent="0.25">
      <c r="E4614"/>
      <c r="M4614"/>
    </row>
    <row r="4615" spans="5:13" x14ac:dyDescent="0.25">
      <c r="E4615"/>
      <c r="M4615"/>
    </row>
    <row r="4616" spans="5:13" x14ac:dyDescent="0.25">
      <c r="E4616"/>
      <c r="M4616"/>
    </row>
    <row r="4617" spans="5:13" x14ac:dyDescent="0.25">
      <c r="E4617"/>
      <c r="M4617"/>
    </row>
    <row r="4618" spans="5:13" x14ac:dyDescent="0.25">
      <c r="E4618"/>
      <c r="M4618"/>
    </row>
    <row r="4619" spans="5:13" x14ac:dyDescent="0.25">
      <c r="E4619"/>
      <c r="M4619"/>
    </row>
    <row r="4620" spans="5:13" x14ac:dyDescent="0.25">
      <c r="E4620"/>
      <c r="M4620"/>
    </row>
    <row r="4621" spans="5:13" x14ac:dyDescent="0.25">
      <c r="E4621"/>
      <c r="M4621"/>
    </row>
    <row r="4622" spans="5:13" x14ac:dyDescent="0.25">
      <c r="E4622"/>
      <c r="M4622"/>
    </row>
    <row r="4623" spans="5:13" x14ac:dyDescent="0.25">
      <c r="E4623"/>
      <c r="M4623"/>
    </row>
    <row r="4624" spans="5:13" x14ac:dyDescent="0.25">
      <c r="E4624"/>
      <c r="M4624"/>
    </row>
    <row r="4625" spans="5:13" x14ac:dyDescent="0.25">
      <c r="E4625"/>
      <c r="M4625"/>
    </row>
    <row r="4626" spans="5:13" x14ac:dyDescent="0.25">
      <c r="E4626"/>
      <c r="M4626"/>
    </row>
    <row r="4627" spans="5:13" x14ac:dyDescent="0.25">
      <c r="E4627"/>
      <c r="M4627"/>
    </row>
    <row r="4628" spans="5:13" x14ac:dyDescent="0.25">
      <c r="E4628"/>
      <c r="M4628"/>
    </row>
    <row r="4629" spans="5:13" x14ac:dyDescent="0.25">
      <c r="E4629"/>
      <c r="M4629"/>
    </row>
    <row r="4630" spans="5:13" x14ac:dyDescent="0.25">
      <c r="E4630"/>
      <c r="M4630"/>
    </row>
    <row r="4631" spans="5:13" x14ac:dyDescent="0.25">
      <c r="E4631"/>
      <c r="M4631"/>
    </row>
    <row r="4632" spans="5:13" x14ac:dyDescent="0.25">
      <c r="E4632"/>
      <c r="M4632"/>
    </row>
    <row r="4633" spans="5:13" x14ac:dyDescent="0.25">
      <c r="E4633"/>
      <c r="M4633"/>
    </row>
    <row r="4634" spans="5:13" x14ac:dyDescent="0.25">
      <c r="E4634"/>
      <c r="M4634"/>
    </row>
    <row r="4635" spans="5:13" x14ac:dyDescent="0.25">
      <c r="E4635"/>
      <c r="M4635"/>
    </row>
    <row r="4636" spans="5:13" x14ac:dyDescent="0.25">
      <c r="E4636"/>
      <c r="M4636"/>
    </row>
    <row r="4637" spans="5:13" x14ac:dyDescent="0.25">
      <c r="E4637"/>
      <c r="M4637"/>
    </row>
    <row r="4638" spans="5:13" x14ac:dyDescent="0.25">
      <c r="E4638"/>
      <c r="M4638"/>
    </row>
    <row r="4639" spans="5:13" x14ac:dyDescent="0.25">
      <c r="E4639"/>
      <c r="M4639"/>
    </row>
    <row r="4640" spans="5:13" x14ac:dyDescent="0.25">
      <c r="E4640"/>
      <c r="M4640"/>
    </row>
    <row r="4641" spans="5:13" x14ac:dyDescent="0.25">
      <c r="E4641"/>
      <c r="M4641"/>
    </row>
    <row r="4642" spans="5:13" x14ac:dyDescent="0.25">
      <c r="E4642"/>
      <c r="M4642"/>
    </row>
    <row r="4643" spans="5:13" x14ac:dyDescent="0.25">
      <c r="E4643"/>
      <c r="M4643"/>
    </row>
    <row r="4644" spans="5:13" x14ac:dyDescent="0.25">
      <c r="E4644"/>
      <c r="M4644"/>
    </row>
    <row r="4645" spans="5:13" x14ac:dyDescent="0.25">
      <c r="E4645"/>
      <c r="M4645"/>
    </row>
    <row r="4646" spans="5:13" x14ac:dyDescent="0.25">
      <c r="E4646"/>
      <c r="M4646"/>
    </row>
    <row r="4647" spans="5:13" x14ac:dyDescent="0.25">
      <c r="E4647"/>
      <c r="M4647"/>
    </row>
    <row r="4648" spans="5:13" x14ac:dyDescent="0.25">
      <c r="E4648"/>
      <c r="M4648"/>
    </row>
    <row r="4649" spans="5:13" x14ac:dyDescent="0.25">
      <c r="E4649"/>
      <c r="M4649"/>
    </row>
    <row r="4650" spans="5:13" x14ac:dyDescent="0.25">
      <c r="E4650"/>
      <c r="M4650"/>
    </row>
    <row r="4651" spans="5:13" x14ac:dyDescent="0.25">
      <c r="E4651"/>
      <c r="M4651"/>
    </row>
    <row r="4652" spans="5:13" x14ac:dyDescent="0.25">
      <c r="E4652"/>
      <c r="M4652"/>
    </row>
    <row r="4653" spans="5:13" x14ac:dyDescent="0.25">
      <c r="E4653"/>
      <c r="M4653"/>
    </row>
    <row r="4654" spans="5:13" x14ac:dyDescent="0.25">
      <c r="E4654"/>
      <c r="M4654"/>
    </row>
    <row r="4655" spans="5:13" x14ac:dyDescent="0.25">
      <c r="E4655"/>
      <c r="M4655"/>
    </row>
    <row r="4656" spans="5:13" x14ac:dyDescent="0.25">
      <c r="E4656"/>
      <c r="M4656"/>
    </row>
    <row r="4657" spans="5:13" x14ac:dyDescent="0.25">
      <c r="E4657"/>
      <c r="M4657"/>
    </row>
    <row r="4658" spans="5:13" x14ac:dyDescent="0.25">
      <c r="E4658"/>
      <c r="M4658"/>
    </row>
    <row r="4659" spans="5:13" x14ac:dyDescent="0.25">
      <c r="E4659"/>
      <c r="M4659"/>
    </row>
    <row r="4660" spans="5:13" x14ac:dyDescent="0.25">
      <c r="E4660"/>
      <c r="M4660"/>
    </row>
    <row r="4661" spans="5:13" x14ac:dyDescent="0.25">
      <c r="E4661"/>
      <c r="M4661"/>
    </row>
    <row r="4662" spans="5:13" x14ac:dyDescent="0.25">
      <c r="E4662"/>
      <c r="M4662"/>
    </row>
    <row r="4663" spans="5:13" x14ac:dyDescent="0.25">
      <c r="E4663"/>
      <c r="M4663"/>
    </row>
    <row r="4664" spans="5:13" x14ac:dyDescent="0.25">
      <c r="E4664"/>
      <c r="M4664"/>
    </row>
    <row r="4665" spans="5:13" x14ac:dyDescent="0.25">
      <c r="E4665"/>
      <c r="M4665"/>
    </row>
    <row r="4666" spans="5:13" x14ac:dyDescent="0.25">
      <c r="E4666"/>
      <c r="M4666"/>
    </row>
    <row r="4667" spans="5:13" x14ac:dyDescent="0.25">
      <c r="E4667"/>
      <c r="M4667"/>
    </row>
    <row r="4668" spans="5:13" x14ac:dyDescent="0.25">
      <c r="E4668"/>
      <c r="M4668"/>
    </row>
    <row r="4669" spans="5:13" x14ac:dyDescent="0.25">
      <c r="E4669"/>
      <c r="M4669"/>
    </row>
    <row r="4670" spans="5:13" x14ac:dyDescent="0.25">
      <c r="E4670"/>
      <c r="M4670"/>
    </row>
    <row r="4671" spans="5:13" x14ac:dyDescent="0.25">
      <c r="E4671"/>
      <c r="M4671"/>
    </row>
    <row r="4672" spans="5:13" x14ac:dyDescent="0.25">
      <c r="E4672"/>
      <c r="M4672"/>
    </row>
    <row r="4673" spans="5:13" x14ac:dyDescent="0.25">
      <c r="E4673"/>
      <c r="M4673"/>
    </row>
    <row r="4674" spans="5:13" x14ac:dyDescent="0.25">
      <c r="E4674"/>
      <c r="M4674"/>
    </row>
    <row r="4675" spans="5:13" x14ac:dyDescent="0.25">
      <c r="E4675"/>
      <c r="M4675"/>
    </row>
    <row r="4676" spans="5:13" x14ac:dyDescent="0.25">
      <c r="E4676"/>
      <c r="M4676"/>
    </row>
    <row r="4677" spans="5:13" x14ac:dyDescent="0.25">
      <c r="E4677"/>
      <c r="M4677"/>
    </row>
    <row r="4678" spans="5:13" x14ac:dyDescent="0.25">
      <c r="E4678"/>
      <c r="M4678"/>
    </row>
    <row r="4679" spans="5:13" x14ac:dyDescent="0.25">
      <c r="E4679"/>
      <c r="M4679"/>
    </row>
    <row r="4680" spans="5:13" x14ac:dyDescent="0.25">
      <c r="E4680"/>
      <c r="M4680"/>
    </row>
    <row r="4681" spans="5:13" x14ac:dyDescent="0.25">
      <c r="E4681"/>
      <c r="M4681"/>
    </row>
    <row r="4682" spans="5:13" x14ac:dyDescent="0.25">
      <c r="E4682"/>
      <c r="M4682"/>
    </row>
    <row r="4683" spans="5:13" x14ac:dyDescent="0.25">
      <c r="E4683"/>
      <c r="M4683"/>
    </row>
    <row r="4684" spans="5:13" x14ac:dyDescent="0.25">
      <c r="E4684"/>
      <c r="M4684"/>
    </row>
    <row r="4685" spans="5:13" x14ac:dyDescent="0.25">
      <c r="E4685"/>
      <c r="M4685"/>
    </row>
    <row r="4686" spans="5:13" x14ac:dyDescent="0.25">
      <c r="E4686"/>
      <c r="M4686"/>
    </row>
    <row r="4687" spans="5:13" x14ac:dyDescent="0.25">
      <c r="E4687"/>
      <c r="M4687"/>
    </row>
    <row r="4688" spans="5:13" x14ac:dyDescent="0.25">
      <c r="E4688"/>
      <c r="M4688"/>
    </row>
    <row r="4689" spans="5:13" x14ac:dyDescent="0.25">
      <c r="E4689"/>
      <c r="M4689"/>
    </row>
    <row r="4690" spans="5:13" x14ac:dyDescent="0.25">
      <c r="E4690"/>
      <c r="M4690"/>
    </row>
    <row r="4691" spans="5:13" x14ac:dyDescent="0.25">
      <c r="E4691"/>
      <c r="M4691"/>
    </row>
    <row r="4692" spans="5:13" x14ac:dyDescent="0.25">
      <c r="E4692"/>
      <c r="M4692"/>
    </row>
    <row r="4693" spans="5:13" x14ac:dyDescent="0.25">
      <c r="E4693"/>
      <c r="M4693"/>
    </row>
    <row r="4694" spans="5:13" x14ac:dyDescent="0.25">
      <c r="E4694"/>
      <c r="M4694"/>
    </row>
    <row r="4695" spans="5:13" x14ac:dyDescent="0.25">
      <c r="E4695"/>
      <c r="M4695"/>
    </row>
    <row r="4696" spans="5:13" x14ac:dyDescent="0.25">
      <c r="E4696"/>
      <c r="M4696"/>
    </row>
    <row r="4697" spans="5:13" x14ac:dyDescent="0.25">
      <c r="E4697"/>
      <c r="M4697"/>
    </row>
    <row r="4698" spans="5:13" x14ac:dyDescent="0.25">
      <c r="E4698"/>
      <c r="M4698"/>
    </row>
    <row r="4699" spans="5:13" x14ac:dyDescent="0.25">
      <c r="E4699"/>
      <c r="M4699"/>
    </row>
    <row r="4700" spans="5:13" x14ac:dyDescent="0.25">
      <c r="E4700"/>
      <c r="M4700"/>
    </row>
    <row r="4701" spans="5:13" x14ac:dyDescent="0.25">
      <c r="E4701"/>
      <c r="M4701"/>
    </row>
    <row r="4702" spans="5:13" x14ac:dyDescent="0.25">
      <c r="E4702"/>
      <c r="M4702"/>
    </row>
    <row r="4703" spans="5:13" x14ac:dyDescent="0.25">
      <c r="E4703"/>
      <c r="M4703"/>
    </row>
    <row r="4704" spans="5:13" x14ac:dyDescent="0.25">
      <c r="E4704"/>
      <c r="M4704"/>
    </row>
    <row r="4705" spans="5:13" x14ac:dyDescent="0.25">
      <c r="E4705"/>
      <c r="M4705"/>
    </row>
    <row r="4706" spans="5:13" x14ac:dyDescent="0.25">
      <c r="E4706"/>
      <c r="M4706"/>
    </row>
    <row r="4707" spans="5:13" x14ac:dyDescent="0.25">
      <c r="E4707"/>
      <c r="M4707"/>
    </row>
    <row r="4708" spans="5:13" x14ac:dyDescent="0.25">
      <c r="E4708"/>
      <c r="M4708"/>
    </row>
    <row r="4709" spans="5:13" x14ac:dyDescent="0.25">
      <c r="E4709"/>
      <c r="M4709"/>
    </row>
    <row r="4710" spans="5:13" x14ac:dyDescent="0.25">
      <c r="E4710"/>
      <c r="M4710"/>
    </row>
    <row r="4711" spans="5:13" x14ac:dyDescent="0.25">
      <c r="E4711"/>
      <c r="M4711"/>
    </row>
    <row r="4712" spans="5:13" x14ac:dyDescent="0.25">
      <c r="E4712"/>
      <c r="M4712"/>
    </row>
    <row r="4713" spans="5:13" x14ac:dyDescent="0.25">
      <c r="E4713"/>
      <c r="M4713"/>
    </row>
    <row r="4714" spans="5:13" x14ac:dyDescent="0.25">
      <c r="E4714"/>
      <c r="M4714"/>
    </row>
    <row r="4715" spans="5:13" x14ac:dyDescent="0.25">
      <c r="E4715"/>
      <c r="M4715"/>
    </row>
    <row r="4716" spans="5:13" x14ac:dyDescent="0.25">
      <c r="E4716"/>
      <c r="M4716"/>
    </row>
    <row r="4717" spans="5:13" x14ac:dyDescent="0.25">
      <c r="E4717"/>
      <c r="M4717"/>
    </row>
    <row r="4718" spans="5:13" x14ac:dyDescent="0.25">
      <c r="E4718"/>
      <c r="M4718"/>
    </row>
    <row r="4719" spans="5:13" x14ac:dyDescent="0.25">
      <c r="E4719"/>
      <c r="M4719"/>
    </row>
    <row r="4720" spans="5:13" x14ac:dyDescent="0.25">
      <c r="E4720"/>
      <c r="M4720"/>
    </row>
    <row r="4721" spans="5:13" x14ac:dyDescent="0.25">
      <c r="E4721"/>
      <c r="M4721"/>
    </row>
    <row r="4722" spans="5:13" x14ac:dyDescent="0.25">
      <c r="E4722"/>
      <c r="M4722"/>
    </row>
    <row r="4723" spans="5:13" x14ac:dyDescent="0.25">
      <c r="E4723"/>
      <c r="M4723"/>
    </row>
    <row r="4724" spans="5:13" x14ac:dyDescent="0.25">
      <c r="E4724"/>
      <c r="M4724"/>
    </row>
    <row r="4725" spans="5:13" x14ac:dyDescent="0.25">
      <c r="E4725"/>
      <c r="M4725"/>
    </row>
    <row r="4726" spans="5:13" x14ac:dyDescent="0.25">
      <c r="E4726"/>
      <c r="M4726"/>
    </row>
    <row r="4727" spans="5:13" x14ac:dyDescent="0.25">
      <c r="E4727"/>
      <c r="M4727"/>
    </row>
    <row r="4728" spans="5:13" x14ac:dyDescent="0.25">
      <c r="E4728"/>
      <c r="M4728"/>
    </row>
    <row r="4729" spans="5:13" x14ac:dyDescent="0.25">
      <c r="E4729"/>
      <c r="M4729"/>
    </row>
    <row r="4730" spans="5:13" x14ac:dyDescent="0.25">
      <c r="E4730"/>
      <c r="M4730"/>
    </row>
    <row r="4731" spans="5:13" x14ac:dyDescent="0.25">
      <c r="E4731"/>
      <c r="M4731"/>
    </row>
    <row r="4732" spans="5:13" x14ac:dyDescent="0.25">
      <c r="E4732"/>
      <c r="M4732"/>
    </row>
    <row r="4733" spans="5:13" x14ac:dyDescent="0.25">
      <c r="E4733"/>
      <c r="M4733"/>
    </row>
    <row r="4734" spans="5:13" x14ac:dyDescent="0.25">
      <c r="E4734"/>
      <c r="M4734"/>
    </row>
    <row r="4735" spans="5:13" x14ac:dyDescent="0.25">
      <c r="E4735"/>
      <c r="M4735"/>
    </row>
    <row r="4736" spans="5:13" x14ac:dyDescent="0.25">
      <c r="E4736"/>
      <c r="M4736"/>
    </row>
    <row r="4737" spans="5:13" x14ac:dyDescent="0.25">
      <c r="E4737"/>
      <c r="M4737"/>
    </row>
    <row r="4738" spans="5:13" x14ac:dyDescent="0.25">
      <c r="E4738"/>
      <c r="M4738"/>
    </row>
    <row r="4739" spans="5:13" x14ac:dyDescent="0.25">
      <c r="E4739"/>
      <c r="M4739"/>
    </row>
    <row r="4740" spans="5:13" x14ac:dyDescent="0.25">
      <c r="E4740"/>
      <c r="M4740"/>
    </row>
    <row r="4741" spans="5:13" x14ac:dyDescent="0.25">
      <c r="E4741"/>
      <c r="M4741"/>
    </row>
    <row r="4742" spans="5:13" x14ac:dyDescent="0.25">
      <c r="E4742"/>
      <c r="M4742"/>
    </row>
    <row r="4743" spans="5:13" x14ac:dyDescent="0.25">
      <c r="E4743"/>
      <c r="M4743"/>
    </row>
    <row r="4744" spans="5:13" x14ac:dyDescent="0.25">
      <c r="E4744"/>
      <c r="M4744"/>
    </row>
    <row r="4745" spans="5:13" x14ac:dyDescent="0.25">
      <c r="E4745"/>
      <c r="M4745"/>
    </row>
    <row r="4746" spans="5:13" x14ac:dyDescent="0.25">
      <c r="E4746"/>
      <c r="M4746"/>
    </row>
    <row r="4747" spans="5:13" x14ac:dyDescent="0.25">
      <c r="E4747"/>
      <c r="M4747"/>
    </row>
    <row r="4748" spans="5:13" x14ac:dyDescent="0.25">
      <c r="E4748"/>
      <c r="M4748"/>
    </row>
    <row r="4749" spans="5:13" x14ac:dyDescent="0.25">
      <c r="E4749"/>
      <c r="M4749"/>
    </row>
    <row r="4750" spans="5:13" x14ac:dyDescent="0.25">
      <c r="E4750"/>
      <c r="M4750"/>
    </row>
    <row r="4751" spans="5:13" x14ac:dyDescent="0.25">
      <c r="E4751"/>
      <c r="M4751"/>
    </row>
    <row r="4752" spans="5:13" x14ac:dyDescent="0.25">
      <c r="E4752"/>
      <c r="M4752"/>
    </row>
    <row r="4753" spans="5:13" x14ac:dyDescent="0.25">
      <c r="E4753"/>
      <c r="M4753"/>
    </row>
    <row r="4754" spans="5:13" x14ac:dyDescent="0.25">
      <c r="E4754"/>
      <c r="M4754"/>
    </row>
    <row r="4755" spans="5:13" x14ac:dyDescent="0.25">
      <c r="E4755"/>
      <c r="M4755"/>
    </row>
    <row r="4756" spans="5:13" x14ac:dyDescent="0.25">
      <c r="E4756"/>
      <c r="M4756"/>
    </row>
    <row r="4757" spans="5:13" x14ac:dyDescent="0.25">
      <c r="E4757"/>
      <c r="M4757"/>
    </row>
    <row r="4758" spans="5:13" x14ac:dyDescent="0.25">
      <c r="E4758"/>
      <c r="M4758"/>
    </row>
    <row r="4759" spans="5:13" x14ac:dyDescent="0.25">
      <c r="E4759"/>
      <c r="M4759"/>
    </row>
    <row r="4760" spans="5:13" x14ac:dyDescent="0.25">
      <c r="E4760"/>
      <c r="M4760"/>
    </row>
    <row r="4761" spans="5:13" x14ac:dyDescent="0.25">
      <c r="E4761"/>
      <c r="M4761"/>
    </row>
    <row r="4762" spans="5:13" x14ac:dyDescent="0.25">
      <c r="E4762"/>
      <c r="M4762"/>
    </row>
    <row r="4763" spans="5:13" x14ac:dyDescent="0.25">
      <c r="E4763"/>
      <c r="M4763"/>
    </row>
    <row r="4764" spans="5:13" x14ac:dyDescent="0.25">
      <c r="E4764"/>
      <c r="M4764"/>
    </row>
    <row r="4765" spans="5:13" x14ac:dyDescent="0.25">
      <c r="E4765"/>
      <c r="M4765"/>
    </row>
    <row r="4766" spans="5:13" x14ac:dyDescent="0.25">
      <c r="E4766"/>
      <c r="M4766"/>
    </row>
    <row r="4767" spans="5:13" x14ac:dyDescent="0.25">
      <c r="E4767"/>
      <c r="M4767"/>
    </row>
    <row r="4768" spans="5:13" x14ac:dyDescent="0.25">
      <c r="E4768"/>
      <c r="M4768"/>
    </row>
    <row r="4769" spans="5:13" x14ac:dyDescent="0.25">
      <c r="E4769"/>
      <c r="M4769"/>
    </row>
    <row r="4770" spans="5:13" x14ac:dyDescent="0.25">
      <c r="E4770"/>
      <c r="M4770"/>
    </row>
    <row r="4771" spans="5:13" x14ac:dyDescent="0.25">
      <c r="E4771"/>
      <c r="M4771"/>
    </row>
    <row r="4772" spans="5:13" x14ac:dyDescent="0.25">
      <c r="E4772"/>
      <c r="M4772"/>
    </row>
    <row r="4773" spans="5:13" x14ac:dyDescent="0.25">
      <c r="E4773"/>
      <c r="M4773"/>
    </row>
    <row r="4774" spans="5:13" x14ac:dyDescent="0.25">
      <c r="E4774"/>
      <c r="M4774"/>
    </row>
    <row r="4775" spans="5:13" x14ac:dyDescent="0.25">
      <c r="E4775"/>
      <c r="M4775"/>
    </row>
    <row r="4776" spans="5:13" x14ac:dyDescent="0.25">
      <c r="E4776"/>
      <c r="M4776"/>
    </row>
    <row r="4777" spans="5:13" x14ac:dyDescent="0.25">
      <c r="E4777"/>
      <c r="M4777"/>
    </row>
    <row r="4778" spans="5:13" x14ac:dyDescent="0.25">
      <c r="E4778"/>
      <c r="M4778"/>
    </row>
    <row r="4779" spans="5:13" x14ac:dyDescent="0.25">
      <c r="E4779"/>
      <c r="M4779"/>
    </row>
    <row r="4780" spans="5:13" x14ac:dyDescent="0.25">
      <c r="E4780"/>
      <c r="M4780"/>
    </row>
    <row r="4781" spans="5:13" x14ac:dyDescent="0.25">
      <c r="E4781"/>
      <c r="M4781"/>
    </row>
    <row r="4782" spans="5:13" x14ac:dyDescent="0.25">
      <c r="E4782"/>
      <c r="M4782"/>
    </row>
    <row r="4783" spans="5:13" x14ac:dyDescent="0.25">
      <c r="E4783"/>
      <c r="M4783"/>
    </row>
    <row r="4784" spans="5:13" x14ac:dyDescent="0.25">
      <c r="E4784"/>
      <c r="M4784"/>
    </row>
    <row r="4785" spans="5:13" x14ac:dyDescent="0.25">
      <c r="E4785"/>
      <c r="M4785"/>
    </row>
    <row r="4786" spans="5:13" x14ac:dyDescent="0.25">
      <c r="E4786"/>
      <c r="M4786"/>
    </row>
    <row r="4787" spans="5:13" x14ac:dyDescent="0.25">
      <c r="E4787"/>
      <c r="M4787"/>
    </row>
    <row r="4788" spans="5:13" x14ac:dyDescent="0.25">
      <c r="E4788"/>
      <c r="M4788"/>
    </row>
    <row r="4789" spans="5:13" x14ac:dyDescent="0.25">
      <c r="E4789"/>
      <c r="M4789"/>
    </row>
    <row r="4790" spans="5:13" x14ac:dyDescent="0.25">
      <c r="E4790"/>
      <c r="M4790"/>
    </row>
    <row r="4791" spans="5:13" x14ac:dyDescent="0.25">
      <c r="E4791"/>
      <c r="M4791"/>
    </row>
    <row r="4792" spans="5:13" x14ac:dyDescent="0.25">
      <c r="E4792"/>
      <c r="M4792"/>
    </row>
    <row r="4793" spans="5:13" x14ac:dyDescent="0.25">
      <c r="E4793"/>
      <c r="M4793"/>
    </row>
    <row r="4794" spans="5:13" x14ac:dyDescent="0.25">
      <c r="E4794"/>
      <c r="M4794"/>
    </row>
    <row r="4795" spans="5:13" x14ac:dyDescent="0.25">
      <c r="E4795"/>
      <c r="M4795"/>
    </row>
    <row r="4796" spans="5:13" x14ac:dyDescent="0.25">
      <c r="E4796"/>
      <c r="M4796"/>
    </row>
    <row r="4797" spans="5:13" x14ac:dyDescent="0.25">
      <c r="E4797"/>
      <c r="M4797"/>
    </row>
    <row r="4798" spans="5:13" x14ac:dyDescent="0.25">
      <c r="E4798"/>
      <c r="M4798"/>
    </row>
    <row r="4799" spans="5:13" x14ac:dyDescent="0.25">
      <c r="E4799"/>
      <c r="M4799"/>
    </row>
    <row r="4800" spans="5:13" x14ac:dyDescent="0.25">
      <c r="E4800"/>
      <c r="M4800"/>
    </row>
    <row r="4801" spans="5:13" x14ac:dyDescent="0.25">
      <c r="E4801"/>
      <c r="M4801"/>
    </row>
    <row r="4802" spans="5:13" x14ac:dyDescent="0.25">
      <c r="E4802"/>
      <c r="M4802"/>
    </row>
    <row r="4803" spans="5:13" x14ac:dyDescent="0.25">
      <c r="E4803"/>
      <c r="M4803"/>
    </row>
    <row r="4804" spans="5:13" x14ac:dyDescent="0.25">
      <c r="E4804"/>
      <c r="M4804"/>
    </row>
    <row r="4805" spans="5:13" x14ac:dyDescent="0.25">
      <c r="E4805"/>
      <c r="M4805"/>
    </row>
    <row r="4806" spans="5:13" x14ac:dyDescent="0.25">
      <c r="E4806"/>
      <c r="M4806"/>
    </row>
    <row r="4807" spans="5:13" x14ac:dyDescent="0.25">
      <c r="E4807"/>
      <c r="M4807"/>
    </row>
    <row r="4808" spans="5:13" x14ac:dyDescent="0.25">
      <c r="E4808"/>
      <c r="M4808"/>
    </row>
    <row r="4809" spans="5:13" x14ac:dyDescent="0.25">
      <c r="E4809"/>
      <c r="M4809"/>
    </row>
    <row r="4810" spans="5:13" x14ac:dyDescent="0.25">
      <c r="E4810"/>
      <c r="M4810"/>
    </row>
    <row r="4811" spans="5:13" x14ac:dyDescent="0.25">
      <c r="E4811"/>
      <c r="M4811"/>
    </row>
    <row r="4812" spans="5:13" x14ac:dyDescent="0.25">
      <c r="E4812"/>
      <c r="M4812"/>
    </row>
    <row r="4813" spans="5:13" x14ac:dyDescent="0.25">
      <c r="E4813"/>
      <c r="M4813"/>
    </row>
    <row r="4814" spans="5:13" x14ac:dyDescent="0.25">
      <c r="E4814"/>
      <c r="M4814"/>
    </row>
    <row r="4815" spans="5:13" x14ac:dyDescent="0.25">
      <c r="E4815"/>
      <c r="M4815"/>
    </row>
    <row r="4816" spans="5:13" x14ac:dyDescent="0.25">
      <c r="E4816"/>
      <c r="M4816"/>
    </row>
    <row r="4817" spans="5:13" x14ac:dyDescent="0.25">
      <c r="E4817"/>
      <c r="M4817"/>
    </row>
    <row r="4818" spans="5:13" x14ac:dyDescent="0.25">
      <c r="E4818"/>
      <c r="M4818"/>
    </row>
    <row r="4819" spans="5:13" x14ac:dyDescent="0.25">
      <c r="E4819"/>
      <c r="M4819"/>
    </row>
    <row r="4820" spans="5:13" x14ac:dyDescent="0.25">
      <c r="E4820"/>
      <c r="M4820"/>
    </row>
    <row r="4821" spans="5:13" x14ac:dyDescent="0.25">
      <c r="E4821"/>
      <c r="M4821"/>
    </row>
    <row r="4822" spans="5:13" x14ac:dyDescent="0.25">
      <c r="E4822"/>
      <c r="M4822"/>
    </row>
    <row r="4823" spans="5:13" x14ac:dyDescent="0.25">
      <c r="E4823"/>
      <c r="M4823"/>
    </row>
    <row r="4824" spans="5:13" x14ac:dyDescent="0.25">
      <c r="E4824"/>
      <c r="M4824"/>
    </row>
    <row r="4825" spans="5:13" x14ac:dyDescent="0.25">
      <c r="E4825"/>
      <c r="M4825"/>
    </row>
    <row r="4826" spans="5:13" x14ac:dyDescent="0.25">
      <c r="E4826"/>
      <c r="M4826"/>
    </row>
    <row r="4827" spans="5:13" x14ac:dyDescent="0.25">
      <c r="E4827"/>
      <c r="M4827"/>
    </row>
    <row r="4828" spans="5:13" x14ac:dyDescent="0.25">
      <c r="E4828"/>
      <c r="M4828"/>
    </row>
    <row r="4829" spans="5:13" x14ac:dyDescent="0.25">
      <c r="E4829"/>
      <c r="M4829"/>
    </row>
    <row r="4830" spans="5:13" x14ac:dyDescent="0.25">
      <c r="E4830"/>
      <c r="M4830"/>
    </row>
    <row r="4831" spans="5:13" x14ac:dyDescent="0.25">
      <c r="E4831"/>
      <c r="M4831"/>
    </row>
    <row r="4832" spans="5:13" x14ac:dyDescent="0.25">
      <c r="E4832"/>
      <c r="M4832"/>
    </row>
    <row r="4833" spans="5:13" x14ac:dyDescent="0.25">
      <c r="E4833"/>
      <c r="M4833"/>
    </row>
    <row r="4834" spans="5:13" x14ac:dyDescent="0.25">
      <c r="E4834"/>
      <c r="M4834"/>
    </row>
    <row r="4835" spans="5:13" x14ac:dyDescent="0.25">
      <c r="E4835"/>
      <c r="M4835"/>
    </row>
    <row r="4836" spans="5:13" x14ac:dyDescent="0.25">
      <c r="E4836"/>
      <c r="M4836"/>
    </row>
    <row r="4837" spans="5:13" x14ac:dyDescent="0.25">
      <c r="E4837"/>
      <c r="M4837"/>
    </row>
    <row r="4838" spans="5:13" x14ac:dyDescent="0.25">
      <c r="E4838"/>
      <c r="M4838"/>
    </row>
    <row r="4839" spans="5:13" x14ac:dyDescent="0.25">
      <c r="E4839"/>
      <c r="M4839"/>
    </row>
    <row r="4840" spans="5:13" x14ac:dyDescent="0.25">
      <c r="E4840"/>
      <c r="M4840"/>
    </row>
    <row r="4841" spans="5:13" x14ac:dyDescent="0.25">
      <c r="E4841"/>
      <c r="M4841"/>
    </row>
    <row r="4842" spans="5:13" x14ac:dyDescent="0.25">
      <c r="E4842"/>
      <c r="M4842"/>
    </row>
    <row r="4843" spans="5:13" x14ac:dyDescent="0.25">
      <c r="E4843"/>
      <c r="M4843"/>
    </row>
    <row r="4844" spans="5:13" x14ac:dyDescent="0.25">
      <c r="E4844"/>
      <c r="M4844"/>
    </row>
    <row r="4845" spans="5:13" x14ac:dyDescent="0.25">
      <c r="E4845"/>
      <c r="M4845"/>
    </row>
    <row r="4846" spans="5:13" x14ac:dyDescent="0.25">
      <c r="E4846"/>
      <c r="M4846"/>
    </row>
    <row r="4847" spans="5:13" x14ac:dyDescent="0.25">
      <c r="E4847"/>
      <c r="M4847"/>
    </row>
    <row r="4848" spans="5:13" x14ac:dyDescent="0.25">
      <c r="E4848"/>
      <c r="M4848"/>
    </row>
    <row r="4849" spans="5:13" x14ac:dyDescent="0.25">
      <c r="E4849"/>
      <c r="M4849"/>
    </row>
    <row r="4850" spans="5:13" x14ac:dyDescent="0.25">
      <c r="E4850"/>
      <c r="M4850"/>
    </row>
    <row r="4851" spans="5:13" x14ac:dyDescent="0.25">
      <c r="E4851"/>
      <c r="M4851"/>
    </row>
    <row r="4852" spans="5:13" x14ac:dyDescent="0.25">
      <c r="E4852"/>
      <c r="M4852"/>
    </row>
    <row r="4853" spans="5:13" x14ac:dyDescent="0.25">
      <c r="E4853"/>
      <c r="M4853"/>
    </row>
    <row r="4854" spans="5:13" x14ac:dyDescent="0.25">
      <c r="E4854"/>
      <c r="M4854"/>
    </row>
    <row r="4855" spans="5:13" x14ac:dyDescent="0.25">
      <c r="E4855"/>
      <c r="M4855"/>
    </row>
    <row r="4856" spans="5:13" x14ac:dyDescent="0.25">
      <c r="E4856"/>
      <c r="M4856"/>
    </row>
    <row r="4857" spans="5:13" x14ac:dyDescent="0.25">
      <c r="E4857"/>
      <c r="M4857"/>
    </row>
    <row r="4858" spans="5:13" x14ac:dyDescent="0.25">
      <c r="E4858"/>
      <c r="M4858"/>
    </row>
    <row r="4859" spans="5:13" x14ac:dyDescent="0.25">
      <c r="E4859"/>
      <c r="M4859"/>
    </row>
    <row r="4860" spans="5:13" x14ac:dyDescent="0.25">
      <c r="E4860"/>
      <c r="M4860"/>
    </row>
    <row r="4861" spans="5:13" x14ac:dyDescent="0.25">
      <c r="E4861"/>
      <c r="M4861"/>
    </row>
    <row r="4862" spans="5:13" x14ac:dyDescent="0.25">
      <c r="E4862"/>
      <c r="M4862"/>
    </row>
    <row r="4863" spans="5:13" x14ac:dyDescent="0.25">
      <c r="E4863"/>
      <c r="M4863"/>
    </row>
    <row r="4864" spans="5:13" x14ac:dyDescent="0.25">
      <c r="E4864"/>
      <c r="M4864"/>
    </row>
    <row r="4865" spans="5:13" x14ac:dyDescent="0.25">
      <c r="E4865"/>
      <c r="M4865"/>
    </row>
    <row r="4866" spans="5:13" x14ac:dyDescent="0.25">
      <c r="E4866"/>
      <c r="M4866"/>
    </row>
    <row r="4867" spans="5:13" x14ac:dyDescent="0.25">
      <c r="E4867"/>
      <c r="M4867"/>
    </row>
    <row r="4868" spans="5:13" x14ac:dyDescent="0.25">
      <c r="E4868"/>
      <c r="M4868"/>
    </row>
    <row r="4869" spans="5:13" x14ac:dyDescent="0.25">
      <c r="E4869"/>
      <c r="M4869"/>
    </row>
    <row r="4870" spans="5:13" x14ac:dyDescent="0.25">
      <c r="E4870"/>
      <c r="M4870"/>
    </row>
    <row r="4871" spans="5:13" x14ac:dyDescent="0.25">
      <c r="E4871"/>
      <c r="M4871"/>
    </row>
    <row r="4872" spans="5:13" x14ac:dyDescent="0.25">
      <c r="E4872"/>
      <c r="M4872"/>
    </row>
    <row r="4873" spans="5:13" x14ac:dyDescent="0.25">
      <c r="E4873"/>
      <c r="M4873"/>
    </row>
    <row r="4874" spans="5:13" x14ac:dyDescent="0.25">
      <c r="E4874"/>
      <c r="M4874"/>
    </row>
    <row r="4875" spans="5:13" x14ac:dyDescent="0.25">
      <c r="E4875"/>
      <c r="M4875"/>
    </row>
    <row r="4876" spans="5:13" x14ac:dyDescent="0.25">
      <c r="E4876"/>
      <c r="M4876"/>
    </row>
    <row r="4877" spans="5:13" x14ac:dyDescent="0.25">
      <c r="E4877"/>
      <c r="M4877"/>
    </row>
    <row r="4878" spans="5:13" x14ac:dyDescent="0.25">
      <c r="E4878"/>
      <c r="M4878"/>
    </row>
    <row r="4879" spans="5:13" x14ac:dyDescent="0.25">
      <c r="E4879"/>
      <c r="M4879"/>
    </row>
    <row r="4880" spans="5:13" x14ac:dyDescent="0.25">
      <c r="E4880"/>
      <c r="M4880"/>
    </row>
    <row r="4881" spans="5:13" x14ac:dyDescent="0.25">
      <c r="E4881"/>
      <c r="M4881"/>
    </row>
    <row r="4882" spans="5:13" x14ac:dyDescent="0.25">
      <c r="E4882"/>
      <c r="M4882"/>
    </row>
    <row r="4883" spans="5:13" x14ac:dyDescent="0.25">
      <c r="E4883"/>
      <c r="M4883"/>
    </row>
    <row r="4884" spans="5:13" x14ac:dyDescent="0.25">
      <c r="E4884"/>
      <c r="M4884"/>
    </row>
    <row r="4885" spans="5:13" x14ac:dyDescent="0.25">
      <c r="E4885"/>
      <c r="M4885"/>
    </row>
    <row r="4886" spans="5:13" x14ac:dyDescent="0.25">
      <c r="E4886"/>
      <c r="M4886"/>
    </row>
    <row r="4887" spans="5:13" x14ac:dyDescent="0.25">
      <c r="E4887"/>
      <c r="M4887"/>
    </row>
    <row r="4888" spans="5:13" x14ac:dyDescent="0.25">
      <c r="E4888"/>
      <c r="M4888"/>
    </row>
    <row r="4889" spans="5:13" x14ac:dyDescent="0.25">
      <c r="E4889"/>
      <c r="M4889"/>
    </row>
    <row r="4890" spans="5:13" x14ac:dyDescent="0.25">
      <c r="E4890"/>
      <c r="M4890"/>
    </row>
    <row r="4891" spans="5:13" x14ac:dyDescent="0.25">
      <c r="E4891"/>
      <c r="M4891"/>
    </row>
    <row r="4892" spans="5:13" x14ac:dyDescent="0.25">
      <c r="E4892"/>
      <c r="M4892"/>
    </row>
    <row r="4893" spans="5:13" x14ac:dyDescent="0.25">
      <c r="E4893"/>
      <c r="M4893"/>
    </row>
    <row r="4894" spans="5:13" x14ac:dyDescent="0.25">
      <c r="E4894"/>
      <c r="M4894"/>
    </row>
    <row r="4895" spans="5:13" x14ac:dyDescent="0.25">
      <c r="E4895"/>
      <c r="M4895"/>
    </row>
    <row r="4896" spans="5:13" x14ac:dyDescent="0.25">
      <c r="E4896"/>
      <c r="M4896"/>
    </row>
    <row r="4897" spans="5:13" x14ac:dyDescent="0.25">
      <c r="E4897"/>
      <c r="M4897"/>
    </row>
    <row r="4898" spans="5:13" x14ac:dyDescent="0.25">
      <c r="E4898"/>
      <c r="M4898"/>
    </row>
    <row r="4899" spans="5:13" x14ac:dyDescent="0.25">
      <c r="E4899"/>
      <c r="M4899"/>
    </row>
    <row r="4900" spans="5:13" x14ac:dyDescent="0.25">
      <c r="E4900"/>
      <c r="M4900"/>
    </row>
    <row r="4901" spans="5:13" x14ac:dyDescent="0.25">
      <c r="E4901"/>
      <c r="M4901"/>
    </row>
    <row r="4902" spans="5:13" x14ac:dyDescent="0.25">
      <c r="E4902"/>
      <c r="M4902"/>
    </row>
    <row r="4903" spans="5:13" x14ac:dyDescent="0.25">
      <c r="E4903"/>
      <c r="M4903"/>
    </row>
    <row r="4904" spans="5:13" x14ac:dyDescent="0.25">
      <c r="E4904"/>
      <c r="M4904"/>
    </row>
    <row r="4905" spans="5:13" x14ac:dyDescent="0.25">
      <c r="E4905"/>
      <c r="M4905"/>
    </row>
    <row r="4906" spans="5:13" x14ac:dyDescent="0.25">
      <c r="E4906"/>
      <c r="M4906"/>
    </row>
    <row r="4907" spans="5:13" x14ac:dyDescent="0.25">
      <c r="E4907"/>
      <c r="M4907"/>
    </row>
    <row r="4908" spans="5:13" x14ac:dyDescent="0.25">
      <c r="E4908"/>
      <c r="M4908"/>
    </row>
    <row r="4909" spans="5:13" x14ac:dyDescent="0.25">
      <c r="E4909"/>
      <c r="M4909"/>
    </row>
    <row r="4910" spans="5:13" x14ac:dyDescent="0.25">
      <c r="E4910"/>
      <c r="M4910"/>
    </row>
    <row r="4911" spans="5:13" x14ac:dyDescent="0.25">
      <c r="E4911"/>
      <c r="M4911"/>
    </row>
    <row r="4912" spans="5:13" x14ac:dyDescent="0.25">
      <c r="E4912"/>
      <c r="M4912"/>
    </row>
    <row r="4913" spans="5:13" x14ac:dyDescent="0.25">
      <c r="E4913"/>
      <c r="M4913"/>
    </row>
    <row r="4914" spans="5:13" x14ac:dyDescent="0.25">
      <c r="E4914"/>
      <c r="M4914"/>
    </row>
    <row r="4915" spans="5:13" x14ac:dyDescent="0.25">
      <c r="E4915"/>
      <c r="M4915"/>
    </row>
    <row r="4916" spans="5:13" x14ac:dyDescent="0.25">
      <c r="E4916"/>
      <c r="M4916"/>
    </row>
    <row r="4917" spans="5:13" x14ac:dyDescent="0.25">
      <c r="E4917"/>
      <c r="M4917"/>
    </row>
    <row r="4918" spans="5:13" x14ac:dyDescent="0.25">
      <c r="E4918"/>
      <c r="M4918"/>
    </row>
    <row r="4919" spans="5:13" x14ac:dyDescent="0.25">
      <c r="E4919"/>
      <c r="M4919"/>
    </row>
    <row r="4920" spans="5:13" x14ac:dyDescent="0.25">
      <c r="E4920"/>
      <c r="M4920"/>
    </row>
    <row r="4921" spans="5:13" x14ac:dyDescent="0.25">
      <c r="E4921"/>
      <c r="M4921"/>
    </row>
    <row r="4922" spans="5:13" x14ac:dyDescent="0.25">
      <c r="E4922"/>
      <c r="M4922"/>
    </row>
    <row r="4923" spans="5:13" x14ac:dyDescent="0.25">
      <c r="E4923"/>
      <c r="M4923"/>
    </row>
    <row r="4924" spans="5:13" x14ac:dyDescent="0.25">
      <c r="E4924"/>
      <c r="M4924"/>
    </row>
    <row r="4925" spans="5:13" x14ac:dyDescent="0.25">
      <c r="E4925"/>
      <c r="M4925"/>
    </row>
    <row r="4926" spans="5:13" x14ac:dyDescent="0.25">
      <c r="E4926"/>
      <c r="M4926"/>
    </row>
    <row r="4927" spans="5:13" x14ac:dyDescent="0.25">
      <c r="E4927"/>
      <c r="M4927"/>
    </row>
    <row r="4928" spans="5:13" x14ac:dyDescent="0.25">
      <c r="E4928"/>
      <c r="M4928"/>
    </row>
    <row r="4929" spans="5:13" x14ac:dyDescent="0.25">
      <c r="E4929"/>
      <c r="M4929"/>
    </row>
    <row r="4930" spans="5:13" x14ac:dyDescent="0.25">
      <c r="E4930"/>
      <c r="M4930"/>
    </row>
    <row r="4931" spans="5:13" x14ac:dyDescent="0.25">
      <c r="E4931"/>
      <c r="M4931"/>
    </row>
    <row r="4932" spans="5:13" x14ac:dyDescent="0.25">
      <c r="E4932"/>
      <c r="M4932"/>
    </row>
    <row r="4933" spans="5:13" x14ac:dyDescent="0.25">
      <c r="E4933"/>
      <c r="M4933"/>
    </row>
    <row r="4934" spans="5:13" x14ac:dyDescent="0.25">
      <c r="E4934"/>
      <c r="M4934"/>
    </row>
    <row r="4935" spans="5:13" x14ac:dyDescent="0.25">
      <c r="E4935"/>
      <c r="M4935"/>
    </row>
    <row r="4936" spans="5:13" x14ac:dyDescent="0.25">
      <c r="E4936"/>
      <c r="M4936"/>
    </row>
    <row r="4937" spans="5:13" x14ac:dyDescent="0.25">
      <c r="E4937"/>
      <c r="M4937"/>
    </row>
    <row r="4938" spans="5:13" x14ac:dyDescent="0.25">
      <c r="E4938"/>
      <c r="M4938"/>
    </row>
    <row r="4939" spans="5:13" x14ac:dyDescent="0.25">
      <c r="E4939"/>
      <c r="M4939"/>
    </row>
    <row r="4940" spans="5:13" x14ac:dyDescent="0.25">
      <c r="E4940"/>
      <c r="M4940"/>
    </row>
    <row r="4941" spans="5:13" x14ac:dyDescent="0.25">
      <c r="E4941"/>
      <c r="M4941"/>
    </row>
    <row r="4942" spans="5:13" x14ac:dyDescent="0.25">
      <c r="E4942"/>
      <c r="M4942"/>
    </row>
    <row r="4943" spans="5:13" x14ac:dyDescent="0.25">
      <c r="E4943"/>
      <c r="M4943"/>
    </row>
    <row r="4944" spans="5:13" x14ac:dyDescent="0.25">
      <c r="E4944"/>
      <c r="M4944"/>
    </row>
    <row r="4945" spans="5:13" x14ac:dyDescent="0.25">
      <c r="E4945"/>
      <c r="M4945"/>
    </row>
    <row r="4946" spans="5:13" x14ac:dyDescent="0.25">
      <c r="E4946"/>
      <c r="M4946"/>
    </row>
    <row r="4947" spans="5:13" x14ac:dyDescent="0.25">
      <c r="E4947"/>
      <c r="M4947"/>
    </row>
    <row r="4948" spans="5:13" x14ac:dyDescent="0.25">
      <c r="E4948"/>
      <c r="M4948"/>
    </row>
    <row r="4949" spans="5:13" x14ac:dyDescent="0.25">
      <c r="E4949"/>
      <c r="M4949"/>
    </row>
    <row r="4950" spans="5:13" x14ac:dyDescent="0.25">
      <c r="E4950"/>
      <c r="M4950"/>
    </row>
    <row r="4951" spans="5:13" x14ac:dyDescent="0.25">
      <c r="E4951"/>
      <c r="M4951"/>
    </row>
    <row r="4952" spans="5:13" x14ac:dyDescent="0.25">
      <c r="E4952"/>
      <c r="M4952"/>
    </row>
    <row r="4953" spans="5:13" x14ac:dyDescent="0.25">
      <c r="E4953"/>
      <c r="M4953"/>
    </row>
    <row r="4954" spans="5:13" x14ac:dyDescent="0.25">
      <c r="E4954"/>
      <c r="M4954"/>
    </row>
    <row r="4955" spans="5:13" x14ac:dyDescent="0.25">
      <c r="E4955"/>
      <c r="M4955"/>
    </row>
    <row r="4956" spans="5:13" x14ac:dyDescent="0.25">
      <c r="E4956"/>
      <c r="M4956"/>
    </row>
    <row r="4957" spans="5:13" x14ac:dyDescent="0.25">
      <c r="E4957"/>
      <c r="M4957"/>
    </row>
    <row r="4958" spans="5:13" x14ac:dyDescent="0.25">
      <c r="E4958"/>
      <c r="M4958"/>
    </row>
    <row r="4959" spans="5:13" x14ac:dyDescent="0.25">
      <c r="E4959"/>
      <c r="M4959"/>
    </row>
    <row r="4960" spans="5:13" x14ac:dyDescent="0.25">
      <c r="E4960"/>
      <c r="M4960"/>
    </row>
    <row r="4961" spans="5:13" x14ac:dyDescent="0.25">
      <c r="E4961"/>
      <c r="M4961"/>
    </row>
    <row r="4962" spans="5:13" x14ac:dyDescent="0.25">
      <c r="E4962"/>
      <c r="M4962"/>
    </row>
    <row r="4963" spans="5:13" x14ac:dyDescent="0.25">
      <c r="E4963"/>
      <c r="M4963"/>
    </row>
    <row r="4964" spans="5:13" x14ac:dyDescent="0.25">
      <c r="E4964"/>
      <c r="M4964"/>
    </row>
    <row r="4965" spans="5:13" x14ac:dyDescent="0.25">
      <c r="E4965"/>
      <c r="M4965"/>
    </row>
    <row r="4966" spans="5:13" x14ac:dyDescent="0.25">
      <c r="E4966"/>
      <c r="M4966"/>
    </row>
    <row r="4967" spans="5:13" x14ac:dyDescent="0.25">
      <c r="E4967"/>
      <c r="M4967"/>
    </row>
    <row r="4968" spans="5:13" x14ac:dyDescent="0.25">
      <c r="E4968"/>
      <c r="M4968"/>
    </row>
    <row r="4969" spans="5:13" x14ac:dyDescent="0.25">
      <c r="E4969"/>
      <c r="M4969"/>
    </row>
    <row r="4970" spans="5:13" x14ac:dyDescent="0.25">
      <c r="E4970"/>
      <c r="M4970"/>
    </row>
    <row r="4971" spans="5:13" x14ac:dyDescent="0.25">
      <c r="E4971"/>
      <c r="M4971"/>
    </row>
    <row r="4972" spans="5:13" x14ac:dyDescent="0.25">
      <c r="E4972"/>
      <c r="M4972"/>
    </row>
    <row r="4973" spans="5:13" x14ac:dyDescent="0.25">
      <c r="E4973"/>
      <c r="M4973"/>
    </row>
    <row r="4974" spans="5:13" x14ac:dyDescent="0.25">
      <c r="E4974"/>
      <c r="M4974"/>
    </row>
    <row r="4975" spans="5:13" x14ac:dyDescent="0.25">
      <c r="E4975"/>
      <c r="M4975"/>
    </row>
    <row r="4976" spans="5:13" x14ac:dyDescent="0.25">
      <c r="E4976"/>
      <c r="M4976"/>
    </row>
    <row r="4977" spans="5:13" x14ac:dyDescent="0.25">
      <c r="E4977"/>
      <c r="M4977"/>
    </row>
    <row r="4978" spans="5:13" x14ac:dyDescent="0.25">
      <c r="E4978"/>
      <c r="M4978"/>
    </row>
    <row r="4979" spans="5:13" x14ac:dyDescent="0.25">
      <c r="E4979"/>
      <c r="M4979"/>
    </row>
    <row r="4980" spans="5:13" x14ac:dyDescent="0.25">
      <c r="E4980"/>
      <c r="M4980"/>
    </row>
    <row r="4981" spans="5:13" x14ac:dyDescent="0.25">
      <c r="E4981"/>
      <c r="M4981"/>
    </row>
    <row r="4982" spans="5:13" x14ac:dyDescent="0.25">
      <c r="E4982"/>
      <c r="M4982"/>
    </row>
    <row r="4983" spans="5:13" x14ac:dyDescent="0.25">
      <c r="E4983"/>
      <c r="M4983"/>
    </row>
    <row r="4984" spans="5:13" x14ac:dyDescent="0.25">
      <c r="E4984"/>
      <c r="M4984"/>
    </row>
    <row r="4985" spans="5:13" x14ac:dyDescent="0.25">
      <c r="E4985"/>
      <c r="M4985"/>
    </row>
    <row r="4986" spans="5:13" x14ac:dyDescent="0.25">
      <c r="E4986"/>
      <c r="M4986"/>
    </row>
    <row r="4987" spans="5:13" x14ac:dyDescent="0.25">
      <c r="E4987"/>
      <c r="M4987"/>
    </row>
    <row r="4988" spans="5:13" x14ac:dyDescent="0.25">
      <c r="E4988"/>
      <c r="M4988"/>
    </row>
    <row r="4989" spans="5:13" x14ac:dyDescent="0.25">
      <c r="E4989"/>
      <c r="M4989"/>
    </row>
    <row r="4990" spans="5:13" x14ac:dyDescent="0.25">
      <c r="E4990"/>
      <c r="M4990"/>
    </row>
    <row r="4991" spans="5:13" x14ac:dyDescent="0.25">
      <c r="E4991"/>
      <c r="M4991"/>
    </row>
    <row r="4992" spans="5:13" x14ac:dyDescent="0.25">
      <c r="E4992"/>
      <c r="M4992"/>
    </row>
    <row r="4993" spans="5:13" x14ac:dyDescent="0.25">
      <c r="E4993"/>
      <c r="M4993"/>
    </row>
    <row r="4994" spans="5:13" x14ac:dyDescent="0.25">
      <c r="E4994"/>
      <c r="M4994"/>
    </row>
    <row r="4995" spans="5:13" x14ac:dyDescent="0.25">
      <c r="E4995"/>
      <c r="M4995"/>
    </row>
    <row r="4996" spans="5:13" x14ac:dyDescent="0.25">
      <c r="E4996"/>
      <c r="M4996"/>
    </row>
    <row r="4997" spans="5:13" x14ac:dyDescent="0.25">
      <c r="E4997"/>
      <c r="M4997"/>
    </row>
    <row r="4998" spans="5:13" x14ac:dyDescent="0.25">
      <c r="E4998"/>
      <c r="M4998"/>
    </row>
    <row r="4999" spans="5:13" x14ac:dyDescent="0.25">
      <c r="E4999"/>
      <c r="M4999"/>
    </row>
    <row r="5000" spans="5:13" x14ac:dyDescent="0.25">
      <c r="E5000"/>
      <c r="M5000"/>
    </row>
    <row r="5001" spans="5:13" x14ac:dyDescent="0.25">
      <c r="E5001"/>
      <c r="M5001"/>
    </row>
    <row r="5002" spans="5:13" x14ac:dyDescent="0.25">
      <c r="E5002"/>
      <c r="M5002"/>
    </row>
    <row r="5003" spans="5:13" x14ac:dyDescent="0.25">
      <c r="E5003"/>
      <c r="M5003"/>
    </row>
    <row r="5004" spans="5:13" x14ac:dyDescent="0.25">
      <c r="E5004"/>
      <c r="M5004"/>
    </row>
    <row r="5005" spans="5:13" x14ac:dyDescent="0.25">
      <c r="E5005"/>
      <c r="M5005"/>
    </row>
    <row r="5006" spans="5:13" x14ac:dyDescent="0.25">
      <c r="E5006"/>
      <c r="M5006"/>
    </row>
    <row r="5007" spans="5:13" x14ac:dyDescent="0.25">
      <c r="E5007"/>
      <c r="M5007"/>
    </row>
    <row r="5008" spans="5:13" x14ac:dyDescent="0.25">
      <c r="E5008"/>
      <c r="M5008"/>
    </row>
    <row r="5009" spans="5:13" x14ac:dyDescent="0.25">
      <c r="E5009"/>
      <c r="M5009"/>
    </row>
    <row r="5010" spans="5:13" x14ac:dyDescent="0.25">
      <c r="E5010"/>
      <c r="M5010"/>
    </row>
    <row r="5011" spans="5:13" x14ac:dyDescent="0.25">
      <c r="E5011"/>
      <c r="M5011"/>
    </row>
    <row r="5012" spans="5:13" x14ac:dyDescent="0.25">
      <c r="E5012"/>
      <c r="M5012"/>
    </row>
    <row r="5013" spans="5:13" x14ac:dyDescent="0.25">
      <c r="E5013"/>
      <c r="M5013"/>
    </row>
    <row r="5014" spans="5:13" x14ac:dyDescent="0.25">
      <c r="E5014"/>
      <c r="M5014"/>
    </row>
    <row r="5015" spans="5:13" x14ac:dyDescent="0.25">
      <c r="E5015"/>
      <c r="M5015"/>
    </row>
    <row r="5016" spans="5:13" x14ac:dyDescent="0.25">
      <c r="E5016"/>
      <c r="M5016"/>
    </row>
    <row r="5017" spans="5:13" x14ac:dyDescent="0.25">
      <c r="E5017"/>
      <c r="M5017"/>
    </row>
    <row r="5018" spans="5:13" x14ac:dyDescent="0.25">
      <c r="E5018"/>
      <c r="M5018"/>
    </row>
    <row r="5019" spans="5:13" x14ac:dyDescent="0.25">
      <c r="E5019"/>
      <c r="M5019"/>
    </row>
    <row r="5020" spans="5:13" x14ac:dyDescent="0.25">
      <c r="E5020"/>
      <c r="M5020"/>
    </row>
    <row r="5021" spans="5:13" x14ac:dyDescent="0.25">
      <c r="E5021"/>
      <c r="M5021"/>
    </row>
    <row r="5022" spans="5:13" x14ac:dyDescent="0.25">
      <c r="E5022"/>
      <c r="M5022"/>
    </row>
    <row r="5023" spans="5:13" x14ac:dyDescent="0.25">
      <c r="E5023"/>
      <c r="M5023"/>
    </row>
    <row r="5024" spans="5:13" x14ac:dyDescent="0.25">
      <c r="E5024"/>
      <c r="M5024"/>
    </row>
    <row r="5025" spans="5:13" x14ac:dyDescent="0.25">
      <c r="E5025"/>
      <c r="M5025"/>
    </row>
    <row r="5026" spans="5:13" x14ac:dyDescent="0.25">
      <c r="E5026"/>
      <c r="M5026"/>
    </row>
    <row r="5027" spans="5:13" x14ac:dyDescent="0.25">
      <c r="E5027"/>
      <c r="M5027"/>
    </row>
    <row r="5028" spans="5:13" x14ac:dyDescent="0.25">
      <c r="E5028"/>
      <c r="M5028"/>
    </row>
    <row r="5029" spans="5:13" x14ac:dyDescent="0.25">
      <c r="E5029"/>
      <c r="M5029"/>
    </row>
    <row r="5030" spans="5:13" x14ac:dyDescent="0.25">
      <c r="E5030"/>
      <c r="M5030"/>
    </row>
    <row r="5031" spans="5:13" x14ac:dyDescent="0.25">
      <c r="E5031"/>
      <c r="M5031"/>
    </row>
    <row r="5032" spans="5:13" x14ac:dyDescent="0.25">
      <c r="E5032"/>
      <c r="M5032"/>
    </row>
    <row r="5033" spans="5:13" x14ac:dyDescent="0.25">
      <c r="E5033"/>
      <c r="M5033"/>
    </row>
    <row r="5034" spans="5:13" x14ac:dyDescent="0.25">
      <c r="E5034"/>
      <c r="M5034"/>
    </row>
    <row r="5035" spans="5:13" x14ac:dyDescent="0.25">
      <c r="E5035"/>
      <c r="M5035"/>
    </row>
    <row r="5036" spans="5:13" x14ac:dyDescent="0.25">
      <c r="E5036"/>
      <c r="M5036"/>
    </row>
    <row r="5037" spans="5:13" x14ac:dyDescent="0.25">
      <c r="E5037"/>
      <c r="M5037"/>
    </row>
    <row r="5038" spans="5:13" x14ac:dyDescent="0.25">
      <c r="E5038"/>
      <c r="M5038"/>
    </row>
    <row r="5039" spans="5:13" x14ac:dyDescent="0.25">
      <c r="E5039"/>
      <c r="M5039"/>
    </row>
    <row r="5040" spans="5:13" x14ac:dyDescent="0.25">
      <c r="E5040"/>
      <c r="M5040"/>
    </row>
    <row r="5041" spans="5:13" x14ac:dyDescent="0.25">
      <c r="E5041"/>
      <c r="M5041"/>
    </row>
    <row r="5042" spans="5:13" x14ac:dyDescent="0.25">
      <c r="E5042"/>
      <c r="M5042"/>
    </row>
    <row r="5043" spans="5:13" x14ac:dyDescent="0.25">
      <c r="E5043"/>
      <c r="M5043"/>
    </row>
    <row r="5044" spans="5:13" x14ac:dyDescent="0.25">
      <c r="E5044"/>
      <c r="M5044"/>
    </row>
    <row r="5045" spans="5:13" x14ac:dyDescent="0.25">
      <c r="E5045"/>
      <c r="M5045"/>
    </row>
    <row r="5046" spans="5:13" x14ac:dyDescent="0.25">
      <c r="E5046"/>
      <c r="M5046"/>
    </row>
    <row r="5047" spans="5:13" x14ac:dyDescent="0.25">
      <c r="E5047"/>
      <c r="M5047"/>
    </row>
    <row r="5048" spans="5:13" x14ac:dyDescent="0.25">
      <c r="E5048"/>
      <c r="M5048"/>
    </row>
    <row r="5049" spans="5:13" x14ac:dyDescent="0.25">
      <c r="E5049"/>
      <c r="M5049"/>
    </row>
    <row r="5050" spans="5:13" x14ac:dyDescent="0.25">
      <c r="E5050"/>
      <c r="M5050"/>
    </row>
    <row r="5051" spans="5:13" x14ac:dyDescent="0.25">
      <c r="E5051"/>
      <c r="M5051"/>
    </row>
    <row r="5052" spans="5:13" x14ac:dyDescent="0.25">
      <c r="E5052"/>
      <c r="M5052"/>
    </row>
    <row r="5053" spans="5:13" x14ac:dyDescent="0.25">
      <c r="E5053"/>
      <c r="M5053"/>
    </row>
    <row r="5054" spans="5:13" x14ac:dyDescent="0.25">
      <c r="E5054"/>
      <c r="M5054"/>
    </row>
    <row r="5055" spans="5:13" x14ac:dyDescent="0.25">
      <c r="E5055"/>
      <c r="M5055"/>
    </row>
    <row r="5056" spans="5:13" x14ac:dyDescent="0.25">
      <c r="E5056"/>
      <c r="M5056"/>
    </row>
    <row r="5057" spans="5:13" x14ac:dyDescent="0.25">
      <c r="E5057"/>
      <c r="M5057"/>
    </row>
    <row r="5058" spans="5:13" x14ac:dyDescent="0.25">
      <c r="E5058"/>
      <c r="M5058"/>
    </row>
    <row r="5059" spans="5:13" x14ac:dyDescent="0.25">
      <c r="E5059"/>
      <c r="M5059"/>
    </row>
    <row r="5060" spans="5:13" x14ac:dyDescent="0.25">
      <c r="E5060"/>
      <c r="M5060"/>
    </row>
    <row r="5061" spans="5:13" x14ac:dyDescent="0.25">
      <c r="E5061"/>
      <c r="M5061"/>
    </row>
    <row r="5062" spans="5:13" x14ac:dyDescent="0.25">
      <c r="E5062"/>
      <c r="M5062"/>
    </row>
    <row r="5063" spans="5:13" x14ac:dyDescent="0.25">
      <c r="E5063"/>
      <c r="M5063"/>
    </row>
    <row r="5064" spans="5:13" x14ac:dyDescent="0.25">
      <c r="E5064"/>
      <c r="M5064"/>
    </row>
    <row r="5065" spans="5:13" x14ac:dyDescent="0.25">
      <c r="E5065"/>
      <c r="M5065"/>
    </row>
    <row r="5066" spans="5:13" x14ac:dyDescent="0.25">
      <c r="E5066"/>
      <c r="M5066"/>
    </row>
    <row r="5067" spans="5:13" x14ac:dyDescent="0.25">
      <c r="E5067"/>
      <c r="M5067"/>
    </row>
    <row r="5068" spans="5:13" x14ac:dyDescent="0.25">
      <c r="E5068"/>
      <c r="M5068"/>
    </row>
    <row r="5069" spans="5:13" x14ac:dyDescent="0.25">
      <c r="E5069"/>
      <c r="M5069"/>
    </row>
    <row r="5070" spans="5:13" x14ac:dyDescent="0.25">
      <c r="E5070"/>
      <c r="M5070"/>
    </row>
    <row r="5071" spans="5:13" x14ac:dyDescent="0.25">
      <c r="E5071"/>
      <c r="M5071"/>
    </row>
    <row r="5072" spans="5:13" x14ac:dyDescent="0.25">
      <c r="E5072"/>
      <c r="M5072"/>
    </row>
    <row r="5073" spans="5:13" x14ac:dyDescent="0.25">
      <c r="E5073"/>
      <c r="M5073"/>
    </row>
    <row r="5074" spans="5:13" x14ac:dyDescent="0.25">
      <c r="E5074"/>
      <c r="M5074"/>
    </row>
    <row r="5075" spans="5:13" x14ac:dyDescent="0.25">
      <c r="E5075"/>
      <c r="M5075"/>
    </row>
    <row r="5076" spans="5:13" x14ac:dyDescent="0.25">
      <c r="E5076"/>
      <c r="M5076"/>
    </row>
    <row r="5077" spans="5:13" x14ac:dyDescent="0.25">
      <c r="E5077"/>
      <c r="M5077"/>
    </row>
    <row r="5078" spans="5:13" x14ac:dyDescent="0.25">
      <c r="E5078"/>
      <c r="M5078"/>
    </row>
    <row r="5079" spans="5:13" x14ac:dyDescent="0.25">
      <c r="E5079"/>
      <c r="M5079"/>
    </row>
    <row r="5080" spans="5:13" x14ac:dyDescent="0.25">
      <c r="E5080"/>
      <c r="M5080"/>
    </row>
    <row r="5081" spans="5:13" x14ac:dyDescent="0.25">
      <c r="E5081"/>
      <c r="M5081"/>
    </row>
    <row r="5082" spans="5:13" x14ac:dyDescent="0.25">
      <c r="E5082"/>
      <c r="M5082"/>
    </row>
    <row r="5083" spans="5:13" x14ac:dyDescent="0.25">
      <c r="E5083"/>
      <c r="M5083"/>
    </row>
    <row r="5084" spans="5:13" x14ac:dyDescent="0.25">
      <c r="E5084"/>
      <c r="M5084"/>
    </row>
    <row r="5085" spans="5:13" x14ac:dyDescent="0.25">
      <c r="E5085"/>
      <c r="M5085"/>
    </row>
    <row r="5086" spans="5:13" x14ac:dyDescent="0.25">
      <c r="E5086"/>
      <c r="M5086"/>
    </row>
    <row r="5087" spans="5:13" x14ac:dyDescent="0.25">
      <c r="E5087"/>
      <c r="M5087"/>
    </row>
    <row r="5088" spans="5:13" x14ac:dyDescent="0.25">
      <c r="E5088"/>
      <c r="M5088"/>
    </row>
    <row r="5089" spans="5:13" x14ac:dyDescent="0.25">
      <c r="E5089"/>
      <c r="M5089"/>
    </row>
    <row r="5090" spans="5:13" x14ac:dyDescent="0.25">
      <c r="E5090"/>
      <c r="M5090"/>
    </row>
    <row r="5091" spans="5:13" x14ac:dyDescent="0.25">
      <c r="E5091"/>
      <c r="M5091"/>
    </row>
    <row r="5092" spans="5:13" x14ac:dyDescent="0.25">
      <c r="E5092"/>
      <c r="M5092"/>
    </row>
    <row r="5093" spans="5:13" x14ac:dyDescent="0.25">
      <c r="E5093"/>
      <c r="M5093"/>
    </row>
    <row r="5094" spans="5:13" x14ac:dyDescent="0.25">
      <c r="E5094"/>
      <c r="M5094"/>
    </row>
    <row r="5095" spans="5:13" x14ac:dyDescent="0.25">
      <c r="E5095"/>
      <c r="M5095"/>
    </row>
    <row r="5096" spans="5:13" x14ac:dyDescent="0.25">
      <c r="E5096"/>
      <c r="M5096"/>
    </row>
    <row r="5097" spans="5:13" x14ac:dyDescent="0.25">
      <c r="E5097"/>
      <c r="M5097"/>
    </row>
    <row r="5098" spans="5:13" x14ac:dyDescent="0.25">
      <c r="E5098"/>
      <c r="M5098"/>
    </row>
    <row r="5099" spans="5:13" x14ac:dyDescent="0.25">
      <c r="E5099"/>
      <c r="M5099"/>
    </row>
    <row r="5100" spans="5:13" x14ac:dyDescent="0.25">
      <c r="E5100"/>
      <c r="M5100"/>
    </row>
    <row r="5101" spans="5:13" x14ac:dyDescent="0.25">
      <c r="E5101"/>
      <c r="M5101"/>
    </row>
    <row r="5102" spans="5:13" x14ac:dyDescent="0.25">
      <c r="E5102"/>
      <c r="M5102"/>
    </row>
    <row r="5103" spans="5:13" x14ac:dyDescent="0.25">
      <c r="E5103"/>
      <c r="M5103"/>
    </row>
    <row r="5104" spans="5:13" x14ac:dyDescent="0.25">
      <c r="E5104"/>
      <c r="M5104"/>
    </row>
    <row r="5105" spans="5:13" x14ac:dyDescent="0.25">
      <c r="E5105"/>
      <c r="M5105"/>
    </row>
    <row r="5106" spans="5:13" x14ac:dyDescent="0.25">
      <c r="E5106"/>
      <c r="M5106"/>
    </row>
    <row r="5107" spans="5:13" x14ac:dyDescent="0.25">
      <c r="E5107"/>
      <c r="M5107"/>
    </row>
    <row r="5108" spans="5:13" x14ac:dyDescent="0.25">
      <c r="E5108"/>
      <c r="M5108"/>
    </row>
    <row r="5109" spans="5:13" x14ac:dyDescent="0.25">
      <c r="E5109"/>
      <c r="M5109"/>
    </row>
    <row r="5110" spans="5:13" x14ac:dyDescent="0.25">
      <c r="E5110"/>
      <c r="M5110"/>
    </row>
    <row r="5111" spans="5:13" x14ac:dyDescent="0.25">
      <c r="E5111"/>
      <c r="M5111"/>
    </row>
    <row r="5112" spans="5:13" x14ac:dyDescent="0.25">
      <c r="E5112"/>
      <c r="M5112"/>
    </row>
    <row r="5113" spans="5:13" x14ac:dyDescent="0.25">
      <c r="E5113"/>
      <c r="M5113"/>
    </row>
    <row r="5114" spans="5:13" x14ac:dyDescent="0.25">
      <c r="E5114"/>
      <c r="M5114"/>
    </row>
    <row r="5115" spans="5:13" x14ac:dyDescent="0.25">
      <c r="E5115"/>
      <c r="M5115"/>
    </row>
    <row r="5116" spans="5:13" x14ac:dyDescent="0.25">
      <c r="E5116"/>
      <c r="M5116"/>
    </row>
    <row r="5117" spans="5:13" x14ac:dyDescent="0.25">
      <c r="E5117"/>
      <c r="M5117"/>
    </row>
    <row r="5118" spans="5:13" x14ac:dyDescent="0.25">
      <c r="E5118"/>
      <c r="M5118"/>
    </row>
    <row r="5119" spans="5:13" x14ac:dyDescent="0.25">
      <c r="E5119"/>
      <c r="M5119"/>
    </row>
    <row r="5120" spans="5:13" x14ac:dyDescent="0.25">
      <c r="E5120"/>
      <c r="M5120"/>
    </row>
    <row r="5121" spans="5:13" x14ac:dyDescent="0.25">
      <c r="E5121"/>
      <c r="M5121"/>
    </row>
    <row r="5122" spans="5:13" x14ac:dyDescent="0.25">
      <c r="E5122"/>
      <c r="M5122"/>
    </row>
    <row r="5123" spans="5:13" x14ac:dyDescent="0.25">
      <c r="E5123"/>
      <c r="M5123"/>
    </row>
    <row r="5124" spans="5:13" x14ac:dyDescent="0.25">
      <c r="E5124"/>
      <c r="M5124"/>
    </row>
    <row r="5125" spans="5:13" x14ac:dyDescent="0.25">
      <c r="E5125"/>
      <c r="M5125"/>
    </row>
    <row r="5126" spans="5:13" x14ac:dyDescent="0.25">
      <c r="E5126"/>
      <c r="M5126"/>
    </row>
    <row r="5127" spans="5:13" x14ac:dyDescent="0.25">
      <c r="E5127"/>
      <c r="M5127"/>
    </row>
    <row r="5128" spans="5:13" x14ac:dyDescent="0.25">
      <c r="E5128"/>
      <c r="M5128"/>
    </row>
    <row r="5129" spans="5:13" x14ac:dyDescent="0.25">
      <c r="E5129"/>
      <c r="M5129"/>
    </row>
    <row r="5130" spans="5:13" x14ac:dyDescent="0.25">
      <c r="E5130"/>
      <c r="M5130"/>
    </row>
    <row r="5131" spans="5:13" x14ac:dyDescent="0.25">
      <c r="E5131"/>
      <c r="M5131"/>
    </row>
    <row r="5132" spans="5:13" x14ac:dyDescent="0.25">
      <c r="E5132"/>
      <c r="M5132"/>
    </row>
    <row r="5133" spans="5:13" x14ac:dyDescent="0.25">
      <c r="E5133"/>
      <c r="M5133"/>
    </row>
    <row r="5134" spans="5:13" x14ac:dyDescent="0.25">
      <c r="E5134"/>
      <c r="M5134"/>
    </row>
    <row r="5135" spans="5:13" x14ac:dyDescent="0.25">
      <c r="E5135"/>
      <c r="M5135"/>
    </row>
    <row r="5136" spans="5:13" x14ac:dyDescent="0.25">
      <c r="E5136"/>
      <c r="M5136"/>
    </row>
    <row r="5137" spans="5:13" x14ac:dyDescent="0.25">
      <c r="E5137"/>
      <c r="M5137"/>
    </row>
    <row r="5138" spans="5:13" x14ac:dyDescent="0.25">
      <c r="E5138"/>
      <c r="M5138"/>
    </row>
    <row r="5139" spans="5:13" x14ac:dyDescent="0.25">
      <c r="E5139"/>
      <c r="M5139"/>
    </row>
    <row r="5140" spans="5:13" x14ac:dyDescent="0.25">
      <c r="E5140"/>
      <c r="M5140"/>
    </row>
    <row r="5141" spans="5:13" x14ac:dyDescent="0.25">
      <c r="E5141"/>
      <c r="M5141"/>
    </row>
    <row r="5142" spans="5:13" x14ac:dyDescent="0.25">
      <c r="E5142"/>
      <c r="M5142"/>
    </row>
    <row r="5143" spans="5:13" x14ac:dyDescent="0.25">
      <c r="E5143"/>
      <c r="M5143"/>
    </row>
    <row r="5144" spans="5:13" x14ac:dyDescent="0.25">
      <c r="E5144"/>
      <c r="M5144"/>
    </row>
    <row r="5145" spans="5:13" x14ac:dyDescent="0.25">
      <c r="E5145"/>
      <c r="M5145"/>
    </row>
    <row r="5146" spans="5:13" x14ac:dyDescent="0.25">
      <c r="E5146"/>
      <c r="M5146"/>
    </row>
    <row r="5147" spans="5:13" x14ac:dyDescent="0.25">
      <c r="E5147"/>
      <c r="M5147"/>
    </row>
    <row r="5148" spans="5:13" x14ac:dyDescent="0.25">
      <c r="E5148"/>
      <c r="M5148"/>
    </row>
    <row r="5149" spans="5:13" x14ac:dyDescent="0.25">
      <c r="E5149"/>
      <c r="M5149"/>
    </row>
    <row r="5150" spans="5:13" x14ac:dyDescent="0.25">
      <c r="E5150"/>
      <c r="M5150"/>
    </row>
    <row r="5151" spans="5:13" x14ac:dyDescent="0.25">
      <c r="E5151"/>
      <c r="M5151"/>
    </row>
    <row r="5152" spans="5:13" x14ac:dyDescent="0.25">
      <c r="E5152"/>
      <c r="M5152"/>
    </row>
    <row r="5153" spans="5:13" x14ac:dyDescent="0.25">
      <c r="E5153"/>
      <c r="M5153"/>
    </row>
    <row r="5154" spans="5:13" x14ac:dyDescent="0.25">
      <c r="E5154"/>
      <c r="M5154"/>
    </row>
    <row r="5155" spans="5:13" x14ac:dyDescent="0.25">
      <c r="E5155"/>
      <c r="M5155"/>
    </row>
    <row r="5156" spans="5:13" x14ac:dyDescent="0.25">
      <c r="E5156"/>
      <c r="M5156"/>
    </row>
    <row r="5157" spans="5:13" x14ac:dyDescent="0.25">
      <c r="E5157"/>
      <c r="M5157"/>
    </row>
    <row r="5158" spans="5:13" x14ac:dyDescent="0.25">
      <c r="E5158"/>
      <c r="M5158"/>
    </row>
    <row r="5159" spans="5:13" x14ac:dyDescent="0.25">
      <c r="E5159"/>
      <c r="M5159"/>
    </row>
    <row r="5160" spans="5:13" x14ac:dyDescent="0.25">
      <c r="E5160"/>
      <c r="M5160"/>
    </row>
    <row r="5161" spans="5:13" x14ac:dyDescent="0.25">
      <c r="E5161"/>
      <c r="M5161"/>
    </row>
    <row r="5162" spans="5:13" x14ac:dyDescent="0.25">
      <c r="E5162"/>
      <c r="M5162"/>
    </row>
    <row r="5163" spans="5:13" x14ac:dyDescent="0.25">
      <c r="E5163"/>
      <c r="M5163"/>
    </row>
    <row r="5164" spans="5:13" x14ac:dyDescent="0.25">
      <c r="E5164"/>
      <c r="M5164"/>
    </row>
    <row r="5165" spans="5:13" x14ac:dyDescent="0.25">
      <c r="E5165"/>
      <c r="M5165"/>
    </row>
    <row r="5166" spans="5:13" x14ac:dyDescent="0.25">
      <c r="E5166"/>
      <c r="M5166"/>
    </row>
    <row r="5167" spans="5:13" x14ac:dyDescent="0.25">
      <c r="E5167"/>
      <c r="M5167"/>
    </row>
    <row r="5168" spans="5:13" x14ac:dyDescent="0.25">
      <c r="E5168"/>
      <c r="M5168"/>
    </row>
    <row r="5169" spans="5:13" x14ac:dyDescent="0.25">
      <c r="E5169"/>
      <c r="M5169"/>
    </row>
    <row r="5170" spans="5:13" x14ac:dyDescent="0.25">
      <c r="E5170"/>
      <c r="M5170"/>
    </row>
    <row r="5171" spans="5:13" x14ac:dyDescent="0.25">
      <c r="E5171"/>
      <c r="M5171"/>
    </row>
    <row r="5172" spans="5:13" x14ac:dyDescent="0.25">
      <c r="E5172"/>
      <c r="M5172"/>
    </row>
    <row r="5173" spans="5:13" x14ac:dyDescent="0.25">
      <c r="E5173"/>
      <c r="M5173"/>
    </row>
    <row r="5174" spans="5:13" x14ac:dyDescent="0.25">
      <c r="E5174"/>
      <c r="M5174"/>
    </row>
    <row r="5175" spans="5:13" x14ac:dyDescent="0.25">
      <c r="E5175"/>
      <c r="M5175"/>
    </row>
    <row r="5176" spans="5:13" x14ac:dyDescent="0.25">
      <c r="E5176"/>
      <c r="M5176"/>
    </row>
    <row r="5177" spans="5:13" x14ac:dyDescent="0.25">
      <c r="E5177"/>
      <c r="M5177"/>
    </row>
    <row r="5178" spans="5:13" x14ac:dyDescent="0.25">
      <c r="E5178"/>
      <c r="M5178"/>
    </row>
    <row r="5179" spans="5:13" x14ac:dyDescent="0.25">
      <c r="E5179"/>
      <c r="M5179"/>
    </row>
    <row r="5180" spans="5:13" x14ac:dyDescent="0.25">
      <c r="E5180"/>
      <c r="M5180"/>
    </row>
    <row r="5181" spans="5:13" x14ac:dyDescent="0.25">
      <c r="E5181"/>
      <c r="M5181"/>
    </row>
    <row r="5182" spans="5:13" x14ac:dyDescent="0.25">
      <c r="E5182"/>
      <c r="M5182"/>
    </row>
    <row r="5183" spans="5:13" x14ac:dyDescent="0.25">
      <c r="E5183"/>
      <c r="M5183"/>
    </row>
    <row r="5184" spans="5:13" x14ac:dyDescent="0.25">
      <c r="E5184"/>
      <c r="M5184"/>
    </row>
    <row r="5185" spans="5:13" x14ac:dyDescent="0.25">
      <c r="E5185"/>
      <c r="M5185"/>
    </row>
    <row r="5186" spans="5:13" x14ac:dyDescent="0.25">
      <c r="E5186"/>
      <c r="M5186"/>
    </row>
    <row r="5187" spans="5:13" x14ac:dyDescent="0.25">
      <c r="E5187"/>
      <c r="M5187"/>
    </row>
    <row r="5188" spans="5:13" x14ac:dyDescent="0.25">
      <c r="E5188"/>
      <c r="M5188"/>
    </row>
    <row r="5189" spans="5:13" x14ac:dyDescent="0.25">
      <c r="E5189"/>
      <c r="M5189"/>
    </row>
    <row r="5190" spans="5:13" x14ac:dyDescent="0.25">
      <c r="E5190"/>
      <c r="M5190"/>
    </row>
    <row r="5191" spans="5:13" x14ac:dyDescent="0.25">
      <c r="E5191"/>
      <c r="M5191"/>
    </row>
    <row r="5192" spans="5:13" x14ac:dyDescent="0.25">
      <c r="E5192"/>
      <c r="M5192"/>
    </row>
    <row r="5193" spans="5:13" x14ac:dyDescent="0.25">
      <c r="E5193"/>
      <c r="M5193"/>
    </row>
    <row r="5194" spans="5:13" x14ac:dyDescent="0.25">
      <c r="E5194"/>
      <c r="M5194"/>
    </row>
    <row r="5195" spans="5:13" x14ac:dyDescent="0.25">
      <c r="E5195"/>
      <c r="M5195"/>
    </row>
    <row r="5196" spans="5:13" x14ac:dyDescent="0.25">
      <c r="E5196"/>
      <c r="M5196"/>
    </row>
    <row r="5197" spans="5:13" x14ac:dyDescent="0.25">
      <c r="E5197"/>
      <c r="M5197"/>
    </row>
    <row r="5198" spans="5:13" x14ac:dyDescent="0.25">
      <c r="E5198"/>
      <c r="M5198"/>
    </row>
    <row r="5199" spans="5:13" x14ac:dyDescent="0.25">
      <c r="E5199"/>
      <c r="M5199"/>
    </row>
    <row r="5200" spans="5:13" x14ac:dyDescent="0.25">
      <c r="E5200"/>
      <c r="M5200"/>
    </row>
    <row r="5201" spans="5:13" x14ac:dyDescent="0.25">
      <c r="E5201"/>
      <c r="M5201"/>
    </row>
    <row r="5202" spans="5:13" x14ac:dyDescent="0.25">
      <c r="E5202"/>
      <c r="M5202"/>
    </row>
    <row r="5203" spans="5:13" x14ac:dyDescent="0.25">
      <c r="E5203"/>
      <c r="M5203"/>
    </row>
    <row r="5204" spans="5:13" x14ac:dyDescent="0.25">
      <c r="E5204"/>
      <c r="M5204"/>
    </row>
    <row r="5205" spans="5:13" x14ac:dyDescent="0.25">
      <c r="E5205"/>
      <c r="M5205"/>
    </row>
    <row r="5206" spans="5:13" x14ac:dyDescent="0.25">
      <c r="E5206"/>
      <c r="M5206"/>
    </row>
    <row r="5207" spans="5:13" x14ac:dyDescent="0.25">
      <c r="E5207"/>
      <c r="M5207"/>
    </row>
    <row r="5208" spans="5:13" x14ac:dyDescent="0.25">
      <c r="E5208"/>
      <c r="M5208"/>
    </row>
    <row r="5209" spans="5:13" x14ac:dyDescent="0.25">
      <c r="E5209"/>
      <c r="M5209"/>
    </row>
    <row r="5210" spans="5:13" x14ac:dyDescent="0.25">
      <c r="E5210"/>
      <c r="M5210"/>
    </row>
    <row r="5211" spans="5:13" x14ac:dyDescent="0.25">
      <c r="E5211"/>
      <c r="M5211"/>
    </row>
    <row r="5212" spans="5:13" x14ac:dyDescent="0.25">
      <c r="E5212"/>
      <c r="M5212"/>
    </row>
    <row r="5213" spans="5:13" x14ac:dyDescent="0.25">
      <c r="E5213"/>
      <c r="M5213"/>
    </row>
    <row r="5214" spans="5:13" x14ac:dyDescent="0.25">
      <c r="E5214"/>
      <c r="M5214"/>
    </row>
    <row r="5215" spans="5:13" x14ac:dyDescent="0.25">
      <c r="E5215"/>
      <c r="M5215"/>
    </row>
    <row r="5216" spans="5:13" x14ac:dyDescent="0.25">
      <c r="E5216"/>
      <c r="M5216"/>
    </row>
    <row r="5217" spans="5:13" x14ac:dyDescent="0.25">
      <c r="E5217"/>
      <c r="M5217"/>
    </row>
    <row r="5218" spans="5:13" x14ac:dyDescent="0.25">
      <c r="E5218"/>
      <c r="M5218"/>
    </row>
    <row r="5219" spans="5:13" x14ac:dyDescent="0.25">
      <c r="E5219"/>
      <c r="M5219"/>
    </row>
    <row r="5220" spans="5:13" x14ac:dyDescent="0.25">
      <c r="E5220"/>
      <c r="M5220"/>
    </row>
    <row r="5221" spans="5:13" x14ac:dyDescent="0.25">
      <c r="E5221"/>
      <c r="M5221"/>
    </row>
    <row r="5222" spans="5:13" x14ac:dyDescent="0.25">
      <c r="E5222"/>
      <c r="M5222"/>
    </row>
    <row r="5223" spans="5:13" x14ac:dyDescent="0.25">
      <c r="E5223"/>
      <c r="M5223"/>
    </row>
    <row r="5224" spans="5:13" x14ac:dyDescent="0.25">
      <c r="E5224"/>
      <c r="M5224"/>
    </row>
    <row r="5225" spans="5:13" x14ac:dyDescent="0.25">
      <c r="E5225"/>
      <c r="M5225"/>
    </row>
    <row r="5226" spans="5:13" x14ac:dyDescent="0.25">
      <c r="E5226"/>
      <c r="M5226"/>
    </row>
    <row r="5227" spans="5:13" x14ac:dyDescent="0.25">
      <c r="E5227"/>
      <c r="M5227"/>
    </row>
    <row r="5228" spans="5:13" x14ac:dyDescent="0.25">
      <c r="E5228"/>
      <c r="M5228"/>
    </row>
    <row r="5229" spans="5:13" x14ac:dyDescent="0.25">
      <c r="E5229"/>
      <c r="M5229"/>
    </row>
    <row r="5230" spans="5:13" x14ac:dyDescent="0.25">
      <c r="E5230"/>
      <c r="M5230"/>
    </row>
    <row r="5231" spans="5:13" x14ac:dyDescent="0.25">
      <c r="E5231"/>
      <c r="M5231"/>
    </row>
    <row r="5232" spans="5:13" x14ac:dyDescent="0.25">
      <c r="E5232"/>
      <c r="M5232"/>
    </row>
    <row r="5233" spans="5:13" x14ac:dyDescent="0.25">
      <c r="E5233"/>
      <c r="M5233"/>
    </row>
    <row r="5234" spans="5:13" x14ac:dyDescent="0.25">
      <c r="E5234"/>
      <c r="M5234"/>
    </row>
    <row r="5235" spans="5:13" x14ac:dyDescent="0.25">
      <c r="E5235"/>
      <c r="M5235"/>
    </row>
    <row r="5236" spans="5:13" x14ac:dyDescent="0.25">
      <c r="E5236"/>
      <c r="M5236"/>
    </row>
    <row r="5237" spans="5:13" x14ac:dyDescent="0.25">
      <c r="E5237"/>
      <c r="M5237"/>
    </row>
    <row r="5238" spans="5:13" x14ac:dyDescent="0.25">
      <c r="E5238"/>
      <c r="M5238"/>
    </row>
    <row r="5239" spans="5:13" x14ac:dyDescent="0.25">
      <c r="E5239"/>
      <c r="M5239"/>
    </row>
    <row r="5240" spans="5:13" x14ac:dyDescent="0.25">
      <c r="E5240"/>
      <c r="M5240"/>
    </row>
    <row r="5241" spans="5:13" x14ac:dyDescent="0.25">
      <c r="E5241"/>
      <c r="M5241"/>
    </row>
    <row r="5242" spans="5:13" x14ac:dyDescent="0.25">
      <c r="E5242"/>
      <c r="M5242"/>
    </row>
    <row r="5243" spans="5:13" x14ac:dyDescent="0.25">
      <c r="E5243"/>
      <c r="M5243"/>
    </row>
    <row r="5244" spans="5:13" x14ac:dyDescent="0.25">
      <c r="E5244"/>
      <c r="M5244"/>
    </row>
    <row r="5245" spans="5:13" x14ac:dyDescent="0.25">
      <c r="E5245"/>
      <c r="M5245"/>
    </row>
    <row r="5246" spans="5:13" x14ac:dyDescent="0.25">
      <c r="E5246"/>
      <c r="M5246"/>
    </row>
    <row r="5247" spans="5:13" x14ac:dyDescent="0.25">
      <c r="E5247"/>
      <c r="M5247"/>
    </row>
    <row r="5248" spans="5:13" x14ac:dyDescent="0.25">
      <c r="E5248"/>
      <c r="M5248"/>
    </row>
    <row r="5249" spans="5:13" x14ac:dyDescent="0.25">
      <c r="E5249"/>
      <c r="M5249"/>
    </row>
    <row r="5250" spans="5:13" x14ac:dyDescent="0.25">
      <c r="E5250"/>
      <c r="M5250"/>
    </row>
    <row r="5251" spans="5:13" x14ac:dyDescent="0.25">
      <c r="E5251"/>
      <c r="M5251"/>
    </row>
    <row r="5252" spans="5:13" x14ac:dyDescent="0.25">
      <c r="E5252"/>
      <c r="M5252"/>
    </row>
    <row r="5253" spans="5:13" x14ac:dyDescent="0.25">
      <c r="E5253"/>
      <c r="M5253"/>
    </row>
    <row r="5254" spans="5:13" x14ac:dyDescent="0.25">
      <c r="E5254"/>
      <c r="M5254"/>
    </row>
    <row r="5255" spans="5:13" x14ac:dyDescent="0.25">
      <c r="E5255"/>
      <c r="M5255"/>
    </row>
    <row r="5256" spans="5:13" x14ac:dyDescent="0.25">
      <c r="E5256"/>
      <c r="M5256"/>
    </row>
    <row r="5257" spans="5:13" x14ac:dyDescent="0.25">
      <c r="E5257"/>
      <c r="M5257"/>
    </row>
    <row r="5258" spans="5:13" x14ac:dyDescent="0.25">
      <c r="E5258"/>
      <c r="M5258"/>
    </row>
    <row r="5259" spans="5:13" x14ac:dyDescent="0.25">
      <c r="E5259"/>
      <c r="M5259"/>
    </row>
    <row r="5260" spans="5:13" x14ac:dyDescent="0.25">
      <c r="E5260"/>
      <c r="M5260"/>
    </row>
    <row r="5261" spans="5:13" x14ac:dyDescent="0.25">
      <c r="E5261"/>
      <c r="M5261"/>
    </row>
    <row r="5262" spans="5:13" x14ac:dyDescent="0.25">
      <c r="E5262"/>
      <c r="M5262"/>
    </row>
    <row r="5263" spans="5:13" x14ac:dyDescent="0.25">
      <c r="E5263"/>
      <c r="M5263"/>
    </row>
    <row r="5264" spans="5:13" x14ac:dyDescent="0.25">
      <c r="E5264"/>
      <c r="M5264"/>
    </row>
    <row r="5265" spans="5:13" x14ac:dyDescent="0.25">
      <c r="E5265"/>
      <c r="M5265"/>
    </row>
    <row r="5266" spans="5:13" x14ac:dyDescent="0.25">
      <c r="E5266"/>
      <c r="M5266"/>
    </row>
    <row r="5267" spans="5:13" x14ac:dyDescent="0.25">
      <c r="E5267"/>
      <c r="M5267"/>
    </row>
    <row r="5268" spans="5:13" x14ac:dyDescent="0.25">
      <c r="E5268"/>
      <c r="M5268"/>
    </row>
    <row r="5269" spans="5:13" x14ac:dyDescent="0.25">
      <c r="E5269"/>
      <c r="M5269"/>
    </row>
    <row r="5270" spans="5:13" x14ac:dyDescent="0.25">
      <c r="E5270"/>
      <c r="M5270"/>
    </row>
    <row r="5271" spans="5:13" x14ac:dyDescent="0.25">
      <c r="E5271"/>
      <c r="M5271"/>
    </row>
    <row r="5272" spans="5:13" x14ac:dyDescent="0.25">
      <c r="E5272"/>
      <c r="M5272"/>
    </row>
    <row r="5273" spans="5:13" x14ac:dyDescent="0.25">
      <c r="E5273"/>
      <c r="M5273"/>
    </row>
    <row r="5274" spans="5:13" x14ac:dyDescent="0.25">
      <c r="E5274"/>
      <c r="M5274"/>
    </row>
    <row r="5275" spans="5:13" x14ac:dyDescent="0.25">
      <c r="E5275"/>
      <c r="M5275"/>
    </row>
    <row r="5276" spans="5:13" x14ac:dyDescent="0.25">
      <c r="E5276"/>
      <c r="M5276"/>
    </row>
    <row r="5277" spans="5:13" x14ac:dyDescent="0.25">
      <c r="E5277"/>
      <c r="M5277"/>
    </row>
    <row r="5278" spans="5:13" x14ac:dyDescent="0.25">
      <c r="E5278"/>
      <c r="M5278"/>
    </row>
    <row r="5279" spans="5:13" x14ac:dyDescent="0.25">
      <c r="E5279"/>
      <c r="M5279"/>
    </row>
    <row r="5280" spans="5:13" x14ac:dyDescent="0.25">
      <c r="E5280"/>
      <c r="M5280"/>
    </row>
    <row r="5281" spans="5:13" x14ac:dyDescent="0.25">
      <c r="E5281"/>
      <c r="M5281"/>
    </row>
    <row r="5282" spans="5:13" x14ac:dyDescent="0.25">
      <c r="E5282"/>
      <c r="M5282"/>
    </row>
    <row r="5283" spans="5:13" x14ac:dyDescent="0.25">
      <c r="E5283"/>
      <c r="M5283"/>
    </row>
    <row r="5284" spans="5:13" x14ac:dyDescent="0.25">
      <c r="E5284"/>
      <c r="M5284"/>
    </row>
    <row r="5285" spans="5:13" x14ac:dyDescent="0.25">
      <c r="E5285"/>
      <c r="M5285"/>
    </row>
    <row r="5286" spans="5:13" x14ac:dyDescent="0.25">
      <c r="E5286"/>
      <c r="M5286"/>
    </row>
    <row r="5287" spans="5:13" x14ac:dyDescent="0.25">
      <c r="E5287"/>
      <c r="M5287"/>
    </row>
    <row r="5288" spans="5:13" x14ac:dyDescent="0.25">
      <c r="E5288"/>
      <c r="M5288"/>
    </row>
    <row r="5289" spans="5:13" x14ac:dyDescent="0.25">
      <c r="E5289"/>
      <c r="M5289"/>
    </row>
    <row r="5290" spans="5:13" x14ac:dyDescent="0.25">
      <c r="E5290"/>
      <c r="M5290"/>
    </row>
    <row r="5291" spans="5:13" x14ac:dyDescent="0.25">
      <c r="E5291"/>
      <c r="M5291"/>
    </row>
    <row r="5292" spans="5:13" x14ac:dyDescent="0.25">
      <c r="E5292"/>
      <c r="M5292"/>
    </row>
    <row r="5293" spans="5:13" x14ac:dyDescent="0.25">
      <c r="E5293"/>
      <c r="M5293"/>
    </row>
    <row r="5294" spans="5:13" x14ac:dyDescent="0.25">
      <c r="E5294"/>
      <c r="M5294"/>
    </row>
    <row r="5295" spans="5:13" x14ac:dyDescent="0.25">
      <c r="E5295"/>
      <c r="M5295"/>
    </row>
    <row r="5296" spans="5:13" x14ac:dyDescent="0.25">
      <c r="E5296"/>
      <c r="M5296"/>
    </row>
    <row r="5297" spans="5:13" x14ac:dyDescent="0.25">
      <c r="E5297"/>
      <c r="M5297"/>
    </row>
    <row r="5298" spans="5:13" x14ac:dyDescent="0.25">
      <c r="E5298"/>
      <c r="M5298"/>
    </row>
    <row r="5299" spans="5:13" x14ac:dyDescent="0.25">
      <c r="E5299"/>
      <c r="M5299"/>
    </row>
    <row r="5300" spans="5:13" x14ac:dyDescent="0.25">
      <c r="E5300"/>
      <c r="M5300"/>
    </row>
    <row r="5301" spans="5:13" x14ac:dyDescent="0.25">
      <c r="E5301"/>
      <c r="M5301"/>
    </row>
    <row r="5302" spans="5:13" x14ac:dyDescent="0.25">
      <c r="E5302"/>
      <c r="M5302"/>
    </row>
    <row r="5303" spans="5:13" x14ac:dyDescent="0.25">
      <c r="E5303"/>
      <c r="M5303"/>
    </row>
    <row r="5304" spans="5:13" x14ac:dyDescent="0.25">
      <c r="E5304"/>
      <c r="M5304"/>
    </row>
    <row r="5305" spans="5:13" x14ac:dyDescent="0.25">
      <c r="E5305"/>
      <c r="M5305"/>
    </row>
    <row r="5306" spans="5:13" x14ac:dyDescent="0.25">
      <c r="E5306"/>
      <c r="M5306"/>
    </row>
    <row r="5307" spans="5:13" x14ac:dyDescent="0.25">
      <c r="E5307"/>
      <c r="M5307"/>
    </row>
    <row r="5308" spans="5:13" x14ac:dyDescent="0.25">
      <c r="E5308"/>
      <c r="M5308"/>
    </row>
    <row r="5309" spans="5:13" x14ac:dyDescent="0.25">
      <c r="E5309"/>
      <c r="M5309"/>
    </row>
    <row r="5310" spans="5:13" x14ac:dyDescent="0.25">
      <c r="E5310"/>
      <c r="M5310"/>
    </row>
    <row r="5311" spans="5:13" x14ac:dyDescent="0.25">
      <c r="E5311"/>
      <c r="M5311"/>
    </row>
    <row r="5312" spans="5:13" x14ac:dyDescent="0.25">
      <c r="E5312"/>
      <c r="M5312"/>
    </row>
    <row r="5313" spans="5:13" x14ac:dyDescent="0.25">
      <c r="E5313"/>
      <c r="M5313"/>
    </row>
    <row r="5314" spans="5:13" x14ac:dyDescent="0.25">
      <c r="E5314"/>
      <c r="M5314"/>
    </row>
    <row r="5315" spans="5:13" x14ac:dyDescent="0.25">
      <c r="E5315"/>
      <c r="M5315"/>
    </row>
    <row r="5316" spans="5:13" x14ac:dyDescent="0.25">
      <c r="E5316"/>
      <c r="M5316"/>
    </row>
    <row r="5317" spans="5:13" x14ac:dyDescent="0.25">
      <c r="E5317"/>
      <c r="M5317"/>
    </row>
    <row r="5318" spans="5:13" x14ac:dyDescent="0.25">
      <c r="E5318"/>
      <c r="M5318"/>
    </row>
    <row r="5319" spans="5:13" x14ac:dyDescent="0.25">
      <c r="E5319"/>
      <c r="M5319"/>
    </row>
    <row r="5320" spans="5:13" x14ac:dyDescent="0.25">
      <c r="E5320"/>
      <c r="M5320"/>
    </row>
    <row r="5321" spans="5:13" x14ac:dyDescent="0.25">
      <c r="E5321"/>
      <c r="M5321"/>
    </row>
    <row r="5322" spans="5:13" x14ac:dyDescent="0.25">
      <c r="E5322"/>
      <c r="M5322"/>
    </row>
    <row r="5323" spans="5:13" x14ac:dyDescent="0.25">
      <c r="E5323"/>
      <c r="M5323"/>
    </row>
    <row r="5324" spans="5:13" x14ac:dyDescent="0.25">
      <c r="E5324"/>
      <c r="M5324"/>
    </row>
    <row r="5325" spans="5:13" x14ac:dyDescent="0.25">
      <c r="E5325"/>
      <c r="M5325"/>
    </row>
    <row r="5326" spans="5:13" x14ac:dyDescent="0.25">
      <c r="E5326"/>
      <c r="M5326"/>
    </row>
    <row r="5327" spans="5:13" x14ac:dyDescent="0.25">
      <c r="E5327"/>
      <c r="M5327"/>
    </row>
    <row r="5328" spans="5:13" x14ac:dyDescent="0.25">
      <c r="E5328"/>
      <c r="M5328"/>
    </row>
    <row r="5329" spans="5:13" x14ac:dyDescent="0.25">
      <c r="E5329"/>
      <c r="M5329"/>
    </row>
    <row r="5330" spans="5:13" x14ac:dyDescent="0.25">
      <c r="E5330"/>
      <c r="M5330"/>
    </row>
    <row r="5331" spans="5:13" x14ac:dyDescent="0.25">
      <c r="E5331"/>
      <c r="M5331"/>
    </row>
    <row r="5332" spans="5:13" x14ac:dyDescent="0.25">
      <c r="E5332"/>
      <c r="M5332"/>
    </row>
    <row r="5333" spans="5:13" x14ac:dyDescent="0.25">
      <c r="E5333"/>
      <c r="M5333"/>
    </row>
    <row r="5334" spans="5:13" x14ac:dyDescent="0.25">
      <c r="E5334"/>
      <c r="M5334"/>
    </row>
    <row r="5335" spans="5:13" x14ac:dyDescent="0.25">
      <c r="E5335"/>
      <c r="M5335"/>
    </row>
    <row r="5336" spans="5:13" x14ac:dyDescent="0.25">
      <c r="E5336"/>
      <c r="M5336"/>
    </row>
    <row r="5337" spans="5:13" x14ac:dyDescent="0.25">
      <c r="E5337"/>
      <c r="M5337"/>
    </row>
    <row r="5338" spans="5:13" x14ac:dyDescent="0.25">
      <c r="E5338"/>
      <c r="M5338"/>
    </row>
    <row r="5339" spans="5:13" x14ac:dyDescent="0.25">
      <c r="E5339"/>
      <c r="M5339"/>
    </row>
    <row r="5340" spans="5:13" x14ac:dyDescent="0.25">
      <c r="E5340"/>
      <c r="M5340"/>
    </row>
    <row r="5341" spans="5:13" x14ac:dyDescent="0.25">
      <c r="E5341"/>
      <c r="M5341"/>
    </row>
    <row r="5342" spans="5:13" x14ac:dyDescent="0.25">
      <c r="E5342"/>
      <c r="M5342"/>
    </row>
    <row r="5343" spans="5:13" x14ac:dyDescent="0.25">
      <c r="E5343"/>
      <c r="M5343"/>
    </row>
    <row r="5344" spans="5:13" x14ac:dyDescent="0.25">
      <c r="E5344"/>
      <c r="M5344"/>
    </row>
    <row r="5345" spans="5:13" x14ac:dyDescent="0.25">
      <c r="E5345"/>
      <c r="M5345"/>
    </row>
    <row r="5346" spans="5:13" x14ac:dyDescent="0.25">
      <c r="E5346"/>
      <c r="M5346"/>
    </row>
    <row r="5347" spans="5:13" x14ac:dyDescent="0.25">
      <c r="E5347"/>
      <c r="M5347"/>
    </row>
    <row r="5348" spans="5:13" x14ac:dyDescent="0.25">
      <c r="E5348"/>
      <c r="M5348"/>
    </row>
    <row r="5349" spans="5:13" x14ac:dyDescent="0.25">
      <c r="E5349"/>
      <c r="M5349"/>
    </row>
    <row r="5350" spans="5:13" x14ac:dyDescent="0.25">
      <c r="E5350"/>
      <c r="M5350"/>
    </row>
    <row r="5351" spans="5:13" x14ac:dyDescent="0.25">
      <c r="E5351"/>
      <c r="M5351"/>
    </row>
    <row r="5352" spans="5:13" x14ac:dyDescent="0.25">
      <c r="E5352"/>
      <c r="M5352"/>
    </row>
    <row r="5353" spans="5:13" x14ac:dyDescent="0.25">
      <c r="E5353"/>
      <c r="M5353"/>
    </row>
    <row r="5354" spans="5:13" x14ac:dyDescent="0.25">
      <c r="E5354"/>
      <c r="M5354"/>
    </row>
    <row r="5355" spans="5:13" x14ac:dyDescent="0.25">
      <c r="E5355"/>
      <c r="M5355"/>
    </row>
    <row r="5356" spans="5:13" x14ac:dyDescent="0.25">
      <c r="E5356"/>
      <c r="M5356"/>
    </row>
    <row r="5357" spans="5:13" x14ac:dyDescent="0.25">
      <c r="E5357"/>
      <c r="M5357"/>
    </row>
    <row r="5358" spans="5:13" x14ac:dyDescent="0.25">
      <c r="E5358"/>
      <c r="M5358"/>
    </row>
    <row r="5359" spans="5:13" x14ac:dyDescent="0.25">
      <c r="E5359"/>
      <c r="M5359"/>
    </row>
    <row r="5360" spans="5:13" x14ac:dyDescent="0.25">
      <c r="E5360"/>
      <c r="M5360"/>
    </row>
    <row r="5361" spans="5:13" x14ac:dyDescent="0.25">
      <c r="E5361"/>
      <c r="M5361"/>
    </row>
    <row r="5362" spans="5:13" x14ac:dyDescent="0.25">
      <c r="E5362"/>
      <c r="M5362"/>
    </row>
    <row r="5363" spans="5:13" x14ac:dyDescent="0.25">
      <c r="E5363"/>
      <c r="M5363"/>
    </row>
    <row r="5364" spans="5:13" x14ac:dyDescent="0.25">
      <c r="E5364"/>
      <c r="M5364"/>
    </row>
    <row r="5365" spans="5:13" x14ac:dyDescent="0.25">
      <c r="E5365"/>
      <c r="M5365"/>
    </row>
    <row r="5366" spans="5:13" x14ac:dyDescent="0.25">
      <c r="E5366"/>
      <c r="M5366"/>
    </row>
    <row r="5367" spans="5:13" x14ac:dyDescent="0.25">
      <c r="E5367"/>
      <c r="M5367"/>
    </row>
    <row r="5368" spans="5:13" x14ac:dyDescent="0.25">
      <c r="E5368"/>
      <c r="M5368"/>
    </row>
    <row r="5369" spans="5:13" x14ac:dyDescent="0.25">
      <c r="E5369"/>
      <c r="M5369"/>
    </row>
    <row r="5370" spans="5:13" x14ac:dyDescent="0.25">
      <c r="E5370"/>
      <c r="M5370"/>
    </row>
    <row r="5371" spans="5:13" x14ac:dyDescent="0.25">
      <c r="E5371"/>
      <c r="M5371"/>
    </row>
    <row r="5372" spans="5:13" x14ac:dyDescent="0.25">
      <c r="E5372"/>
      <c r="M5372"/>
    </row>
    <row r="5373" spans="5:13" x14ac:dyDescent="0.25">
      <c r="E5373"/>
      <c r="M5373"/>
    </row>
    <row r="5374" spans="5:13" x14ac:dyDescent="0.25">
      <c r="E5374"/>
      <c r="M5374"/>
    </row>
    <row r="5375" spans="5:13" x14ac:dyDescent="0.25">
      <c r="E5375"/>
      <c r="M5375"/>
    </row>
    <row r="5376" spans="5:13" x14ac:dyDescent="0.25">
      <c r="E5376"/>
      <c r="M5376"/>
    </row>
    <row r="5377" spans="5:13" x14ac:dyDescent="0.25">
      <c r="E5377"/>
      <c r="M5377"/>
    </row>
    <row r="5378" spans="5:13" x14ac:dyDescent="0.25">
      <c r="E5378"/>
      <c r="M5378"/>
    </row>
    <row r="5379" spans="5:13" x14ac:dyDescent="0.25">
      <c r="E5379"/>
      <c r="M5379"/>
    </row>
    <row r="5380" spans="5:13" x14ac:dyDescent="0.25">
      <c r="E5380"/>
      <c r="M5380"/>
    </row>
    <row r="5381" spans="5:13" x14ac:dyDescent="0.25">
      <c r="E5381"/>
      <c r="M5381"/>
    </row>
    <row r="5382" spans="5:13" x14ac:dyDescent="0.25">
      <c r="E5382"/>
      <c r="M5382"/>
    </row>
    <row r="5383" spans="5:13" x14ac:dyDescent="0.25">
      <c r="E5383"/>
      <c r="M5383"/>
    </row>
    <row r="5384" spans="5:13" x14ac:dyDescent="0.25">
      <c r="E5384"/>
      <c r="M5384"/>
    </row>
    <row r="5385" spans="5:13" x14ac:dyDescent="0.25">
      <c r="E5385"/>
      <c r="M5385"/>
    </row>
    <row r="5386" spans="5:13" x14ac:dyDescent="0.25">
      <c r="E5386"/>
      <c r="M5386"/>
    </row>
    <row r="5387" spans="5:13" x14ac:dyDescent="0.25">
      <c r="E5387"/>
      <c r="M5387"/>
    </row>
    <row r="5388" spans="5:13" x14ac:dyDescent="0.25">
      <c r="E5388"/>
      <c r="M5388"/>
    </row>
    <row r="5389" spans="5:13" x14ac:dyDescent="0.25">
      <c r="E5389"/>
      <c r="M5389"/>
    </row>
    <row r="5390" spans="5:13" x14ac:dyDescent="0.25">
      <c r="E5390"/>
      <c r="M5390"/>
    </row>
    <row r="5391" spans="5:13" x14ac:dyDescent="0.25">
      <c r="E5391"/>
      <c r="M5391"/>
    </row>
    <row r="5392" spans="5:13" x14ac:dyDescent="0.25">
      <c r="E5392"/>
      <c r="M5392"/>
    </row>
    <row r="5393" spans="5:13" x14ac:dyDescent="0.25">
      <c r="E5393"/>
      <c r="M5393"/>
    </row>
    <row r="5394" spans="5:13" x14ac:dyDescent="0.25">
      <c r="E5394"/>
      <c r="M5394"/>
    </row>
    <row r="5395" spans="5:13" x14ac:dyDescent="0.25">
      <c r="E5395"/>
      <c r="M5395"/>
    </row>
    <row r="5396" spans="5:13" x14ac:dyDescent="0.25">
      <c r="E5396"/>
      <c r="M5396"/>
    </row>
    <row r="5397" spans="5:13" x14ac:dyDescent="0.25">
      <c r="E5397"/>
      <c r="M5397"/>
    </row>
    <row r="5398" spans="5:13" x14ac:dyDescent="0.25">
      <c r="E5398"/>
      <c r="M5398"/>
    </row>
    <row r="5399" spans="5:13" x14ac:dyDescent="0.25">
      <c r="E5399"/>
      <c r="M5399"/>
    </row>
    <row r="5400" spans="5:13" x14ac:dyDescent="0.25">
      <c r="E5400"/>
      <c r="M5400"/>
    </row>
    <row r="5401" spans="5:13" x14ac:dyDescent="0.25">
      <c r="E5401"/>
      <c r="M5401"/>
    </row>
    <row r="5402" spans="5:13" x14ac:dyDescent="0.25">
      <c r="E5402"/>
      <c r="M5402"/>
    </row>
    <row r="5403" spans="5:13" x14ac:dyDescent="0.25">
      <c r="E5403"/>
      <c r="M5403"/>
    </row>
    <row r="5404" spans="5:13" x14ac:dyDescent="0.25">
      <c r="E5404"/>
      <c r="M5404"/>
    </row>
    <row r="5405" spans="5:13" x14ac:dyDescent="0.25">
      <c r="E5405"/>
      <c r="M5405"/>
    </row>
    <row r="5406" spans="5:13" x14ac:dyDescent="0.25">
      <c r="E5406"/>
      <c r="M5406"/>
    </row>
    <row r="5407" spans="5:13" x14ac:dyDescent="0.25">
      <c r="E5407"/>
      <c r="M5407"/>
    </row>
    <row r="5408" spans="5:13" x14ac:dyDescent="0.25">
      <c r="E5408"/>
      <c r="M5408"/>
    </row>
    <row r="5409" spans="5:13" x14ac:dyDescent="0.25">
      <c r="E5409"/>
      <c r="M5409"/>
    </row>
    <row r="5410" spans="5:13" x14ac:dyDescent="0.25">
      <c r="E5410"/>
      <c r="M5410"/>
    </row>
    <row r="5411" spans="5:13" x14ac:dyDescent="0.25">
      <c r="E5411"/>
      <c r="M5411"/>
    </row>
    <row r="5412" spans="5:13" x14ac:dyDescent="0.25">
      <c r="E5412"/>
      <c r="M5412"/>
    </row>
    <row r="5413" spans="5:13" x14ac:dyDescent="0.25">
      <c r="E5413"/>
      <c r="M5413"/>
    </row>
    <row r="5414" spans="5:13" x14ac:dyDescent="0.25">
      <c r="E5414"/>
      <c r="M5414"/>
    </row>
    <row r="5415" spans="5:13" x14ac:dyDescent="0.25">
      <c r="E5415"/>
      <c r="M5415"/>
    </row>
    <row r="5416" spans="5:13" x14ac:dyDescent="0.25">
      <c r="E5416"/>
      <c r="M5416"/>
    </row>
    <row r="5417" spans="5:13" x14ac:dyDescent="0.25">
      <c r="E5417"/>
      <c r="M5417"/>
    </row>
    <row r="5418" spans="5:13" x14ac:dyDescent="0.25">
      <c r="E5418"/>
      <c r="M5418"/>
    </row>
    <row r="5419" spans="5:13" x14ac:dyDescent="0.25">
      <c r="E5419"/>
      <c r="M5419"/>
    </row>
    <row r="5420" spans="5:13" x14ac:dyDescent="0.25">
      <c r="E5420"/>
      <c r="M5420"/>
    </row>
    <row r="5421" spans="5:13" x14ac:dyDescent="0.25">
      <c r="E5421"/>
      <c r="M5421"/>
    </row>
    <row r="5422" spans="5:13" x14ac:dyDescent="0.25">
      <c r="E5422"/>
      <c r="M5422"/>
    </row>
    <row r="5423" spans="5:13" x14ac:dyDescent="0.25">
      <c r="E5423"/>
      <c r="M5423"/>
    </row>
    <row r="5424" spans="5:13" x14ac:dyDescent="0.25">
      <c r="E5424"/>
      <c r="M5424"/>
    </row>
    <row r="5425" spans="5:13" x14ac:dyDescent="0.25">
      <c r="E5425"/>
      <c r="M5425"/>
    </row>
    <row r="5426" spans="5:13" x14ac:dyDescent="0.25">
      <c r="E5426"/>
      <c r="M5426"/>
    </row>
    <row r="5427" spans="5:13" x14ac:dyDescent="0.25">
      <c r="E5427"/>
      <c r="M5427"/>
    </row>
    <row r="5428" spans="5:13" x14ac:dyDescent="0.25">
      <c r="E5428"/>
      <c r="M5428"/>
    </row>
    <row r="5429" spans="5:13" x14ac:dyDescent="0.25">
      <c r="E5429"/>
      <c r="M5429"/>
    </row>
    <row r="5430" spans="5:13" x14ac:dyDescent="0.25">
      <c r="E5430"/>
      <c r="M5430"/>
    </row>
    <row r="5431" spans="5:13" x14ac:dyDescent="0.25">
      <c r="E5431"/>
      <c r="M5431"/>
    </row>
    <row r="5432" spans="5:13" x14ac:dyDescent="0.25">
      <c r="E5432"/>
      <c r="M5432"/>
    </row>
    <row r="5433" spans="5:13" x14ac:dyDescent="0.25">
      <c r="E5433"/>
      <c r="M5433"/>
    </row>
    <row r="5434" spans="5:13" x14ac:dyDescent="0.25">
      <c r="E5434"/>
      <c r="M5434"/>
    </row>
    <row r="5435" spans="5:13" x14ac:dyDescent="0.25">
      <c r="E5435"/>
      <c r="M5435"/>
    </row>
    <row r="5436" spans="5:13" x14ac:dyDescent="0.25">
      <c r="E5436"/>
      <c r="M5436"/>
    </row>
    <row r="5437" spans="5:13" x14ac:dyDescent="0.25">
      <c r="E5437"/>
      <c r="M5437"/>
    </row>
    <row r="5438" spans="5:13" x14ac:dyDescent="0.25">
      <c r="E5438"/>
      <c r="M5438"/>
    </row>
    <row r="5439" spans="5:13" x14ac:dyDescent="0.25">
      <c r="E5439"/>
      <c r="M5439"/>
    </row>
    <row r="5440" spans="5:13" x14ac:dyDescent="0.25">
      <c r="E5440"/>
      <c r="M5440"/>
    </row>
    <row r="5441" spans="5:13" x14ac:dyDescent="0.25">
      <c r="E5441"/>
      <c r="M5441"/>
    </row>
    <row r="5442" spans="5:13" x14ac:dyDescent="0.25">
      <c r="E5442"/>
      <c r="M5442"/>
    </row>
    <row r="5443" spans="5:13" x14ac:dyDescent="0.25">
      <c r="E5443"/>
      <c r="M5443"/>
    </row>
    <row r="5444" spans="5:13" x14ac:dyDescent="0.25">
      <c r="E5444"/>
      <c r="M5444"/>
    </row>
    <row r="5445" spans="5:13" x14ac:dyDescent="0.25">
      <c r="E5445"/>
      <c r="M5445"/>
    </row>
    <row r="5446" spans="5:13" x14ac:dyDescent="0.25">
      <c r="E5446"/>
      <c r="M5446"/>
    </row>
    <row r="5447" spans="5:13" x14ac:dyDescent="0.25">
      <c r="E5447"/>
      <c r="M5447"/>
    </row>
    <row r="5448" spans="5:13" x14ac:dyDescent="0.25">
      <c r="E5448"/>
      <c r="M5448"/>
    </row>
    <row r="5449" spans="5:13" x14ac:dyDescent="0.25">
      <c r="E5449"/>
      <c r="M5449"/>
    </row>
    <row r="5450" spans="5:13" x14ac:dyDescent="0.25">
      <c r="E5450"/>
      <c r="M5450"/>
    </row>
    <row r="5451" spans="5:13" x14ac:dyDescent="0.25">
      <c r="E5451"/>
      <c r="M5451"/>
    </row>
    <row r="5452" spans="5:13" x14ac:dyDescent="0.25">
      <c r="E5452"/>
      <c r="M5452"/>
    </row>
    <row r="5453" spans="5:13" x14ac:dyDescent="0.25">
      <c r="E5453"/>
      <c r="M5453"/>
    </row>
    <row r="5454" spans="5:13" x14ac:dyDescent="0.25">
      <c r="E5454"/>
      <c r="M5454"/>
    </row>
    <row r="5455" spans="5:13" x14ac:dyDescent="0.25">
      <c r="E5455"/>
      <c r="M5455"/>
    </row>
    <row r="5456" spans="5:13" x14ac:dyDescent="0.25">
      <c r="E5456"/>
      <c r="M5456"/>
    </row>
    <row r="5457" spans="5:13" x14ac:dyDescent="0.25">
      <c r="E5457"/>
      <c r="M5457"/>
    </row>
    <row r="5458" spans="5:13" x14ac:dyDescent="0.25">
      <c r="E5458"/>
      <c r="M5458"/>
    </row>
    <row r="5459" spans="5:13" x14ac:dyDescent="0.25">
      <c r="E5459"/>
      <c r="M5459"/>
    </row>
    <row r="5460" spans="5:13" x14ac:dyDescent="0.25">
      <c r="E5460"/>
      <c r="M5460"/>
    </row>
    <row r="5461" spans="5:13" x14ac:dyDescent="0.25">
      <c r="E5461"/>
      <c r="M5461"/>
    </row>
    <row r="5462" spans="5:13" x14ac:dyDescent="0.25">
      <c r="E5462"/>
      <c r="M5462"/>
    </row>
    <row r="5463" spans="5:13" x14ac:dyDescent="0.25">
      <c r="E5463"/>
      <c r="M5463"/>
    </row>
    <row r="5464" spans="5:13" x14ac:dyDescent="0.25">
      <c r="E5464"/>
      <c r="M5464"/>
    </row>
    <row r="5465" spans="5:13" x14ac:dyDescent="0.25">
      <c r="E5465"/>
      <c r="M5465"/>
    </row>
    <row r="5466" spans="5:13" x14ac:dyDescent="0.25">
      <c r="E5466"/>
      <c r="M5466"/>
    </row>
    <row r="5467" spans="5:13" x14ac:dyDescent="0.25">
      <c r="E5467"/>
      <c r="M5467"/>
    </row>
    <row r="5468" spans="5:13" x14ac:dyDescent="0.25">
      <c r="E5468"/>
      <c r="M5468"/>
    </row>
    <row r="5469" spans="5:13" x14ac:dyDescent="0.25">
      <c r="E5469"/>
      <c r="M5469"/>
    </row>
    <row r="5470" spans="5:13" x14ac:dyDescent="0.25">
      <c r="E5470"/>
      <c r="M5470"/>
    </row>
    <row r="5471" spans="5:13" x14ac:dyDescent="0.25">
      <c r="E5471"/>
      <c r="M5471"/>
    </row>
    <row r="5472" spans="5:13" x14ac:dyDescent="0.25">
      <c r="E5472"/>
      <c r="M5472"/>
    </row>
    <row r="5473" spans="5:13" x14ac:dyDescent="0.25">
      <c r="E5473"/>
      <c r="M5473"/>
    </row>
    <row r="5474" spans="5:13" x14ac:dyDescent="0.25">
      <c r="E5474"/>
      <c r="M5474"/>
    </row>
    <row r="5475" spans="5:13" x14ac:dyDescent="0.25">
      <c r="E5475"/>
      <c r="M5475"/>
    </row>
    <row r="5476" spans="5:13" x14ac:dyDescent="0.25">
      <c r="E5476"/>
      <c r="M5476"/>
    </row>
    <row r="5477" spans="5:13" x14ac:dyDescent="0.25">
      <c r="E5477"/>
      <c r="M5477"/>
    </row>
    <row r="5478" spans="5:13" x14ac:dyDescent="0.25">
      <c r="E5478"/>
      <c r="M5478"/>
    </row>
    <row r="5479" spans="5:13" x14ac:dyDescent="0.25">
      <c r="E5479"/>
      <c r="M5479"/>
    </row>
    <row r="5480" spans="5:13" x14ac:dyDescent="0.25">
      <c r="E5480"/>
      <c r="M5480"/>
    </row>
    <row r="5481" spans="5:13" x14ac:dyDescent="0.25">
      <c r="E5481"/>
      <c r="M5481"/>
    </row>
    <row r="5482" spans="5:13" x14ac:dyDescent="0.25">
      <c r="E5482"/>
      <c r="M5482"/>
    </row>
    <row r="5483" spans="5:13" x14ac:dyDescent="0.25">
      <c r="E5483"/>
      <c r="M5483"/>
    </row>
    <row r="5484" spans="5:13" x14ac:dyDescent="0.25">
      <c r="E5484"/>
      <c r="M5484"/>
    </row>
    <row r="5485" spans="5:13" x14ac:dyDescent="0.25">
      <c r="E5485"/>
      <c r="M5485"/>
    </row>
    <row r="5486" spans="5:13" x14ac:dyDescent="0.25">
      <c r="E5486"/>
      <c r="M5486"/>
    </row>
    <row r="5487" spans="5:13" x14ac:dyDescent="0.25">
      <c r="E5487"/>
      <c r="M5487"/>
    </row>
    <row r="5488" spans="5:13" x14ac:dyDescent="0.25">
      <c r="E5488"/>
      <c r="M5488"/>
    </row>
    <row r="5489" spans="5:13" x14ac:dyDescent="0.25">
      <c r="E5489"/>
      <c r="M5489"/>
    </row>
    <row r="5490" spans="5:13" x14ac:dyDescent="0.25">
      <c r="E5490"/>
      <c r="M5490"/>
    </row>
    <row r="5491" spans="5:13" x14ac:dyDescent="0.25">
      <c r="E5491"/>
      <c r="M5491"/>
    </row>
    <row r="5492" spans="5:13" x14ac:dyDescent="0.25">
      <c r="E5492"/>
      <c r="M5492"/>
    </row>
    <row r="5493" spans="5:13" x14ac:dyDescent="0.25">
      <c r="E5493"/>
      <c r="M5493"/>
    </row>
    <row r="5494" spans="5:13" x14ac:dyDescent="0.25">
      <c r="E5494"/>
      <c r="M5494"/>
    </row>
    <row r="5495" spans="5:13" x14ac:dyDescent="0.25">
      <c r="E5495"/>
      <c r="M5495"/>
    </row>
    <row r="5496" spans="5:13" x14ac:dyDescent="0.25">
      <c r="E5496"/>
      <c r="M5496"/>
    </row>
    <row r="5497" spans="5:13" x14ac:dyDescent="0.25">
      <c r="E5497"/>
      <c r="M5497"/>
    </row>
    <row r="5498" spans="5:13" x14ac:dyDescent="0.25">
      <c r="E5498"/>
      <c r="M5498"/>
    </row>
    <row r="5499" spans="5:13" x14ac:dyDescent="0.25">
      <c r="E5499"/>
      <c r="M5499"/>
    </row>
    <row r="5500" spans="5:13" x14ac:dyDescent="0.25">
      <c r="E5500"/>
      <c r="M5500"/>
    </row>
    <row r="5501" spans="5:13" x14ac:dyDescent="0.25">
      <c r="E5501"/>
      <c r="M5501"/>
    </row>
    <row r="5502" spans="5:13" x14ac:dyDescent="0.25">
      <c r="E5502"/>
      <c r="M5502"/>
    </row>
    <row r="5503" spans="5:13" x14ac:dyDescent="0.25">
      <c r="E5503"/>
      <c r="M5503"/>
    </row>
    <row r="5504" spans="5:13" x14ac:dyDescent="0.25">
      <c r="E5504"/>
      <c r="M5504"/>
    </row>
    <row r="5505" spans="5:13" x14ac:dyDescent="0.25">
      <c r="E5505"/>
      <c r="M5505"/>
    </row>
    <row r="5506" spans="5:13" x14ac:dyDescent="0.25">
      <c r="E5506"/>
      <c r="M5506"/>
    </row>
    <row r="5507" spans="5:13" x14ac:dyDescent="0.25">
      <c r="E5507"/>
      <c r="M5507"/>
    </row>
    <row r="5508" spans="5:13" x14ac:dyDescent="0.25">
      <c r="E5508"/>
      <c r="M5508"/>
    </row>
    <row r="5509" spans="5:13" x14ac:dyDescent="0.25">
      <c r="E5509"/>
      <c r="M5509"/>
    </row>
    <row r="5510" spans="5:13" x14ac:dyDescent="0.25">
      <c r="E5510"/>
      <c r="M5510"/>
    </row>
    <row r="5511" spans="5:13" x14ac:dyDescent="0.25">
      <c r="E5511"/>
      <c r="M5511"/>
    </row>
    <row r="5512" spans="5:13" x14ac:dyDescent="0.25">
      <c r="E5512"/>
      <c r="M5512"/>
    </row>
    <row r="5513" spans="5:13" x14ac:dyDescent="0.25">
      <c r="E5513"/>
      <c r="M5513"/>
    </row>
    <row r="5514" spans="5:13" x14ac:dyDescent="0.25">
      <c r="E5514"/>
      <c r="M5514"/>
    </row>
    <row r="5515" spans="5:13" x14ac:dyDescent="0.25">
      <c r="E5515"/>
      <c r="M5515"/>
    </row>
    <row r="5516" spans="5:13" x14ac:dyDescent="0.25">
      <c r="E5516"/>
      <c r="M5516"/>
    </row>
    <row r="5517" spans="5:13" x14ac:dyDescent="0.25">
      <c r="E5517"/>
      <c r="M5517"/>
    </row>
    <row r="5518" spans="5:13" x14ac:dyDescent="0.25">
      <c r="E5518"/>
      <c r="M5518"/>
    </row>
    <row r="5519" spans="5:13" x14ac:dyDescent="0.25">
      <c r="E5519"/>
      <c r="M5519"/>
    </row>
    <row r="5520" spans="5:13" x14ac:dyDescent="0.25">
      <c r="E5520"/>
      <c r="M5520"/>
    </row>
    <row r="5521" spans="5:13" x14ac:dyDescent="0.25">
      <c r="E5521"/>
      <c r="M5521"/>
    </row>
    <row r="5522" spans="5:13" x14ac:dyDescent="0.25">
      <c r="E5522"/>
      <c r="M5522"/>
    </row>
    <row r="5523" spans="5:13" x14ac:dyDescent="0.25">
      <c r="E5523"/>
      <c r="M5523"/>
    </row>
    <row r="5524" spans="5:13" x14ac:dyDescent="0.25">
      <c r="E5524"/>
      <c r="M5524"/>
    </row>
    <row r="5525" spans="5:13" x14ac:dyDescent="0.25">
      <c r="E5525"/>
      <c r="M5525"/>
    </row>
    <row r="5526" spans="5:13" x14ac:dyDescent="0.25">
      <c r="E5526"/>
      <c r="M5526"/>
    </row>
    <row r="5527" spans="5:13" x14ac:dyDescent="0.25">
      <c r="E5527"/>
      <c r="M5527"/>
    </row>
    <row r="5528" spans="5:13" x14ac:dyDescent="0.25">
      <c r="E5528"/>
      <c r="M5528"/>
    </row>
    <row r="5529" spans="5:13" x14ac:dyDescent="0.25">
      <c r="E5529"/>
      <c r="M5529"/>
    </row>
    <row r="5530" spans="5:13" x14ac:dyDescent="0.25">
      <c r="E5530"/>
      <c r="M5530"/>
    </row>
    <row r="5531" spans="5:13" x14ac:dyDescent="0.25">
      <c r="E5531"/>
      <c r="M5531"/>
    </row>
    <row r="5532" spans="5:13" x14ac:dyDescent="0.25">
      <c r="E5532"/>
      <c r="M5532"/>
    </row>
    <row r="5533" spans="5:13" x14ac:dyDescent="0.25">
      <c r="E5533"/>
      <c r="M5533"/>
    </row>
    <row r="5534" spans="5:13" x14ac:dyDescent="0.25">
      <c r="E5534"/>
      <c r="M5534"/>
    </row>
    <row r="5535" spans="5:13" x14ac:dyDescent="0.25">
      <c r="E5535"/>
      <c r="M5535"/>
    </row>
    <row r="5536" spans="5:13" x14ac:dyDescent="0.25">
      <c r="E5536"/>
      <c r="M5536"/>
    </row>
    <row r="5537" spans="5:13" x14ac:dyDescent="0.25">
      <c r="E5537"/>
      <c r="M5537"/>
    </row>
    <row r="5538" spans="5:13" x14ac:dyDescent="0.25">
      <c r="E5538"/>
      <c r="M5538"/>
    </row>
    <row r="5539" spans="5:13" x14ac:dyDescent="0.25">
      <c r="E5539"/>
      <c r="M5539"/>
    </row>
    <row r="5540" spans="5:13" x14ac:dyDescent="0.25">
      <c r="E5540"/>
      <c r="M5540"/>
    </row>
    <row r="5541" spans="5:13" x14ac:dyDescent="0.25">
      <c r="E5541"/>
      <c r="M5541"/>
    </row>
    <row r="5542" spans="5:13" x14ac:dyDescent="0.25">
      <c r="E5542"/>
      <c r="M5542"/>
    </row>
    <row r="5543" spans="5:13" x14ac:dyDescent="0.25">
      <c r="E5543"/>
      <c r="M5543"/>
    </row>
    <row r="5544" spans="5:13" x14ac:dyDescent="0.25">
      <c r="E5544"/>
      <c r="M5544"/>
    </row>
    <row r="5545" spans="5:13" x14ac:dyDescent="0.25">
      <c r="E5545"/>
      <c r="M5545"/>
    </row>
    <row r="5546" spans="5:13" x14ac:dyDescent="0.25">
      <c r="E5546"/>
      <c r="M5546"/>
    </row>
    <row r="5547" spans="5:13" x14ac:dyDescent="0.25">
      <c r="E5547"/>
      <c r="M5547"/>
    </row>
    <row r="5548" spans="5:13" x14ac:dyDescent="0.25">
      <c r="E5548"/>
      <c r="M5548"/>
    </row>
    <row r="5549" spans="5:13" x14ac:dyDescent="0.25">
      <c r="E5549"/>
      <c r="M5549"/>
    </row>
    <row r="5550" spans="5:13" x14ac:dyDescent="0.25">
      <c r="E5550"/>
      <c r="M5550"/>
    </row>
    <row r="5551" spans="5:13" x14ac:dyDescent="0.25">
      <c r="E5551"/>
      <c r="M5551"/>
    </row>
    <row r="5552" spans="5:13" x14ac:dyDescent="0.25">
      <c r="E5552"/>
      <c r="M5552"/>
    </row>
    <row r="5553" spans="5:13" x14ac:dyDescent="0.25">
      <c r="E5553"/>
      <c r="M5553"/>
    </row>
    <row r="5554" spans="5:13" x14ac:dyDescent="0.25">
      <c r="E5554"/>
      <c r="M5554"/>
    </row>
    <row r="5555" spans="5:13" x14ac:dyDescent="0.25">
      <c r="E5555"/>
      <c r="M5555"/>
    </row>
    <row r="5556" spans="5:13" x14ac:dyDescent="0.25">
      <c r="E5556"/>
      <c r="M5556"/>
    </row>
    <row r="5557" spans="5:13" x14ac:dyDescent="0.25">
      <c r="E5557"/>
      <c r="M5557"/>
    </row>
    <row r="5558" spans="5:13" x14ac:dyDescent="0.25">
      <c r="E5558"/>
      <c r="M5558"/>
    </row>
    <row r="5559" spans="5:13" x14ac:dyDescent="0.25">
      <c r="E5559"/>
      <c r="M5559"/>
    </row>
    <row r="5560" spans="5:13" x14ac:dyDescent="0.25">
      <c r="E5560"/>
      <c r="M5560"/>
    </row>
    <row r="5561" spans="5:13" x14ac:dyDescent="0.25">
      <c r="E5561"/>
      <c r="M5561"/>
    </row>
    <row r="5562" spans="5:13" x14ac:dyDescent="0.25">
      <c r="E5562"/>
      <c r="M5562"/>
    </row>
    <row r="5563" spans="5:13" x14ac:dyDescent="0.25">
      <c r="E5563"/>
      <c r="M5563"/>
    </row>
    <row r="5564" spans="5:13" x14ac:dyDescent="0.25">
      <c r="E5564"/>
      <c r="M5564"/>
    </row>
    <row r="5565" spans="5:13" x14ac:dyDescent="0.25">
      <c r="E5565"/>
      <c r="M5565"/>
    </row>
    <row r="5566" spans="5:13" x14ac:dyDescent="0.25">
      <c r="E5566"/>
      <c r="M5566"/>
    </row>
    <row r="5567" spans="5:13" x14ac:dyDescent="0.25">
      <c r="E5567"/>
      <c r="M5567"/>
    </row>
    <row r="5568" spans="5:13" x14ac:dyDescent="0.25">
      <c r="E5568"/>
      <c r="M5568"/>
    </row>
    <row r="5569" spans="5:13" x14ac:dyDescent="0.25">
      <c r="E5569"/>
      <c r="M5569"/>
    </row>
    <row r="5570" spans="5:13" x14ac:dyDescent="0.25">
      <c r="E5570"/>
      <c r="M5570"/>
    </row>
    <row r="5571" spans="5:13" x14ac:dyDescent="0.25">
      <c r="E5571"/>
      <c r="M5571"/>
    </row>
    <row r="5572" spans="5:13" x14ac:dyDescent="0.25">
      <c r="E5572"/>
      <c r="M5572"/>
    </row>
    <row r="5573" spans="5:13" x14ac:dyDescent="0.25">
      <c r="E5573"/>
      <c r="M5573"/>
    </row>
    <row r="5574" spans="5:13" x14ac:dyDescent="0.25">
      <c r="E5574"/>
      <c r="M5574"/>
    </row>
    <row r="5575" spans="5:13" x14ac:dyDescent="0.25">
      <c r="E5575"/>
      <c r="M5575"/>
    </row>
    <row r="5576" spans="5:13" x14ac:dyDescent="0.25">
      <c r="E5576"/>
      <c r="M5576"/>
    </row>
    <row r="5577" spans="5:13" x14ac:dyDescent="0.25">
      <c r="E5577"/>
      <c r="M5577"/>
    </row>
    <row r="5578" spans="5:13" x14ac:dyDescent="0.25">
      <c r="E5578"/>
      <c r="M5578"/>
    </row>
    <row r="5579" spans="5:13" x14ac:dyDescent="0.25">
      <c r="E5579"/>
      <c r="M5579"/>
    </row>
    <row r="5580" spans="5:13" x14ac:dyDescent="0.25">
      <c r="E5580"/>
      <c r="M5580"/>
    </row>
    <row r="5581" spans="5:13" x14ac:dyDescent="0.25">
      <c r="E5581"/>
      <c r="M5581"/>
    </row>
    <row r="5582" spans="5:13" x14ac:dyDescent="0.25">
      <c r="E5582"/>
      <c r="M5582"/>
    </row>
    <row r="5583" spans="5:13" x14ac:dyDescent="0.25">
      <c r="E5583"/>
      <c r="M5583"/>
    </row>
    <row r="5584" spans="5:13" x14ac:dyDescent="0.25">
      <c r="E5584"/>
      <c r="M5584"/>
    </row>
    <row r="5585" spans="5:13" x14ac:dyDescent="0.25">
      <c r="E5585"/>
      <c r="M5585"/>
    </row>
    <row r="5586" spans="5:13" x14ac:dyDescent="0.25">
      <c r="E5586"/>
      <c r="M5586"/>
    </row>
    <row r="5587" spans="5:13" x14ac:dyDescent="0.25">
      <c r="E5587"/>
      <c r="M5587"/>
    </row>
    <row r="5588" spans="5:13" x14ac:dyDescent="0.25">
      <c r="E5588"/>
      <c r="M5588"/>
    </row>
    <row r="5589" spans="5:13" x14ac:dyDescent="0.25">
      <c r="E5589"/>
      <c r="M5589"/>
    </row>
    <row r="5590" spans="5:13" x14ac:dyDescent="0.25">
      <c r="E5590"/>
      <c r="M5590"/>
    </row>
    <row r="5591" spans="5:13" x14ac:dyDescent="0.25">
      <c r="E5591"/>
      <c r="M5591"/>
    </row>
    <row r="5592" spans="5:13" x14ac:dyDescent="0.25">
      <c r="E5592"/>
      <c r="M5592"/>
    </row>
    <row r="5593" spans="5:13" x14ac:dyDescent="0.25">
      <c r="E5593"/>
      <c r="M5593"/>
    </row>
    <row r="5594" spans="5:13" x14ac:dyDescent="0.25">
      <c r="E5594"/>
      <c r="M5594"/>
    </row>
    <row r="5595" spans="5:13" x14ac:dyDescent="0.25">
      <c r="E5595"/>
      <c r="M5595"/>
    </row>
    <row r="5596" spans="5:13" x14ac:dyDescent="0.25">
      <c r="E5596"/>
      <c r="M5596"/>
    </row>
    <row r="5597" spans="5:13" x14ac:dyDescent="0.25">
      <c r="E5597"/>
      <c r="M5597"/>
    </row>
    <row r="5598" spans="5:13" x14ac:dyDescent="0.25">
      <c r="E5598"/>
      <c r="M5598"/>
    </row>
    <row r="5599" spans="5:13" x14ac:dyDescent="0.25">
      <c r="E5599"/>
      <c r="M5599"/>
    </row>
    <row r="5600" spans="5:13" x14ac:dyDescent="0.25">
      <c r="E5600"/>
      <c r="M5600"/>
    </row>
    <row r="5601" spans="5:13" x14ac:dyDescent="0.25">
      <c r="E5601"/>
      <c r="M5601"/>
    </row>
    <row r="5602" spans="5:13" x14ac:dyDescent="0.25">
      <c r="E5602"/>
      <c r="M5602"/>
    </row>
    <row r="5603" spans="5:13" x14ac:dyDescent="0.25">
      <c r="E5603"/>
      <c r="M5603"/>
    </row>
    <row r="5604" spans="5:13" x14ac:dyDescent="0.25">
      <c r="E5604"/>
      <c r="M5604"/>
    </row>
    <row r="5605" spans="5:13" x14ac:dyDescent="0.25">
      <c r="E5605"/>
      <c r="M5605"/>
    </row>
    <row r="5606" spans="5:13" x14ac:dyDescent="0.25">
      <c r="E5606"/>
      <c r="M5606"/>
    </row>
    <row r="5607" spans="5:13" x14ac:dyDescent="0.25">
      <c r="E5607"/>
      <c r="M5607"/>
    </row>
    <row r="5608" spans="5:13" x14ac:dyDescent="0.25">
      <c r="E5608"/>
      <c r="M5608"/>
    </row>
    <row r="5609" spans="5:13" x14ac:dyDescent="0.25">
      <c r="E5609"/>
      <c r="M5609"/>
    </row>
    <row r="5610" spans="5:13" x14ac:dyDescent="0.25">
      <c r="E5610"/>
      <c r="M5610"/>
    </row>
    <row r="5611" spans="5:13" x14ac:dyDescent="0.25">
      <c r="E5611"/>
      <c r="M5611"/>
    </row>
    <row r="5612" spans="5:13" x14ac:dyDescent="0.25">
      <c r="E5612"/>
      <c r="M5612"/>
    </row>
    <row r="5613" spans="5:13" x14ac:dyDescent="0.25">
      <c r="E5613"/>
      <c r="M5613"/>
    </row>
    <row r="5614" spans="5:13" x14ac:dyDescent="0.25">
      <c r="E5614"/>
      <c r="M5614"/>
    </row>
    <row r="5615" spans="5:13" x14ac:dyDescent="0.25">
      <c r="E5615"/>
      <c r="M5615"/>
    </row>
    <row r="5616" spans="5:13" x14ac:dyDescent="0.25">
      <c r="E5616"/>
      <c r="M5616"/>
    </row>
    <row r="5617" spans="5:13" x14ac:dyDescent="0.25">
      <c r="E5617"/>
      <c r="M5617"/>
    </row>
    <row r="5618" spans="5:13" x14ac:dyDescent="0.25">
      <c r="E5618"/>
      <c r="M5618"/>
    </row>
    <row r="5619" spans="5:13" x14ac:dyDescent="0.25">
      <c r="E5619"/>
      <c r="M5619"/>
    </row>
    <row r="5620" spans="5:13" x14ac:dyDescent="0.25">
      <c r="E5620"/>
      <c r="M5620"/>
    </row>
    <row r="5621" spans="5:13" x14ac:dyDescent="0.25">
      <c r="E5621"/>
      <c r="M5621"/>
    </row>
    <row r="5622" spans="5:13" x14ac:dyDescent="0.25">
      <c r="E5622"/>
      <c r="M5622"/>
    </row>
    <row r="5623" spans="5:13" x14ac:dyDescent="0.25">
      <c r="E5623"/>
      <c r="M5623"/>
    </row>
    <row r="5624" spans="5:13" x14ac:dyDescent="0.25">
      <c r="E5624"/>
      <c r="M5624"/>
    </row>
    <row r="5625" spans="5:13" x14ac:dyDescent="0.25">
      <c r="E5625"/>
      <c r="M5625"/>
    </row>
    <row r="5626" spans="5:13" x14ac:dyDescent="0.25">
      <c r="E5626"/>
      <c r="M5626"/>
    </row>
    <row r="5627" spans="5:13" x14ac:dyDescent="0.25">
      <c r="E5627"/>
      <c r="M5627"/>
    </row>
    <row r="5628" spans="5:13" x14ac:dyDescent="0.25">
      <c r="E5628"/>
      <c r="M5628"/>
    </row>
    <row r="5629" spans="5:13" x14ac:dyDescent="0.25">
      <c r="E5629"/>
      <c r="M5629"/>
    </row>
    <row r="5630" spans="5:13" x14ac:dyDescent="0.25">
      <c r="E5630"/>
      <c r="M5630"/>
    </row>
    <row r="5631" spans="5:13" x14ac:dyDescent="0.25">
      <c r="E5631"/>
      <c r="M5631"/>
    </row>
    <row r="5632" spans="5:13" x14ac:dyDescent="0.25">
      <c r="E5632"/>
      <c r="M5632"/>
    </row>
    <row r="5633" spans="5:13" x14ac:dyDescent="0.25">
      <c r="E5633"/>
      <c r="M5633"/>
    </row>
    <row r="5634" spans="5:13" x14ac:dyDescent="0.25">
      <c r="E5634"/>
      <c r="M5634"/>
    </row>
    <row r="5635" spans="5:13" x14ac:dyDescent="0.25">
      <c r="E5635"/>
      <c r="M5635"/>
    </row>
    <row r="5636" spans="5:13" x14ac:dyDescent="0.25">
      <c r="E5636"/>
      <c r="M5636"/>
    </row>
    <row r="5637" spans="5:13" x14ac:dyDescent="0.25">
      <c r="E5637"/>
      <c r="M5637"/>
    </row>
    <row r="5638" spans="5:13" x14ac:dyDescent="0.25">
      <c r="E5638"/>
      <c r="M5638"/>
    </row>
    <row r="5639" spans="5:13" x14ac:dyDescent="0.25">
      <c r="E5639"/>
      <c r="M5639"/>
    </row>
    <row r="5640" spans="5:13" x14ac:dyDescent="0.25">
      <c r="E5640"/>
      <c r="M5640"/>
    </row>
    <row r="5641" spans="5:13" x14ac:dyDescent="0.25">
      <c r="E5641"/>
      <c r="M5641"/>
    </row>
    <row r="5642" spans="5:13" x14ac:dyDescent="0.25">
      <c r="E5642"/>
      <c r="M5642"/>
    </row>
    <row r="5643" spans="5:13" x14ac:dyDescent="0.25">
      <c r="E5643"/>
      <c r="M5643"/>
    </row>
    <row r="5644" spans="5:13" x14ac:dyDescent="0.25">
      <c r="E5644"/>
      <c r="M5644"/>
    </row>
    <row r="5645" spans="5:13" x14ac:dyDescent="0.25">
      <c r="E5645"/>
      <c r="M5645"/>
    </row>
    <row r="5646" spans="5:13" x14ac:dyDescent="0.25">
      <c r="E5646"/>
      <c r="M5646"/>
    </row>
    <row r="5647" spans="5:13" x14ac:dyDescent="0.25">
      <c r="E5647"/>
      <c r="M5647"/>
    </row>
    <row r="5648" spans="5:13" x14ac:dyDescent="0.25">
      <c r="E5648"/>
      <c r="M5648"/>
    </row>
    <row r="5649" spans="5:13" x14ac:dyDescent="0.25">
      <c r="E5649"/>
      <c r="M5649"/>
    </row>
    <row r="5650" spans="5:13" x14ac:dyDescent="0.25">
      <c r="E5650"/>
      <c r="M5650"/>
    </row>
    <row r="5651" spans="5:13" x14ac:dyDescent="0.25">
      <c r="E5651"/>
      <c r="M5651"/>
    </row>
    <row r="5652" spans="5:13" x14ac:dyDescent="0.25">
      <c r="E5652"/>
      <c r="M5652"/>
    </row>
    <row r="5653" spans="5:13" x14ac:dyDescent="0.25">
      <c r="E5653"/>
      <c r="M5653"/>
    </row>
    <row r="5654" spans="5:13" x14ac:dyDescent="0.25">
      <c r="E5654"/>
      <c r="M5654"/>
    </row>
    <row r="5655" spans="5:13" x14ac:dyDescent="0.25">
      <c r="E5655"/>
      <c r="M5655"/>
    </row>
    <row r="5656" spans="5:13" x14ac:dyDescent="0.25">
      <c r="E5656"/>
      <c r="M5656"/>
    </row>
    <row r="5657" spans="5:13" x14ac:dyDescent="0.25">
      <c r="E5657"/>
      <c r="M5657"/>
    </row>
    <row r="5658" spans="5:13" x14ac:dyDescent="0.25">
      <c r="E5658"/>
      <c r="M5658"/>
    </row>
    <row r="5659" spans="5:13" x14ac:dyDescent="0.25">
      <c r="E5659"/>
      <c r="M5659"/>
    </row>
    <row r="5660" spans="5:13" x14ac:dyDescent="0.25">
      <c r="E5660"/>
      <c r="M5660"/>
    </row>
    <row r="5661" spans="5:13" x14ac:dyDescent="0.25">
      <c r="E5661"/>
      <c r="M5661"/>
    </row>
    <row r="5662" spans="5:13" x14ac:dyDescent="0.25">
      <c r="E5662"/>
      <c r="M5662"/>
    </row>
    <row r="5663" spans="5:13" x14ac:dyDescent="0.25">
      <c r="E5663"/>
      <c r="M5663"/>
    </row>
    <row r="5664" spans="5:13" x14ac:dyDescent="0.25">
      <c r="E5664"/>
      <c r="M5664"/>
    </row>
    <row r="5665" spans="5:13" x14ac:dyDescent="0.25">
      <c r="E5665"/>
      <c r="M5665"/>
    </row>
    <row r="5666" spans="5:13" x14ac:dyDescent="0.25">
      <c r="E5666"/>
      <c r="M5666"/>
    </row>
    <row r="5667" spans="5:13" x14ac:dyDescent="0.25">
      <c r="E5667"/>
      <c r="M5667"/>
    </row>
    <row r="5668" spans="5:13" x14ac:dyDescent="0.25">
      <c r="E5668"/>
      <c r="M5668"/>
    </row>
    <row r="5669" spans="5:13" x14ac:dyDescent="0.25">
      <c r="E5669"/>
      <c r="M5669"/>
    </row>
    <row r="5670" spans="5:13" x14ac:dyDescent="0.25">
      <c r="E5670"/>
      <c r="M5670"/>
    </row>
    <row r="5671" spans="5:13" x14ac:dyDescent="0.25">
      <c r="E5671"/>
      <c r="M5671"/>
    </row>
    <row r="5672" spans="5:13" x14ac:dyDescent="0.25">
      <c r="E5672"/>
      <c r="M5672"/>
    </row>
    <row r="5673" spans="5:13" x14ac:dyDescent="0.25">
      <c r="E5673"/>
      <c r="M5673"/>
    </row>
    <row r="5674" spans="5:13" x14ac:dyDescent="0.25">
      <c r="E5674"/>
      <c r="M5674"/>
    </row>
    <row r="5675" spans="5:13" x14ac:dyDescent="0.25">
      <c r="E5675"/>
      <c r="M5675"/>
    </row>
    <row r="5676" spans="5:13" x14ac:dyDescent="0.25">
      <c r="E5676"/>
      <c r="M5676"/>
    </row>
    <row r="5677" spans="5:13" x14ac:dyDescent="0.25">
      <c r="E5677"/>
      <c r="M5677"/>
    </row>
    <row r="5678" spans="5:13" x14ac:dyDescent="0.25">
      <c r="E5678"/>
      <c r="M5678"/>
    </row>
    <row r="5679" spans="5:13" x14ac:dyDescent="0.25">
      <c r="E5679"/>
      <c r="M5679"/>
    </row>
    <row r="5680" spans="5:13" x14ac:dyDescent="0.25">
      <c r="E5680"/>
      <c r="M5680"/>
    </row>
    <row r="5681" spans="5:13" x14ac:dyDescent="0.25">
      <c r="E5681"/>
      <c r="M5681"/>
    </row>
    <row r="5682" spans="5:13" x14ac:dyDescent="0.25">
      <c r="E5682"/>
      <c r="M5682"/>
    </row>
    <row r="5683" spans="5:13" x14ac:dyDescent="0.25">
      <c r="E5683"/>
      <c r="M5683"/>
    </row>
    <row r="5684" spans="5:13" x14ac:dyDescent="0.25">
      <c r="E5684"/>
      <c r="M5684"/>
    </row>
    <row r="5685" spans="5:13" x14ac:dyDescent="0.25">
      <c r="E5685"/>
      <c r="M5685"/>
    </row>
    <row r="5686" spans="5:13" x14ac:dyDescent="0.25">
      <c r="E5686"/>
      <c r="M5686"/>
    </row>
    <row r="5687" spans="5:13" x14ac:dyDescent="0.25">
      <c r="E5687"/>
      <c r="M5687"/>
    </row>
    <row r="5688" spans="5:13" x14ac:dyDescent="0.25">
      <c r="E5688"/>
      <c r="M5688"/>
    </row>
    <row r="5689" spans="5:13" x14ac:dyDescent="0.25">
      <c r="E5689"/>
      <c r="M5689"/>
    </row>
    <row r="5690" spans="5:13" x14ac:dyDescent="0.25">
      <c r="E5690"/>
      <c r="M5690"/>
    </row>
    <row r="5691" spans="5:13" x14ac:dyDescent="0.25">
      <c r="E5691"/>
      <c r="M5691"/>
    </row>
    <row r="5692" spans="5:13" x14ac:dyDescent="0.25">
      <c r="E5692"/>
      <c r="M5692"/>
    </row>
    <row r="5693" spans="5:13" x14ac:dyDescent="0.25">
      <c r="E5693"/>
      <c r="M5693"/>
    </row>
    <row r="5694" spans="5:13" x14ac:dyDescent="0.25">
      <c r="E5694"/>
      <c r="M5694"/>
    </row>
    <row r="5695" spans="5:13" x14ac:dyDescent="0.25">
      <c r="E5695"/>
      <c r="M5695"/>
    </row>
    <row r="5696" spans="5:13" x14ac:dyDescent="0.25">
      <c r="E5696"/>
      <c r="M5696"/>
    </row>
    <row r="5697" spans="5:13" x14ac:dyDescent="0.25">
      <c r="E5697"/>
      <c r="M5697"/>
    </row>
    <row r="5698" spans="5:13" x14ac:dyDescent="0.25">
      <c r="E5698"/>
      <c r="M5698"/>
    </row>
    <row r="5699" spans="5:13" x14ac:dyDescent="0.25">
      <c r="E5699"/>
      <c r="M5699"/>
    </row>
    <row r="5700" spans="5:13" x14ac:dyDescent="0.25">
      <c r="E5700"/>
      <c r="M5700"/>
    </row>
    <row r="5701" spans="5:13" x14ac:dyDescent="0.25">
      <c r="E5701"/>
      <c r="M5701"/>
    </row>
    <row r="5702" spans="5:13" x14ac:dyDescent="0.25">
      <c r="E5702"/>
      <c r="M5702"/>
    </row>
    <row r="5703" spans="5:13" x14ac:dyDescent="0.25">
      <c r="E5703"/>
      <c r="M5703"/>
    </row>
    <row r="5704" spans="5:13" x14ac:dyDescent="0.25">
      <c r="E5704"/>
      <c r="M5704"/>
    </row>
    <row r="5705" spans="5:13" x14ac:dyDescent="0.25">
      <c r="E5705"/>
      <c r="M5705"/>
    </row>
    <row r="5706" spans="5:13" x14ac:dyDescent="0.25">
      <c r="E5706"/>
      <c r="M5706"/>
    </row>
    <row r="5707" spans="5:13" x14ac:dyDescent="0.25">
      <c r="E5707"/>
      <c r="M5707"/>
    </row>
    <row r="5708" spans="5:13" x14ac:dyDescent="0.25">
      <c r="E5708"/>
      <c r="M5708"/>
    </row>
    <row r="5709" spans="5:13" x14ac:dyDescent="0.25">
      <c r="E5709"/>
      <c r="M5709"/>
    </row>
    <row r="5710" spans="5:13" x14ac:dyDescent="0.25">
      <c r="E5710"/>
      <c r="M5710"/>
    </row>
    <row r="5711" spans="5:13" x14ac:dyDescent="0.25">
      <c r="E5711"/>
      <c r="M5711"/>
    </row>
    <row r="5712" spans="5:13" x14ac:dyDescent="0.25">
      <c r="E5712"/>
      <c r="M5712"/>
    </row>
    <row r="5713" spans="5:13" x14ac:dyDescent="0.25">
      <c r="E5713"/>
      <c r="M5713"/>
    </row>
    <row r="5714" spans="5:13" x14ac:dyDescent="0.25">
      <c r="E5714"/>
      <c r="M5714"/>
    </row>
    <row r="5715" spans="5:13" x14ac:dyDescent="0.25">
      <c r="E5715"/>
      <c r="M5715"/>
    </row>
    <row r="5716" spans="5:13" x14ac:dyDescent="0.25">
      <c r="E5716"/>
      <c r="M5716"/>
    </row>
    <row r="5717" spans="5:13" x14ac:dyDescent="0.25">
      <c r="E5717"/>
      <c r="M5717"/>
    </row>
    <row r="5718" spans="5:13" x14ac:dyDescent="0.25">
      <c r="E5718"/>
      <c r="M5718"/>
    </row>
    <row r="5719" spans="5:13" x14ac:dyDescent="0.25">
      <c r="E5719"/>
      <c r="M5719"/>
    </row>
    <row r="5720" spans="5:13" x14ac:dyDescent="0.25">
      <c r="E5720"/>
      <c r="M5720"/>
    </row>
    <row r="5721" spans="5:13" x14ac:dyDescent="0.25">
      <c r="E5721"/>
      <c r="M5721"/>
    </row>
    <row r="5722" spans="5:13" x14ac:dyDescent="0.25">
      <c r="E5722"/>
      <c r="M5722"/>
    </row>
    <row r="5723" spans="5:13" x14ac:dyDescent="0.25">
      <c r="E5723"/>
      <c r="M5723"/>
    </row>
    <row r="5724" spans="5:13" x14ac:dyDescent="0.25">
      <c r="E5724"/>
      <c r="M5724"/>
    </row>
    <row r="5725" spans="5:13" x14ac:dyDescent="0.25">
      <c r="E5725"/>
      <c r="M5725"/>
    </row>
    <row r="5726" spans="5:13" x14ac:dyDescent="0.25">
      <c r="E5726"/>
      <c r="M5726"/>
    </row>
    <row r="5727" spans="5:13" x14ac:dyDescent="0.25">
      <c r="E5727"/>
      <c r="M5727"/>
    </row>
    <row r="5728" spans="5:13" x14ac:dyDescent="0.25">
      <c r="E5728"/>
      <c r="M5728"/>
    </row>
    <row r="5729" spans="5:13" x14ac:dyDescent="0.25">
      <c r="E5729"/>
      <c r="M5729"/>
    </row>
    <row r="5730" spans="5:13" x14ac:dyDescent="0.25">
      <c r="E5730"/>
      <c r="M5730"/>
    </row>
    <row r="5731" spans="5:13" x14ac:dyDescent="0.25">
      <c r="E5731"/>
      <c r="M5731"/>
    </row>
    <row r="5732" spans="5:13" x14ac:dyDescent="0.25">
      <c r="E5732"/>
      <c r="M5732"/>
    </row>
    <row r="5733" spans="5:13" x14ac:dyDescent="0.25">
      <c r="E5733"/>
      <c r="M5733"/>
    </row>
    <row r="5734" spans="5:13" x14ac:dyDescent="0.25">
      <c r="E5734"/>
      <c r="M5734"/>
    </row>
    <row r="5735" spans="5:13" x14ac:dyDescent="0.25">
      <c r="E5735"/>
      <c r="M5735"/>
    </row>
    <row r="5736" spans="5:13" x14ac:dyDescent="0.25">
      <c r="E5736"/>
      <c r="M5736"/>
    </row>
    <row r="5737" spans="5:13" x14ac:dyDescent="0.25">
      <c r="E5737"/>
      <c r="M5737"/>
    </row>
    <row r="5738" spans="5:13" x14ac:dyDescent="0.25">
      <c r="E5738"/>
      <c r="M5738"/>
    </row>
    <row r="5739" spans="5:13" x14ac:dyDescent="0.25">
      <c r="E5739"/>
      <c r="M5739"/>
    </row>
    <row r="5740" spans="5:13" x14ac:dyDescent="0.25">
      <c r="E5740"/>
      <c r="M5740"/>
    </row>
    <row r="5741" spans="5:13" x14ac:dyDescent="0.25">
      <c r="E5741"/>
      <c r="M5741"/>
    </row>
    <row r="5742" spans="5:13" x14ac:dyDescent="0.25">
      <c r="E5742"/>
      <c r="M5742"/>
    </row>
    <row r="5743" spans="5:13" x14ac:dyDescent="0.25">
      <c r="E5743"/>
      <c r="M5743"/>
    </row>
    <row r="5744" spans="5:13" x14ac:dyDescent="0.25">
      <c r="E5744"/>
      <c r="M5744"/>
    </row>
    <row r="5745" spans="5:13" x14ac:dyDescent="0.25">
      <c r="E5745"/>
      <c r="M5745"/>
    </row>
    <row r="5746" spans="5:13" x14ac:dyDescent="0.25">
      <c r="E5746"/>
      <c r="M5746"/>
    </row>
    <row r="5747" spans="5:13" x14ac:dyDescent="0.25">
      <c r="E5747"/>
      <c r="M5747"/>
    </row>
    <row r="5748" spans="5:13" x14ac:dyDescent="0.25">
      <c r="E5748"/>
      <c r="M5748"/>
    </row>
    <row r="5749" spans="5:13" x14ac:dyDescent="0.25">
      <c r="E5749"/>
      <c r="M5749"/>
    </row>
    <row r="5750" spans="5:13" x14ac:dyDescent="0.25">
      <c r="E5750"/>
      <c r="M5750"/>
    </row>
    <row r="5751" spans="5:13" x14ac:dyDescent="0.25">
      <c r="E5751"/>
      <c r="M5751"/>
    </row>
    <row r="5752" spans="5:13" x14ac:dyDescent="0.25">
      <c r="E5752"/>
      <c r="M5752"/>
    </row>
    <row r="5753" spans="5:13" x14ac:dyDescent="0.25">
      <c r="E5753"/>
      <c r="M5753"/>
    </row>
    <row r="5754" spans="5:13" x14ac:dyDescent="0.25">
      <c r="E5754"/>
      <c r="M5754"/>
    </row>
    <row r="5755" spans="5:13" x14ac:dyDescent="0.25">
      <c r="E5755"/>
      <c r="M5755"/>
    </row>
    <row r="5756" spans="5:13" x14ac:dyDescent="0.25">
      <c r="E5756"/>
      <c r="M5756"/>
    </row>
    <row r="5757" spans="5:13" x14ac:dyDescent="0.25">
      <c r="E5757"/>
      <c r="M5757"/>
    </row>
    <row r="5758" spans="5:13" x14ac:dyDescent="0.25">
      <c r="E5758"/>
      <c r="M5758"/>
    </row>
    <row r="5759" spans="5:13" x14ac:dyDescent="0.25">
      <c r="E5759"/>
      <c r="M5759"/>
    </row>
    <row r="5760" spans="5:13" x14ac:dyDescent="0.25">
      <c r="E5760"/>
      <c r="M5760"/>
    </row>
    <row r="5761" spans="5:13" x14ac:dyDescent="0.25">
      <c r="E5761"/>
      <c r="M5761"/>
    </row>
    <row r="5762" spans="5:13" x14ac:dyDescent="0.25">
      <c r="E5762"/>
      <c r="M5762"/>
    </row>
    <row r="5763" spans="5:13" x14ac:dyDescent="0.25">
      <c r="E5763"/>
      <c r="M5763"/>
    </row>
    <row r="5764" spans="5:13" x14ac:dyDescent="0.25">
      <c r="E5764"/>
      <c r="M5764"/>
    </row>
    <row r="5765" spans="5:13" x14ac:dyDescent="0.25">
      <c r="E5765"/>
      <c r="M5765"/>
    </row>
    <row r="5766" spans="5:13" x14ac:dyDescent="0.25">
      <c r="E5766"/>
      <c r="M5766"/>
    </row>
    <row r="5767" spans="5:13" x14ac:dyDescent="0.25">
      <c r="E5767"/>
      <c r="M5767"/>
    </row>
    <row r="5768" spans="5:13" x14ac:dyDescent="0.25">
      <c r="E5768"/>
      <c r="M5768"/>
    </row>
    <row r="5769" spans="5:13" x14ac:dyDescent="0.25">
      <c r="E5769"/>
      <c r="M5769"/>
    </row>
    <row r="5770" spans="5:13" x14ac:dyDescent="0.25">
      <c r="E5770"/>
      <c r="M5770"/>
    </row>
    <row r="5771" spans="5:13" x14ac:dyDescent="0.25">
      <c r="E5771"/>
      <c r="M5771"/>
    </row>
    <row r="5772" spans="5:13" x14ac:dyDescent="0.25">
      <c r="E5772"/>
      <c r="M5772"/>
    </row>
    <row r="5773" spans="5:13" x14ac:dyDescent="0.25">
      <c r="E5773"/>
      <c r="M5773"/>
    </row>
    <row r="5774" spans="5:13" x14ac:dyDescent="0.25">
      <c r="E5774"/>
      <c r="M5774"/>
    </row>
    <row r="5775" spans="5:13" x14ac:dyDescent="0.25">
      <c r="E5775"/>
      <c r="M5775"/>
    </row>
    <row r="5776" spans="5:13" x14ac:dyDescent="0.25">
      <c r="E5776"/>
      <c r="M5776"/>
    </row>
    <row r="5777" spans="5:13" x14ac:dyDescent="0.25">
      <c r="E5777"/>
      <c r="M5777"/>
    </row>
    <row r="5778" spans="5:13" x14ac:dyDescent="0.25">
      <c r="E5778"/>
      <c r="M5778"/>
    </row>
    <row r="5779" spans="5:13" x14ac:dyDescent="0.25">
      <c r="E5779"/>
      <c r="M5779"/>
    </row>
    <row r="5780" spans="5:13" x14ac:dyDescent="0.25">
      <c r="E5780"/>
      <c r="M5780"/>
    </row>
    <row r="5781" spans="5:13" x14ac:dyDescent="0.25">
      <c r="E5781"/>
      <c r="M5781"/>
    </row>
    <row r="5782" spans="5:13" x14ac:dyDescent="0.25">
      <c r="E5782"/>
      <c r="M5782"/>
    </row>
    <row r="5783" spans="5:13" x14ac:dyDescent="0.25">
      <c r="E5783"/>
      <c r="M5783"/>
    </row>
    <row r="5784" spans="5:13" x14ac:dyDescent="0.25">
      <c r="E5784"/>
      <c r="M5784"/>
    </row>
    <row r="5785" spans="5:13" x14ac:dyDescent="0.25">
      <c r="E5785"/>
      <c r="M5785"/>
    </row>
    <row r="5786" spans="5:13" x14ac:dyDescent="0.25">
      <c r="E5786"/>
      <c r="M5786"/>
    </row>
    <row r="5787" spans="5:13" x14ac:dyDescent="0.25">
      <c r="E5787"/>
      <c r="M5787"/>
    </row>
    <row r="5788" spans="5:13" x14ac:dyDescent="0.25">
      <c r="E5788"/>
      <c r="M5788"/>
    </row>
    <row r="5789" spans="5:13" x14ac:dyDescent="0.25">
      <c r="E5789"/>
      <c r="M5789"/>
    </row>
    <row r="5790" spans="5:13" x14ac:dyDescent="0.25">
      <c r="E5790"/>
      <c r="M5790"/>
    </row>
    <row r="5791" spans="5:13" x14ac:dyDescent="0.25">
      <c r="E5791"/>
      <c r="M5791"/>
    </row>
    <row r="5792" spans="5:13" x14ac:dyDescent="0.25">
      <c r="E5792"/>
      <c r="M5792"/>
    </row>
    <row r="5793" spans="5:13" x14ac:dyDescent="0.25">
      <c r="E5793"/>
      <c r="M5793"/>
    </row>
    <row r="5794" spans="5:13" x14ac:dyDescent="0.25">
      <c r="E5794"/>
      <c r="M5794"/>
    </row>
    <row r="5795" spans="5:13" x14ac:dyDescent="0.25">
      <c r="E5795"/>
      <c r="M5795"/>
    </row>
    <row r="5796" spans="5:13" x14ac:dyDescent="0.25">
      <c r="E5796"/>
      <c r="M5796"/>
    </row>
    <row r="5797" spans="5:13" x14ac:dyDescent="0.25">
      <c r="E5797"/>
      <c r="M5797"/>
    </row>
    <row r="5798" spans="5:13" x14ac:dyDescent="0.25">
      <c r="E5798"/>
      <c r="M5798"/>
    </row>
    <row r="5799" spans="5:13" x14ac:dyDescent="0.25">
      <c r="E5799"/>
      <c r="M5799"/>
    </row>
    <row r="5800" spans="5:13" x14ac:dyDescent="0.25">
      <c r="E5800"/>
      <c r="M5800"/>
    </row>
    <row r="5801" spans="5:13" x14ac:dyDescent="0.25">
      <c r="E5801"/>
      <c r="M5801"/>
    </row>
    <row r="5802" spans="5:13" x14ac:dyDescent="0.25">
      <c r="E5802"/>
      <c r="M5802"/>
    </row>
    <row r="5803" spans="5:13" x14ac:dyDescent="0.25">
      <c r="E5803"/>
      <c r="M5803"/>
    </row>
    <row r="5804" spans="5:13" x14ac:dyDescent="0.25">
      <c r="E5804"/>
      <c r="M5804"/>
    </row>
    <row r="5805" spans="5:13" x14ac:dyDescent="0.25">
      <c r="E5805"/>
      <c r="M5805"/>
    </row>
    <row r="5806" spans="5:13" x14ac:dyDescent="0.25">
      <c r="E5806"/>
      <c r="M5806"/>
    </row>
    <row r="5807" spans="5:13" x14ac:dyDescent="0.25">
      <c r="E5807"/>
      <c r="M5807"/>
    </row>
    <row r="5808" spans="5:13" x14ac:dyDescent="0.25">
      <c r="E5808"/>
      <c r="M5808"/>
    </row>
    <row r="5809" spans="5:13" x14ac:dyDescent="0.25">
      <c r="E5809"/>
      <c r="M5809"/>
    </row>
    <row r="5810" spans="5:13" x14ac:dyDescent="0.25">
      <c r="E5810"/>
      <c r="M5810"/>
    </row>
    <row r="5811" spans="5:13" x14ac:dyDescent="0.25">
      <c r="E5811"/>
      <c r="M5811"/>
    </row>
    <row r="5812" spans="5:13" x14ac:dyDescent="0.25">
      <c r="E5812"/>
      <c r="M5812"/>
    </row>
    <row r="5813" spans="5:13" x14ac:dyDescent="0.25">
      <c r="E5813"/>
      <c r="M5813"/>
    </row>
    <row r="5814" spans="5:13" x14ac:dyDescent="0.25">
      <c r="E5814"/>
      <c r="M5814"/>
    </row>
    <row r="5815" spans="5:13" x14ac:dyDescent="0.25">
      <c r="E5815"/>
      <c r="M5815"/>
    </row>
    <row r="5816" spans="5:13" x14ac:dyDescent="0.25">
      <c r="E5816"/>
      <c r="M5816"/>
    </row>
    <row r="5817" spans="5:13" x14ac:dyDescent="0.25">
      <c r="E5817"/>
      <c r="M5817"/>
    </row>
    <row r="5818" spans="5:13" x14ac:dyDescent="0.25">
      <c r="E5818"/>
      <c r="M5818"/>
    </row>
    <row r="5819" spans="5:13" x14ac:dyDescent="0.25">
      <c r="E5819"/>
      <c r="M5819"/>
    </row>
    <row r="5820" spans="5:13" x14ac:dyDescent="0.25">
      <c r="E5820"/>
      <c r="M5820"/>
    </row>
    <row r="5821" spans="5:13" x14ac:dyDescent="0.25">
      <c r="E5821"/>
      <c r="M5821"/>
    </row>
    <row r="5822" spans="5:13" x14ac:dyDescent="0.25">
      <c r="E5822"/>
      <c r="M5822"/>
    </row>
    <row r="5823" spans="5:13" x14ac:dyDescent="0.25">
      <c r="E5823"/>
      <c r="M5823"/>
    </row>
    <row r="5824" spans="5:13" x14ac:dyDescent="0.25">
      <c r="E5824"/>
      <c r="M5824"/>
    </row>
    <row r="5825" spans="5:13" x14ac:dyDescent="0.25">
      <c r="E5825"/>
      <c r="M5825"/>
    </row>
    <row r="5826" spans="5:13" x14ac:dyDescent="0.25">
      <c r="E5826"/>
      <c r="M5826"/>
    </row>
    <row r="5827" spans="5:13" x14ac:dyDescent="0.25">
      <c r="E5827"/>
      <c r="M5827"/>
    </row>
    <row r="5828" spans="5:13" x14ac:dyDescent="0.25">
      <c r="E5828"/>
      <c r="M5828"/>
    </row>
    <row r="5829" spans="5:13" x14ac:dyDescent="0.25">
      <c r="E5829"/>
      <c r="M5829"/>
    </row>
    <row r="5830" spans="5:13" x14ac:dyDescent="0.25">
      <c r="E5830"/>
      <c r="M5830"/>
    </row>
    <row r="5831" spans="5:13" x14ac:dyDescent="0.25">
      <c r="E5831"/>
      <c r="M5831"/>
    </row>
    <row r="5832" spans="5:13" x14ac:dyDescent="0.25">
      <c r="E5832"/>
      <c r="M5832"/>
    </row>
    <row r="5833" spans="5:13" x14ac:dyDescent="0.25">
      <c r="E5833"/>
      <c r="M5833"/>
    </row>
    <row r="5834" spans="5:13" x14ac:dyDescent="0.25">
      <c r="E5834"/>
      <c r="M5834"/>
    </row>
    <row r="5835" spans="5:13" x14ac:dyDescent="0.25">
      <c r="E5835"/>
      <c r="M5835"/>
    </row>
    <row r="5836" spans="5:13" x14ac:dyDescent="0.25">
      <c r="E5836"/>
      <c r="M5836"/>
    </row>
    <row r="5837" spans="5:13" x14ac:dyDescent="0.25">
      <c r="E5837"/>
      <c r="M5837"/>
    </row>
    <row r="5838" spans="5:13" x14ac:dyDescent="0.25">
      <c r="E5838"/>
      <c r="M5838"/>
    </row>
    <row r="5839" spans="5:13" x14ac:dyDescent="0.25">
      <c r="E5839"/>
      <c r="M5839"/>
    </row>
    <row r="5840" spans="5:13" x14ac:dyDescent="0.25">
      <c r="E5840"/>
      <c r="M5840"/>
    </row>
    <row r="5841" spans="5:13" x14ac:dyDescent="0.25">
      <c r="E5841"/>
      <c r="M5841"/>
    </row>
    <row r="5842" spans="5:13" x14ac:dyDescent="0.25">
      <c r="E5842"/>
      <c r="M5842"/>
    </row>
    <row r="5843" spans="5:13" x14ac:dyDescent="0.25">
      <c r="E5843"/>
      <c r="M5843"/>
    </row>
    <row r="5844" spans="5:13" x14ac:dyDescent="0.25">
      <c r="E5844"/>
      <c r="M5844"/>
    </row>
    <row r="5845" spans="5:13" x14ac:dyDescent="0.25">
      <c r="E5845"/>
      <c r="M5845"/>
    </row>
    <row r="5846" spans="5:13" x14ac:dyDescent="0.25">
      <c r="E5846"/>
      <c r="M5846"/>
    </row>
    <row r="5847" spans="5:13" x14ac:dyDescent="0.25">
      <c r="E5847"/>
      <c r="M5847"/>
    </row>
    <row r="5848" spans="5:13" x14ac:dyDescent="0.25">
      <c r="E5848"/>
      <c r="M5848"/>
    </row>
    <row r="5849" spans="5:13" x14ac:dyDescent="0.25">
      <c r="E5849"/>
      <c r="M5849"/>
    </row>
    <row r="5850" spans="5:13" x14ac:dyDescent="0.25">
      <c r="E5850"/>
      <c r="M5850"/>
    </row>
    <row r="5851" spans="5:13" x14ac:dyDescent="0.25">
      <c r="E5851"/>
      <c r="M5851"/>
    </row>
    <row r="5852" spans="5:13" x14ac:dyDescent="0.25">
      <c r="E5852"/>
      <c r="M5852"/>
    </row>
    <row r="5853" spans="5:13" x14ac:dyDescent="0.25">
      <c r="E5853"/>
      <c r="M5853"/>
    </row>
    <row r="5854" spans="5:13" x14ac:dyDescent="0.25">
      <c r="E5854"/>
      <c r="M5854"/>
    </row>
    <row r="5855" spans="5:13" x14ac:dyDescent="0.25">
      <c r="E5855"/>
      <c r="M5855"/>
    </row>
    <row r="5856" spans="5:13" x14ac:dyDescent="0.25">
      <c r="E5856"/>
      <c r="M5856"/>
    </row>
    <row r="5857" spans="5:13" x14ac:dyDescent="0.25">
      <c r="E5857"/>
      <c r="M5857"/>
    </row>
    <row r="5858" spans="5:13" x14ac:dyDescent="0.25">
      <c r="E5858"/>
      <c r="M5858"/>
    </row>
    <row r="5859" spans="5:13" x14ac:dyDescent="0.25">
      <c r="E5859"/>
      <c r="M5859"/>
    </row>
    <row r="5860" spans="5:13" x14ac:dyDescent="0.25">
      <c r="E5860"/>
      <c r="M5860"/>
    </row>
    <row r="5861" spans="5:13" x14ac:dyDescent="0.25">
      <c r="E5861"/>
      <c r="M5861"/>
    </row>
    <row r="5862" spans="5:13" x14ac:dyDescent="0.25">
      <c r="E5862"/>
      <c r="M5862"/>
    </row>
    <row r="5863" spans="5:13" x14ac:dyDescent="0.25">
      <c r="E5863"/>
      <c r="M5863"/>
    </row>
    <row r="5864" spans="5:13" x14ac:dyDescent="0.25">
      <c r="E5864"/>
      <c r="M5864"/>
    </row>
    <row r="5865" spans="5:13" x14ac:dyDescent="0.25">
      <c r="E5865"/>
      <c r="M5865"/>
    </row>
    <row r="5866" spans="5:13" x14ac:dyDescent="0.25">
      <c r="E5866"/>
      <c r="M5866"/>
    </row>
    <row r="5867" spans="5:13" x14ac:dyDescent="0.25">
      <c r="E5867"/>
      <c r="M5867"/>
    </row>
    <row r="5868" spans="5:13" x14ac:dyDescent="0.25">
      <c r="E5868"/>
      <c r="M5868"/>
    </row>
    <row r="5869" spans="5:13" x14ac:dyDescent="0.25">
      <c r="E5869"/>
      <c r="M5869"/>
    </row>
    <row r="5870" spans="5:13" x14ac:dyDescent="0.25">
      <c r="E5870"/>
      <c r="M5870"/>
    </row>
    <row r="5871" spans="5:13" x14ac:dyDescent="0.25">
      <c r="E5871"/>
      <c r="M5871"/>
    </row>
    <row r="5872" spans="5:13" x14ac:dyDescent="0.25">
      <c r="E5872"/>
      <c r="M5872"/>
    </row>
    <row r="5873" spans="5:13" x14ac:dyDescent="0.25">
      <c r="E5873"/>
      <c r="M5873"/>
    </row>
    <row r="5874" spans="5:13" x14ac:dyDescent="0.25">
      <c r="E5874"/>
      <c r="M5874"/>
    </row>
    <row r="5875" spans="5:13" x14ac:dyDescent="0.25">
      <c r="E5875"/>
      <c r="M5875"/>
    </row>
    <row r="5876" spans="5:13" x14ac:dyDescent="0.25">
      <c r="E5876"/>
      <c r="M5876"/>
    </row>
    <row r="5877" spans="5:13" x14ac:dyDescent="0.25">
      <c r="E5877"/>
      <c r="M5877"/>
    </row>
    <row r="5878" spans="5:13" x14ac:dyDescent="0.25">
      <c r="E5878"/>
      <c r="M5878"/>
    </row>
    <row r="5879" spans="5:13" x14ac:dyDescent="0.25">
      <c r="E5879"/>
      <c r="M5879"/>
    </row>
    <row r="5880" spans="5:13" x14ac:dyDescent="0.25">
      <c r="E5880"/>
      <c r="M5880"/>
    </row>
    <row r="5881" spans="5:13" x14ac:dyDescent="0.25">
      <c r="E5881"/>
      <c r="M5881"/>
    </row>
    <row r="5882" spans="5:13" x14ac:dyDescent="0.25">
      <c r="E5882"/>
      <c r="M5882"/>
    </row>
    <row r="5883" spans="5:13" x14ac:dyDescent="0.25">
      <c r="E5883"/>
      <c r="M5883"/>
    </row>
    <row r="5884" spans="5:13" x14ac:dyDescent="0.25">
      <c r="E5884"/>
      <c r="M5884"/>
    </row>
    <row r="5885" spans="5:13" x14ac:dyDescent="0.25">
      <c r="E5885"/>
      <c r="M5885"/>
    </row>
    <row r="5886" spans="5:13" x14ac:dyDescent="0.25">
      <c r="E5886"/>
      <c r="M5886"/>
    </row>
    <row r="5887" spans="5:13" x14ac:dyDescent="0.25">
      <c r="E5887"/>
      <c r="M5887"/>
    </row>
    <row r="5888" spans="5:13" x14ac:dyDescent="0.25">
      <c r="E5888"/>
      <c r="M5888"/>
    </row>
    <row r="5889" spans="5:13" x14ac:dyDescent="0.25">
      <c r="E5889"/>
      <c r="M5889"/>
    </row>
    <row r="5890" spans="5:13" x14ac:dyDescent="0.25">
      <c r="E5890"/>
      <c r="M5890"/>
    </row>
    <row r="5891" spans="5:13" x14ac:dyDescent="0.25">
      <c r="E5891"/>
      <c r="M5891"/>
    </row>
    <row r="5892" spans="5:13" x14ac:dyDescent="0.25">
      <c r="E5892"/>
      <c r="M5892"/>
    </row>
    <row r="5893" spans="5:13" x14ac:dyDescent="0.25">
      <c r="E5893"/>
      <c r="M5893"/>
    </row>
    <row r="5894" spans="5:13" x14ac:dyDescent="0.25">
      <c r="E5894"/>
      <c r="M5894"/>
    </row>
    <row r="5895" spans="5:13" x14ac:dyDescent="0.25">
      <c r="E5895"/>
      <c r="M5895"/>
    </row>
    <row r="5896" spans="5:13" x14ac:dyDescent="0.25">
      <c r="E5896"/>
      <c r="M5896"/>
    </row>
    <row r="5897" spans="5:13" x14ac:dyDescent="0.25">
      <c r="E5897"/>
      <c r="M5897"/>
    </row>
    <row r="5898" spans="5:13" x14ac:dyDescent="0.25">
      <c r="E5898"/>
      <c r="M5898"/>
    </row>
    <row r="5899" spans="5:13" x14ac:dyDescent="0.25">
      <c r="E5899"/>
      <c r="M5899"/>
    </row>
    <row r="5900" spans="5:13" x14ac:dyDescent="0.25">
      <c r="E5900"/>
      <c r="M5900"/>
    </row>
    <row r="5901" spans="5:13" x14ac:dyDescent="0.25">
      <c r="E5901"/>
      <c r="M5901"/>
    </row>
    <row r="5902" spans="5:13" x14ac:dyDescent="0.25">
      <c r="E5902"/>
      <c r="M5902"/>
    </row>
    <row r="5903" spans="5:13" x14ac:dyDescent="0.25">
      <c r="E5903"/>
      <c r="M5903"/>
    </row>
    <row r="5904" spans="5:13" x14ac:dyDescent="0.25">
      <c r="E5904"/>
      <c r="M5904"/>
    </row>
    <row r="5905" spans="5:13" x14ac:dyDescent="0.25">
      <c r="E5905"/>
      <c r="M5905"/>
    </row>
    <row r="5906" spans="5:13" x14ac:dyDescent="0.25">
      <c r="E5906"/>
      <c r="M5906"/>
    </row>
    <row r="5907" spans="5:13" x14ac:dyDescent="0.25">
      <c r="E5907"/>
      <c r="M5907"/>
    </row>
    <row r="5908" spans="5:13" x14ac:dyDescent="0.25">
      <c r="E5908"/>
      <c r="M5908"/>
    </row>
    <row r="5909" spans="5:13" x14ac:dyDescent="0.25">
      <c r="E5909"/>
      <c r="M5909"/>
    </row>
    <row r="5910" spans="5:13" x14ac:dyDescent="0.25">
      <c r="E5910"/>
      <c r="M5910"/>
    </row>
    <row r="5911" spans="5:13" x14ac:dyDescent="0.25">
      <c r="E5911"/>
      <c r="M5911"/>
    </row>
    <row r="5912" spans="5:13" x14ac:dyDescent="0.25">
      <c r="E5912"/>
      <c r="M5912"/>
    </row>
    <row r="5913" spans="5:13" x14ac:dyDescent="0.25">
      <c r="E5913"/>
      <c r="M5913"/>
    </row>
    <row r="5914" spans="5:13" x14ac:dyDescent="0.25">
      <c r="E5914"/>
      <c r="M5914"/>
    </row>
    <row r="5915" spans="5:13" x14ac:dyDescent="0.25">
      <c r="E5915"/>
      <c r="M5915"/>
    </row>
    <row r="5916" spans="5:13" x14ac:dyDescent="0.25">
      <c r="E5916"/>
      <c r="M5916"/>
    </row>
    <row r="5917" spans="5:13" x14ac:dyDescent="0.25">
      <c r="E5917"/>
      <c r="M5917"/>
    </row>
    <row r="5918" spans="5:13" x14ac:dyDescent="0.25">
      <c r="E5918"/>
      <c r="M5918"/>
    </row>
    <row r="5919" spans="5:13" x14ac:dyDescent="0.25">
      <c r="E5919"/>
      <c r="M5919"/>
    </row>
    <row r="5920" spans="5:13" x14ac:dyDescent="0.25">
      <c r="E5920"/>
      <c r="M5920"/>
    </row>
    <row r="5921" spans="5:13" x14ac:dyDescent="0.25">
      <c r="E5921"/>
      <c r="M5921"/>
    </row>
    <row r="5922" spans="5:13" x14ac:dyDescent="0.25">
      <c r="E5922"/>
      <c r="M5922"/>
    </row>
    <row r="5923" spans="5:13" x14ac:dyDescent="0.25">
      <c r="E5923"/>
      <c r="M5923"/>
    </row>
    <row r="5924" spans="5:13" x14ac:dyDescent="0.25">
      <c r="E5924"/>
      <c r="M5924"/>
    </row>
    <row r="5925" spans="5:13" x14ac:dyDescent="0.25">
      <c r="E5925"/>
      <c r="M5925"/>
    </row>
    <row r="5926" spans="5:13" x14ac:dyDescent="0.25">
      <c r="E5926"/>
      <c r="M5926"/>
    </row>
    <row r="5927" spans="5:13" x14ac:dyDescent="0.25">
      <c r="E5927"/>
      <c r="M5927"/>
    </row>
    <row r="5928" spans="5:13" x14ac:dyDescent="0.25">
      <c r="E5928"/>
      <c r="M5928"/>
    </row>
    <row r="5929" spans="5:13" x14ac:dyDescent="0.25">
      <c r="E5929"/>
      <c r="M5929"/>
    </row>
    <row r="5930" spans="5:13" x14ac:dyDescent="0.25">
      <c r="E5930"/>
      <c r="M5930"/>
    </row>
    <row r="5931" spans="5:13" x14ac:dyDescent="0.25">
      <c r="E5931"/>
      <c r="M5931"/>
    </row>
    <row r="5932" spans="5:13" x14ac:dyDescent="0.25">
      <c r="E5932"/>
      <c r="M5932"/>
    </row>
    <row r="5933" spans="5:13" x14ac:dyDescent="0.25">
      <c r="E5933"/>
      <c r="M5933"/>
    </row>
    <row r="5934" spans="5:13" x14ac:dyDescent="0.25">
      <c r="E5934"/>
      <c r="M5934"/>
    </row>
    <row r="5935" spans="5:13" x14ac:dyDescent="0.25">
      <c r="E5935"/>
      <c r="M5935"/>
    </row>
    <row r="5936" spans="5:13" x14ac:dyDescent="0.25">
      <c r="E5936"/>
      <c r="M5936"/>
    </row>
    <row r="5937" spans="5:13" x14ac:dyDescent="0.25">
      <c r="E5937"/>
      <c r="M5937"/>
    </row>
    <row r="5938" spans="5:13" x14ac:dyDescent="0.25">
      <c r="E5938"/>
      <c r="M5938"/>
    </row>
    <row r="5939" spans="5:13" x14ac:dyDescent="0.25">
      <c r="E5939"/>
      <c r="M5939"/>
    </row>
    <row r="5940" spans="5:13" x14ac:dyDescent="0.25">
      <c r="E5940"/>
      <c r="M5940"/>
    </row>
    <row r="5941" spans="5:13" x14ac:dyDescent="0.25">
      <c r="E5941"/>
      <c r="M5941"/>
    </row>
    <row r="5942" spans="5:13" x14ac:dyDescent="0.25">
      <c r="E5942"/>
      <c r="M5942"/>
    </row>
    <row r="5943" spans="5:13" x14ac:dyDescent="0.25">
      <c r="E5943"/>
      <c r="M5943"/>
    </row>
    <row r="5944" spans="5:13" x14ac:dyDescent="0.25">
      <c r="E5944"/>
      <c r="M5944"/>
    </row>
    <row r="5945" spans="5:13" x14ac:dyDescent="0.25">
      <c r="E5945"/>
      <c r="M5945"/>
    </row>
    <row r="5946" spans="5:13" x14ac:dyDescent="0.25">
      <c r="E5946"/>
      <c r="M5946"/>
    </row>
    <row r="5947" spans="5:13" x14ac:dyDescent="0.25">
      <c r="E5947"/>
      <c r="M5947"/>
    </row>
    <row r="5948" spans="5:13" x14ac:dyDescent="0.25">
      <c r="E5948"/>
      <c r="M5948"/>
    </row>
    <row r="5949" spans="5:13" x14ac:dyDescent="0.25">
      <c r="E5949"/>
      <c r="M5949"/>
    </row>
    <row r="5950" spans="5:13" x14ac:dyDescent="0.25">
      <c r="E5950"/>
      <c r="M5950"/>
    </row>
    <row r="5951" spans="5:13" x14ac:dyDescent="0.25">
      <c r="E5951"/>
      <c r="M5951"/>
    </row>
    <row r="5952" spans="5:13" x14ac:dyDescent="0.25">
      <c r="E5952"/>
      <c r="M5952"/>
    </row>
    <row r="5953" spans="5:13" x14ac:dyDescent="0.25">
      <c r="E5953"/>
      <c r="M5953"/>
    </row>
    <row r="5954" spans="5:13" x14ac:dyDescent="0.25">
      <c r="E5954"/>
      <c r="M5954"/>
    </row>
    <row r="5955" spans="5:13" x14ac:dyDescent="0.25">
      <c r="E5955"/>
      <c r="M5955"/>
    </row>
    <row r="5956" spans="5:13" x14ac:dyDescent="0.25">
      <c r="E5956"/>
      <c r="M5956"/>
    </row>
    <row r="5957" spans="5:13" x14ac:dyDescent="0.25">
      <c r="E5957"/>
      <c r="M5957"/>
    </row>
    <row r="5958" spans="5:13" x14ac:dyDescent="0.25">
      <c r="E5958"/>
      <c r="M5958"/>
    </row>
    <row r="5959" spans="5:13" x14ac:dyDescent="0.25">
      <c r="E5959"/>
      <c r="M5959"/>
    </row>
    <row r="5960" spans="5:13" x14ac:dyDescent="0.25">
      <c r="E5960"/>
      <c r="M5960"/>
    </row>
    <row r="5961" spans="5:13" x14ac:dyDescent="0.25">
      <c r="E5961"/>
      <c r="M5961"/>
    </row>
    <row r="5962" spans="5:13" x14ac:dyDescent="0.25">
      <c r="E5962"/>
      <c r="M5962"/>
    </row>
    <row r="5963" spans="5:13" x14ac:dyDescent="0.25">
      <c r="E5963"/>
      <c r="M5963"/>
    </row>
    <row r="5964" spans="5:13" x14ac:dyDescent="0.25">
      <c r="E5964"/>
      <c r="M5964"/>
    </row>
    <row r="5965" spans="5:13" x14ac:dyDescent="0.25">
      <c r="E5965"/>
      <c r="M5965"/>
    </row>
    <row r="5966" spans="5:13" x14ac:dyDescent="0.25">
      <c r="E5966"/>
      <c r="M5966"/>
    </row>
    <row r="5967" spans="5:13" x14ac:dyDescent="0.25">
      <c r="E5967"/>
      <c r="M5967"/>
    </row>
    <row r="5968" spans="5:13" x14ac:dyDescent="0.25">
      <c r="E5968"/>
      <c r="M5968"/>
    </row>
    <row r="5969" spans="5:13" x14ac:dyDescent="0.25">
      <c r="E5969"/>
      <c r="M5969"/>
    </row>
    <row r="5970" spans="5:13" x14ac:dyDescent="0.25">
      <c r="E5970"/>
      <c r="M5970"/>
    </row>
    <row r="5971" spans="5:13" x14ac:dyDescent="0.25">
      <c r="E5971"/>
      <c r="M5971"/>
    </row>
    <row r="5972" spans="5:13" x14ac:dyDescent="0.25">
      <c r="E5972"/>
      <c r="M5972"/>
    </row>
    <row r="5973" spans="5:13" x14ac:dyDescent="0.25">
      <c r="E5973"/>
      <c r="M5973"/>
    </row>
    <row r="5974" spans="5:13" x14ac:dyDescent="0.25">
      <c r="E5974"/>
      <c r="M5974"/>
    </row>
    <row r="5975" spans="5:13" x14ac:dyDescent="0.25">
      <c r="E5975"/>
      <c r="M5975"/>
    </row>
    <row r="5976" spans="5:13" x14ac:dyDescent="0.25">
      <c r="E5976"/>
      <c r="M5976"/>
    </row>
    <row r="5977" spans="5:13" x14ac:dyDescent="0.25">
      <c r="E5977"/>
      <c r="M5977"/>
    </row>
    <row r="5978" spans="5:13" x14ac:dyDescent="0.25">
      <c r="E5978"/>
      <c r="M5978"/>
    </row>
    <row r="5979" spans="5:13" x14ac:dyDescent="0.25">
      <c r="E5979"/>
      <c r="M5979"/>
    </row>
    <row r="5980" spans="5:13" x14ac:dyDescent="0.25">
      <c r="E5980"/>
      <c r="M5980"/>
    </row>
    <row r="5981" spans="5:13" x14ac:dyDescent="0.25">
      <c r="E5981"/>
      <c r="M5981"/>
    </row>
    <row r="5982" spans="5:13" x14ac:dyDescent="0.25">
      <c r="E5982"/>
      <c r="M5982"/>
    </row>
    <row r="5983" spans="5:13" x14ac:dyDescent="0.25">
      <c r="E5983"/>
      <c r="M5983"/>
    </row>
    <row r="5984" spans="5:13" x14ac:dyDescent="0.25">
      <c r="E5984"/>
      <c r="M5984"/>
    </row>
    <row r="5985" spans="5:13" x14ac:dyDescent="0.25">
      <c r="E5985"/>
      <c r="M5985"/>
    </row>
    <row r="5986" spans="5:13" x14ac:dyDescent="0.25">
      <c r="E5986"/>
      <c r="M5986"/>
    </row>
    <row r="5987" spans="5:13" x14ac:dyDescent="0.25">
      <c r="E5987"/>
      <c r="M5987"/>
    </row>
    <row r="5988" spans="5:13" x14ac:dyDescent="0.25">
      <c r="E5988"/>
      <c r="M5988"/>
    </row>
    <row r="5989" spans="5:13" x14ac:dyDescent="0.25">
      <c r="E5989"/>
      <c r="M5989"/>
    </row>
    <row r="5990" spans="5:13" x14ac:dyDescent="0.25">
      <c r="E5990"/>
      <c r="M5990"/>
    </row>
    <row r="5991" spans="5:13" x14ac:dyDescent="0.25">
      <c r="E5991"/>
      <c r="M5991"/>
    </row>
    <row r="5992" spans="5:13" x14ac:dyDescent="0.25">
      <c r="E5992"/>
      <c r="M5992"/>
    </row>
    <row r="5993" spans="5:13" x14ac:dyDescent="0.25">
      <c r="E5993"/>
      <c r="M5993"/>
    </row>
    <row r="5994" spans="5:13" x14ac:dyDescent="0.25">
      <c r="E5994"/>
      <c r="M5994"/>
    </row>
    <row r="5995" spans="5:13" x14ac:dyDescent="0.25">
      <c r="E5995"/>
      <c r="M5995"/>
    </row>
    <row r="5996" spans="5:13" x14ac:dyDescent="0.25">
      <c r="E5996"/>
      <c r="M5996"/>
    </row>
    <row r="5997" spans="5:13" x14ac:dyDescent="0.25">
      <c r="E5997"/>
      <c r="M5997"/>
    </row>
    <row r="5998" spans="5:13" x14ac:dyDescent="0.25">
      <c r="E5998"/>
      <c r="M5998"/>
    </row>
    <row r="5999" spans="5:13" x14ac:dyDescent="0.25">
      <c r="E5999"/>
      <c r="M5999"/>
    </row>
    <row r="6000" spans="5:13" x14ac:dyDescent="0.25">
      <c r="E6000"/>
      <c r="M6000"/>
    </row>
    <row r="6001" spans="5:13" x14ac:dyDescent="0.25">
      <c r="E6001"/>
      <c r="M6001"/>
    </row>
    <row r="6002" spans="5:13" x14ac:dyDescent="0.25">
      <c r="E6002"/>
      <c r="M6002"/>
    </row>
    <row r="6003" spans="5:13" x14ac:dyDescent="0.25">
      <c r="E6003"/>
      <c r="M6003"/>
    </row>
    <row r="6004" spans="5:13" x14ac:dyDescent="0.25">
      <c r="E6004"/>
      <c r="M6004"/>
    </row>
    <row r="6005" spans="5:13" x14ac:dyDescent="0.25">
      <c r="E6005"/>
      <c r="M6005"/>
    </row>
    <row r="6006" spans="5:13" x14ac:dyDescent="0.25">
      <c r="E6006"/>
      <c r="M6006"/>
    </row>
    <row r="6007" spans="5:13" x14ac:dyDescent="0.25">
      <c r="E6007"/>
      <c r="M6007"/>
    </row>
    <row r="6008" spans="5:13" x14ac:dyDescent="0.25">
      <c r="E6008"/>
      <c r="M6008"/>
    </row>
    <row r="6009" spans="5:13" x14ac:dyDescent="0.25">
      <c r="E6009"/>
      <c r="M6009"/>
    </row>
    <row r="6010" spans="5:13" x14ac:dyDescent="0.25">
      <c r="E6010"/>
      <c r="M6010"/>
    </row>
    <row r="6011" spans="5:13" x14ac:dyDescent="0.25">
      <c r="E6011"/>
      <c r="M6011"/>
    </row>
    <row r="6012" spans="5:13" x14ac:dyDescent="0.25">
      <c r="E6012"/>
      <c r="M6012"/>
    </row>
    <row r="6013" spans="5:13" x14ac:dyDescent="0.25">
      <c r="E6013"/>
      <c r="M6013"/>
    </row>
    <row r="6014" spans="5:13" x14ac:dyDescent="0.25">
      <c r="E6014"/>
      <c r="M6014"/>
    </row>
    <row r="6015" spans="5:13" x14ac:dyDescent="0.25">
      <c r="E6015"/>
      <c r="M6015"/>
    </row>
    <row r="6016" spans="5:13" x14ac:dyDescent="0.25">
      <c r="E6016"/>
      <c r="M6016"/>
    </row>
    <row r="6017" spans="5:13" x14ac:dyDescent="0.25">
      <c r="E6017"/>
      <c r="M6017"/>
    </row>
    <row r="6018" spans="5:13" x14ac:dyDescent="0.25">
      <c r="E6018"/>
      <c r="M6018"/>
    </row>
    <row r="6019" spans="5:13" x14ac:dyDescent="0.25">
      <c r="E6019"/>
      <c r="M6019"/>
    </row>
    <row r="6020" spans="5:13" x14ac:dyDescent="0.25">
      <c r="E6020"/>
      <c r="M6020"/>
    </row>
    <row r="6021" spans="5:13" x14ac:dyDescent="0.25">
      <c r="E6021"/>
      <c r="M6021"/>
    </row>
    <row r="6022" spans="5:13" x14ac:dyDescent="0.25">
      <c r="E6022"/>
      <c r="M6022"/>
    </row>
    <row r="6023" spans="5:13" x14ac:dyDescent="0.25">
      <c r="E6023"/>
      <c r="M6023"/>
    </row>
    <row r="6024" spans="5:13" x14ac:dyDescent="0.25">
      <c r="E6024"/>
      <c r="M6024"/>
    </row>
    <row r="6025" spans="5:13" x14ac:dyDescent="0.25">
      <c r="E6025"/>
      <c r="M6025"/>
    </row>
    <row r="6026" spans="5:13" x14ac:dyDescent="0.25">
      <c r="E6026"/>
      <c r="M6026"/>
    </row>
    <row r="6027" spans="5:13" x14ac:dyDescent="0.25">
      <c r="E6027"/>
      <c r="M6027"/>
    </row>
    <row r="6028" spans="5:13" x14ac:dyDescent="0.25">
      <c r="E6028"/>
      <c r="M6028"/>
    </row>
    <row r="6029" spans="5:13" x14ac:dyDescent="0.25">
      <c r="E6029"/>
      <c r="M6029"/>
    </row>
    <row r="6030" spans="5:13" x14ac:dyDescent="0.25">
      <c r="E6030"/>
      <c r="M6030"/>
    </row>
    <row r="6031" spans="5:13" x14ac:dyDescent="0.25">
      <c r="E6031"/>
      <c r="M6031"/>
    </row>
    <row r="6032" spans="5:13" x14ac:dyDescent="0.25">
      <c r="E6032"/>
      <c r="M6032"/>
    </row>
    <row r="6033" spans="5:13" x14ac:dyDescent="0.25">
      <c r="E6033"/>
      <c r="M6033"/>
    </row>
    <row r="6034" spans="5:13" x14ac:dyDescent="0.25">
      <c r="E6034"/>
      <c r="M6034"/>
    </row>
    <row r="6035" spans="5:13" x14ac:dyDescent="0.25">
      <c r="E6035"/>
      <c r="M6035"/>
    </row>
    <row r="6036" spans="5:13" x14ac:dyDescent="0.25">
      <c r="E6036"/>
      <c r="M6036"/>
    </row>
    <row r="6037" spans="5:13" x14ac:dyDescent="0.25">
      <c r="E6037"/>
      <c r="M6037"/>
    </row>
    <row r="6038" spans="5:13" x14ac:dyDescent="0.25">
      <c r="E6038"/>
      <c r="M6038"/>
    </row>
    <row r="6039" spans="5:13" x14ac:dyDescent="0.25">
      <c r="E6039"/>
      <c r="M6039"/>
    </row>
    <row r="6040" spans="5:13" x14ac:dyDescent="0.25">
      <c r="E6040"/>
      <c r="M6040"/>
    </row>
    <row r="6041" spans="5:13" x14ac:dyDescent="0.25">
      <c r="E6041"/>
      <c r="M6041"/>
    </row>
    <row r="6042" spans="5:13" x14ac:dyDescent="0.25">
      <c r="E6042"/>
      <c r="M6042"/>
    </row>
    <row r="6043" spans="5:13" x14ac:dyDescent="0.25">
      <c r="E6043"/>
      <c r="M6043"/>
    </row>
    <row r="6044" spans="5:13" x14ac:dyDescent="0.25">
      <c r="E6044"/>
      <c r="M6044"/>
    </row>
    <row r="6045" spans="5:13" x14ac:dyDescent="0.25">
      <c r="E6045"/>
      <c r="M6045"/>
    </row>
    <row r="6046" spans="5:13" x14ac:dyDescent="0.25">
      <c r="E6046"/>
      <c r="M6046"/>
    </row>
    <row r="6047" spans="5:13" x14ac:dyDescent="0.25">
      <c r="E6047"/>
      <c r="M6047"/>
    </row>
    <row r="6048" spans="5:13" x14ac:dyDescent="0.25">
      <c r="E6048"/>
      <c r="M6048"/>
    </row>
    <row r="6049" spans="5:13" x14ac:dyDescent="0.25">
      <c r="E6049"/>
      <c r="M6049"/>
    </row>
    <row r="6050" spans="5:13" x14ac:dyDescent="0.25">
      <c r="E6050"/>
      <c r="M6050"/>
    </row>
    <row r="6051" spans="5:13" x14ac:dyDescent="0.25">
      <c r="E6051"/>
      <c r="M6051"/>
    </row>
    <row r="6052" spans="5:13" x14ac:dyDescent="0.25">
      <c r="E6052"/>
      <c r="M6052"/>
    </row>
    <row r="6053" spans="5:13" x14ac:dyDescent="0.25">
      <c r="E6053"/>
      <c r="M6053"/>
    </row>
    <row r="6054" spans="5:13" x14ac:dyDescent="0.25">
      <c r="E6054"/>
      <c r="M6054"/>
    </row>
    <row r="6055" spans="5:13" x14ac:dyDescent="0.25">
      <c r="E6055"/>
      <c r="M6055"/>
    </row>
    <row r="6056" spans="5:13" x14ac:dyDescent="0.25">
      <c r="E6056"/>
      <c r="M6056"/>
    </row>
    <row r="6057" spans="5:13" x14ac:dyDescent="0.25">
      <c r="E6057"/>
      <c r="M6057"/>
    </row>
    <row r="6058" spans="5:13" x14ac:dyDescent="0.25">
      <c r="E6058"/>
      <c r="M6058"/>
    </row>
    <row r="6059" spans="5:13" x14ac:dyDescent="0.25">
      <c r="E6059"/>
      <c r="M6059"/>
    </row>
    <row r="6060" spans="5:13" x14ac:dyDescent="0.25">
      <c r="E6060"/>
      <c r="M6060"/>
    </row>
    <row r="6061" spans="5:13" x14ac:dyDescent="0.25">
      <c r="E6061"/>
      <c r="M6061"/>
    </row>
    <row r="6062" spans="5:13" x14ac:dyDescent="0.25">
      <c r="E6062"/>
      <c r="M6062"/>
    </row>
    <row r="6063" spans="5:13" x14ac:dyDescent="0.25">
      <c r="E6063"/>
      <c r="M6063"/>
    </row>
    <row r="6064" spans="5:13" x14ac:dyDescent="0.25">
      <c r="E6064"/>
      <c r="M6064"/>
    </row>
    <row r="6065" spans="5:13" x14ac:dyDescent="0.25">
      <c r="E6065"/>
      <c r="M6065"/>
    </row>
    <row r="6066" spans="5:13" x14ac:dyDescent="0.25">
      <c r="E6066"/>
      <c r="M6066"/>
    </row>
    <row r="6067" spans="5:13" x14ac:dyDescent="0.25">
      <c r="E6067"/>
      <c r="M6067"/>
    </row>
    <row r="6068" spans="5:13" x14ac:dyDescent="0.25">
      <c r="E6068"/>
      <c r="M6068"/>
    </row>
    <row r="6069" spans="5:13" x14ac:dyDescent="0.25">
      <c r="E6069"/>
      <c r="M6069"/>
    </row>
    <row r="6070" spans="5:13" x14ac:dyDescent="0.25">
      <c r="E6070"/>
      <c r="M6070"/>
    </row>
    <row r="6071" spans="5:13" x14ac:dyDescent="0.25">
      <c r="E6071"/>
      <c r="M6071"/>
    </row>
    <row r="6072" spans="5:13" x14ac:dyDescent="0.25">
      <c r="E6072"/>
      <c r="M6072"/>
    </row>
    <row r="6073" spans="5:13" x14ac:dyDescent="0.25">
      <c r="E6073"/>
      <c r="M6073"/>
    </row>
    <row r="6074" spans="5:13" x14ac:dyDescent="0.25">
      <c r="E6074"/>
      <c r="M6074"/>
    </row>
    <row r="6075" spans="5:13" x14ac:dyDescent="0.25">
      <c r="E6075"/>
      <c r="M6075"/>
    </row>
    <row r="6076" spans="5:13" x14ac:dyDescent="0.25">
      <c r="E6076"/>
      <c r="M6076"/>
    </row>
    <row r="6077" spans="5:13" x14ac:dyDescent="0.25">
      <c r="E6077"/>
      <c r="M6077"/>
    </row>
    <row r="6078" spans="5:13" x14ac:dyDescent="0.25">
      <c r="E6078"/>
      <c r="M6078"/>
    </row>
    <row r="6079" spans="5:13" x14ac:dyDescent="0.25">
      <c r="E6079"/>
      <c r="M6079"/>
    </row>
    <row r="6080" spans="5:13" x14ac:dyDescent="0.25">
      <c r="E6080"/>
      <c r="M6080"/>
    </row>
    <row r="6081" spans="5:13" x14ac:dyDescent="0.25">
      <c r="E6081"/>
      <c r="M6081"/>
    </row>
    <row r="6082" spans="5:13" x14ac:dyDescent="0.25">
      <c r="E6082"/>
      <c r="M6082"/>
    </row>
    <row r="6083" spans="5:13" x14ac:dyDescent="0.25">
      <c r="E6083"/>
      <c r="M6083"/>
    </row>
    <row r="6084" spans="5:13" x14ac:dyDescent="0.25">
      <c r="E6084"/>
      <c r="M6084"/>
    </row>
    <row r="6085" spans="5:13" x14ac:dyDescent="0.25">
      <c r="E6085"/>
      <c r="M6085"/>
    </row>
    <row r="6086" spans="5:13" x14ac:dyDescent="0.25">
      <c r="E6086"/>
      <c r="M6086"/>
    </row>
    <row r="6087" spans="5:13" x14ac:dyDescent="0.25">
      <c r="E6087"/>
      <c r="M6087"/>
    </row>
    <row r="6088" spans="5:13" x14ac:dyDescent="0.25">
      <c r="E6088"/>
      <c r="M6088"/>
    </row>
    <row r="6089" spans="5:13" x14ac:dyDescent="0.25">
      <c r="E6089"/>
      <c r="M6089"/>
    </row>
    <row r="6090" spans="5:13" x14ac:dyDescent="0.25">
      <c r="E6090"/>
      <c r="M6090"/>
    </row>
    <row r="6091" spans="5:13" x14ac:dyDescent="0.25">
      <c r="E6091"/>
      <c r="M6091"/>
    </row>
    <row r="6092" spans="5:13" x14ac:dyDescent="0.25">
      <c r="E6092"/>
      <c r="M6092"/>
    </row>
    <row r="6093" spans="5:13" x14ac:dyDescent="0.25">
      <c r="E6093"/>
      <c r="M6093"/>
    </row>
    <row r="6094" spans="5:13" x14ac:dyDescent="0.25">
      <c r="E6094"/>
      <c r="M6094"/>
    </row>
    <row r="6095" spans="5:13" x14ac:dyDescent="0.25">
      <c r="E6095"/>
      <c r="M6095"/>
    </row>
    <row r="6096" spans="5:13" x14ac:dyDescent="0.25">
      <c r="E6096"/>
      <c r="M6096"/>
    </row>
    <row r="6097" spans="5:13" x14ac:dyDescent="0.25">
      <c r="E6097"/>
      <c r="M6097"/>
    </row>
    <row r="6098" spans="5:13" x14ac:dyDescent="0.25">
      <c r="E6098"/>
      <c r="M6098"/>
    </row>
    <row r="6099" spans="5:13" x14ac:dyDescent="0.25">
      <c r="E6099"/>
      <c r="M6099"/>
    </row>
    <row r="6100" spans="5:13" x14ac:dyDescent="0.25">
      <c r="E6100"/>
      <c r="M6100"/>
    </row>
    <row r="6101" spans="5:13" x14ac:dyDescent="0.25">
      <c r="E6101"/>
      <c r="M6101"/>
    </row>
    <row r="6102" spans="5:13" x14ac:dyDescent="0.25">
      <c r="E6102"/>
      <c r="M6102"/>
    </row>
    <row r="6103" spans="5:13" x14ac:dyDescent="0.25">
      <c r="E6103"/>
      <c r="M6103"/>
    </row>
    <row r="6104" spans="5:13" x14ac:dyDescent="0.25">
      <c r="E6104"/>
      <c r="M6104"/>
    </row>
    <row r="6105" spans="5:13" x14ac:dyDescent="0.25">
      <c r="E6105"/>
      <c r="M6105"/>
    </row>
    <row r="6106" spans="5:13" x14ac:dyDescent="0.25">
      <c r="E6106"/>
      <c r="M6106"/>
    </row>
    <row r="6107" spans="5:13" x14ac:dyDescent="0.25">
      <c r="E6107"/>
      <c r="M6107"/>
    </row>
    <row r="6108" spans="5:13" x14ac:dyDescent="0.25">
      <c r="E6108"/>
      <c r="M6108"/>
    </row>
    <row r="6109" spans="5:13" x14ac:dyDescent="0.25">
      <c r="E6109"/>
      <c r="M6109"/>
    </row>
    <row r="6110" spans="5:13" x14ac:dyDescent="0.25">
      <c r="E6110"/>
      <c r="M6110"/>
    </row>
    <row r="6111" spans="5:13" x14ac:dyDescent="0.25">
      <c r="E6111"/>
      <c r="M6111"/>
    </row>
    <row r="6112" spans="5:13" x14ac:dyDescent="0.25">
      <c r="E6112"/>
      <c r="M6112"/>
    </row>
    <row r="6113" spans="5:13" x14ac:dyDescent="0.25">
      <c r="E6113"/>
      <c r="M6113"/>
    </row>
    <row r="6114" spans="5:13" x14ac:dyDescent="0.25">
      <c r="E6114"/>
      <c r="M6114"/>
    </row>
    <row r="6115" spans="5:13" x14ac:dyDescent="0.25">
      <c r="E6115"/>
      <c r="M6115"/>
    </row>
    <row r="6116" spans="5:13" x14ac:dyDescent="0.25">
      <c r="E6116"/>
      <c r="M6116"/>
    </row>
    <row r="6117" spans="5:13" x14ac:dyDescent="0.25">
      <c r="E6117"/>
      <c r="M6117"/>
    </row>
    <row r="6118" spans="5:13" x14ac:dyDescent="0.25">
      <c r="E6118"/>
      <c r="M6118"/>
    </row>
    <row r="6119" spans="5:13" x14ac:dyDescent="0.25">
      <c r="E6119"/>
      <c r="M6119"/>
    </row>
    <row r="6120" spans="5:13" x14ac:dyDescent="0.25">
      <c r="E6120"/>
      <c r="M6120"/>
    </row>
    <row r="6121" spans="5:13" x14ac:dyDescent="0.25">
      <c r="E6121"/>
      <c r="M6121"/>
    </row>
    <row r="6122" spans="5:13" x14ac:dyDescent="0.25">
      <c r="E6122"/>
      <c r="M6122"/>
    </row>
    <row r="6123" spans="5:13" x14ac:dyDescent="0.25">
      <c r="E6123"/>
      <c r="M6123"/>
    </row>
    <row r="6124" spans="5:13" x14ac:dyDescent="0.25">
      <c r="E6124"/>
      <c r="M6124"/>
    </row>
    <row r="6125" spans="5:13" x14ac:dyDescent="0.25">
      <c r="E6125"/>
      <c r="M6125"/>
    </row>
    <row r="6126" spans="5:13" x14ac:dyDescent="0.25">
      <c r="E6126"/>
      <c r="M6126"/>
    </row>
    <row r="6127" spans="5:13" x14ac:dyDescent="0.25">
      <c r="E6127"/>
      <c r="M6127"/>
    </row>
    <row r="6128" spans="5:13" x14ac:dyDescent="0.25">
      <c r="E6128"/>
      <c r="M6128"/>
    </row>
    <row r="6129" spans="5:13" x14ac:dyDescent="0.25">
      <c r="E6129"/>
      <c r="M6129"/>
    </row>
    <row r="6130" spans="5:13" x14ac:dyDescent="0.25">
      <c r="E6130"/>
      <c r="M6130"/>
    </row>
    <row r="6131" spans="5:13" x14ac:dyDescent="0.25">
      <c r="E6131"/>
      <c r="M6131"/>
    </row>
    <row r="6132" spans="5:13" x14ac:dyDescent="0.25">
      <c r="E6132"/>
      <c r="M6132"/>
    </row>
    <row r="6133" spans="5:13" x14ac:dyDescent="0.25">
      <c r="E6133"/>
      <c r="M6133"/>
    </row>
    <row r="6134" spans="5:13" x14ac:dyDescent="0.25">
      <c r="E6134"/>
      <c r="M6134"/>
    </row>
    <row r="6135" spans="5:13" x14ac:dyDescent="0.25">
      <c r="E6135"/>
      <c r="M6135"/>
    </row>
    <row r="6136" spans="5:13" x14ac:dyDescent="0.25">
      <c r="E6136"/>
      <c r="M6136"/>
    </row>
    <row r="6137" spans="5:13" x14ac:dyDescent="0.25">
      <c r="E6137"/>
      <c r="M6137"/>
    </row>
    <row r="6138" spans="5:13" x14ac:dyDescent="0.25">
      <c r="E6138"/>
      <c r="M6138"/>
    </row>
    <row r="6139" spans="5:13" x14ac:dyDescent="0.25">
      <c r="E6139"/>
      <c r="M6139"/>
    </row>
    <row r="6140" spans="5:13" x14ac:dyDescent="0.25">
      <c r="E6140"/>
      <c r="M6140"/>
    </row>
    <row r="6141" spans="5:13" x14ac:dyDescent="0.25">
      <c r="E6141"/>
      <c r="M6141"/>
    </row>
    <row r="6142" spans="5:13" x14ac:dyDescent="0.25">
      <c r="E6142"/>
      <c r="M6142"/>
    </row>
    <row r="6143" spans="5:13" x14ac:dyDescent="0.25">
      <c r="E6143"/>
      <c r="M6143"/>
    </row>
    <row r="6144" spans="5:13" x14ac:dyDescent="0.25">
      <c r="E6144"/>
      <c r="M6144"/>
    </row>
    <row r="6145" spans="5:13" x14ac:dyDescent="0.25">
      <c r="E6145"/>
      <c r="M6145"/>
    </row>
    <row r="6146" spans="5:13" x14ac:dyDescent="0.25">
      <c r="E6146"/>
      <c r="M6146"/>
    </row>
    <row r="6147" spans="5:13" x14ac:dyDescent="0.25">
      <c r="E6147"/>
      <c r="M6147"/>
    </row>
    <row r="6148" spans="5:13" x14ac:dyDescent="0.25">
      <c r="E6148"/>
      <c r="M6148"/>
    </row>
    <row r="6149" spans="5:13" x14ac:dyDescent="0.25">
      <c r="E6149"/>
      <c r="M6149"/>
    </row>
    <row r="6150" spans="5:13" x14ac:dyDescent="0.25">
      <c r="E6150"/>
      <c r="M6150"/>
    </row>
    <row r="6151" spans="5:13" x14ac:dyDescent="0.25">
      <c r="E6151"/>
      <c r="M6151"/>
    </row>
    <row r="6152" spans="5:13" x14ac:dyDescent="0.25">
      <c r="E6152"/>
      <c r="M6152"/>
    </row>
    <row r="6153" spans="5:13" x14ac:dyDescent="0.25">
      <c r="E6153"/>
      <c r="M6153"/>
    </row>
    <row r="6154" spans="5:13" x14ac:dyDescent="0.25">
      <c r="E6154"/>
      <c r="M6154"/>
    </row>
    <row r="6155" spans="5:13" x14ac:dyDescent="0.25">
      <c r="E6155"/>
      <c r="M6155"/>
    </row>
    <row r="6156" spans="5:13" x14ac:dyDescent="0.25">
      <c r="E6156"/>
      <c r="M6156"/>
    </row>
    <row r="6157" spans="5:13" x14ac:dyDescent="0.25">
      <c r="E6157"/>
      <c r="M6157"/>
    </row>
    <row r="6158" spans="5:13" x14ac:dyDescent="0.25">
      <c r="E6158"/>
      <c r="M6158"/>
    </row>
    <row r="6159" spans="5:13" x14ac:dyDescent="0.25">
      <c r="E6159"/>
      <c r="M6159"/>
    </row>
    <row r="6160" spans="5:13" x14ac:dyDescent="0.25">
      <c r="E6160"/>
      <c r="M6160"/>
    </row>
    <row r="6161" spans="5:13" x14ac:dyDescent="0.25">
      <c r="E6161"/>
      <c r="M6161"/>
    </row>
    <row r="6162" spans="5:13" x14ac:dyDescent="0.25">
      <c r="E6162"/>
      <c r="M6162"/>
    </row>
    <row r="6163" spans="5:13" x14ac:dyDescent="0.25">
      <c r="E6163"/>
      <c r="M6163"/>
    </row>
    <row r="6164" spans="5:13" x14ac:dyDescent="0.25">
      <c r="E6164"/>
      <c r="M6164"/>
    </row>
    <row r="6165" spans="5:13" x14ac:dyDescent="0.25">
      <c r="E6165"/>
      <c r="M6165"/>
    </row>
    <row r="6166" spans="5:13" x14ac:dyDescent="0.25">
      <c r="E6166"/>
      <c r="M6166"/>
    </row>
    <row r="6167" spans="5:13" x14ac:dyDescent="0.25">
      <c r="E6167"/>
      <c r="M6167"/>
    </row>
    <row r="6168" spans="5:13" x14ac:dyDescent="0.25">
      <c r="E6168"/>
      <c r="M6168"/>
    </row>
    <row r="6169" spans="5:13" x14ac:dyDescent="0.25">
      <c r="E6169"/>
      <c r="M6169"/>
    </row>
    <row r="6170" spans="5:13" x14ac:dyDescent="0.25">
      <c r="E6170"/>
      <c r="M6170"/>
    </row>
    <row r="6171" spans="5:13" x14ac:dyDescent="0.25">
      <c r="E6171"/>
      <c r="M6171"/>
    </row>
    <row r="6172" spans="5:13" x14ac:dyDescent="0.25">
      <c r="E6172"/>
      <c r="M6172"/>
    </row>
    <row r="6173" spans="5:13" x14ac:dyDescent="0.25">
      <c r="E6173"/>
      <c r="M6173"/>
    </row>
    <row r="6174" spans="5:13" x14ac:dyDescent="0.25">
      <c r="E6174"/>
      <c r="M6174"/>
    </row>
    <row r="6175" spans="5:13" x14ac:dyDescent="0.25">
      <c r="E6175"/>
      <c r="M6175"/>
    </row>
    <row r="6176" spans="5:13" x14ac:dyDescent="0.25">
      <c r="E6176"/>
      <c r="M6176"/>
    </row>
    <row r="6177" spans="5:13" x14ac:dyDescent="0.25">
      <c r="E6177"/>
      <c r="M6177"/>
    </row>
    <row r="6178" spans="5:13" x14ac:dyDescent="0.25">
      <c r="E6178"/>
      <c r="M6178"/>
    </row>
    <row r="6179" spans="5:13" x14ac:dyDescent="0.25">
      <c r="E6179"/>
      <c r="M6179"/>
    </row>
    <row r="6180" spans="5:13" x14ac:dyDescent="0.25">
      <c r="E6180"/>
      <c r="M6180"/>
    </row>
    <row r="6181" spans="5:13" x14ac:dyDescent="0.25">
      <c r="E6181"/>
      <c r="M6181"/>
    </row>
    <row r="6182" spans="5:13" x14ac:dyDescent="0.25">
      <c r="E6182"/>
      <c r="M6182"/>
    </row>
    <row r="6183" spans="5:13" x14ac:dyDescent="0.25">
      <c r="E6183"/>
      <c r="M6183"/>
    </row>
    <row r="6184" spans="5:13" x14ac:dyDescent="0.25">
      <c r="E6184"/>
      <c r="M6184"/>
    </row>
    <row r="6185" spans="5:13" x14ac:dyDescent="0.25">
      <c r="E6185"/>
      <c r="M6185"/>
    </row>
    <row r="6186" spans="5:13" x14ac:dyDescent="0.25">
      <c r="E6186"/>
      <c r="M6186"/>
    </row>
    <row r="6187" spans="5:13" x14ac:dyDescent="0.25">
      <c r="E6187"/>
      <c r="M6187"/>
    </row>
    <row r="6188" spans="5:13" x14ac:dyDescent="0.25">
      <c r="E6188"/>
      <c r="M6188"/>
    </row>
    <row r="6189" spans="5:13" x14ac:dyDescent="0.25">
      <c r="E6189"/>
      <c r="M6189"/>
    </row>
    <row r="6190" spans="5:13" x14ac:dyDescent="0.25">
      <c r="E6190"/>
      <c r="M6190"/>
    </row>
    <row r="6191" spans="5:13" x14ac:dyDescent="0.25">
      <c r="E6191"/>
      <c r="M6191"/>
    </row>
    <row r="6192" spans="5:13" x14ac:dyDescent="0.25">
      <c r="E6192"/>
      <c r="M6192"/>
    </row>
    <row r="6193" spans="5:13" x14ac:dyDescent="0.25">
      <c r="E6193"/>
      <c r="M6193"/>
    </row>
    <row r="6194" spans="5:13" x14ac:dyDescent="0.25">
      <c r="E6194"/>
      <c r="M6194"/>
    </row>
    <row r="6195" spans="5:13" x14ac:dyDescent="0.25">
      <c r="E6195"/>
      <c r="M6195"/>
    </row>
    <row r="6196" spans="5:13" x14ac:dyDescent="0.25">
      <c r="E6196"/>
      <c r="M6196"/>
    </row>
    <row r="6197" spans="5:13" x14ac:dyDescent="0.25">
      <c r="E6197"/>
      <c r="M6197"/>
    </row>
    <row r="6198" spans="5:13" x14ac:dyDescent="0.25">
      <c r="E6198"/>
      <c r="M6198"/>
    </row>
    <row r="6199" spans="5:13" x14ac:dyDescent="0.25">
      <c r="E6199"/>
      <c r="M6199"/>
    </row>
    <row r="6200" spans="5:13" x14ac:dyDescent="0.25">
      <c r="E6200"/>
      <c r="M6200"/>
    </row>
    <row r="6201" spans="5:13" x14ac:dyDescent="0.25">
      <c r="E6201"/>
      <c r="M6201"/>
    </row>
    <row r="6202" spans="5:13" x14ac:dyDescent="0.25">
      <c r="E6202"/>
      <c r="M6202"/>
    </row>
    <row r="6203" spans="5:13" x14ac:dyDescent="0.25">
      <c r="E6203"/>
      <c r="M6203"/>
    </row>
    <row r="6204" spans="5:13" x14ac:dyDescent="0.25">
      <c r="E6204"/>
      <c r="M6204"/>
    </row>
    <row r="6205" spans="5:13" x14ac:dyDescent="0.25">
      <c r="E6205"/>
      <c r="M6205"/>
    </row>
    <row r="6206" spans="5:13" x14ac:dyDescent="0.25">
      <c r="E6206"/>
      <c r="M6206"/>
    </row>
    <row r="6207" spans="5:13" x14ac:dyDescent="0.25">
      <c r="E6207"/>
      <c r="M6207"/>
    </row>
    <row r="6208" spans="5:13" x14ac:dyDescent="0.25">
      <c r="E6208"/>
      <c r="M6208"/>
    </row>
    <row r="6209" spans="5:13" x14ac:dyDescent="0.25">
      <c r="E6209"/>
      <c r="M6209"/>
    </row>
    <row r="6210" spans="5:13" x14ac:dyDescent="0.25">
      <c r="E6210"/>
      <c r="M6210"/>
    </row>
    <row r="6211" spans="5:13" x14ac:dyDescent="0.25">
      <c r="E6211"/>
      <c r="M6211"/>
    </row>
    <row r="6212" spans="5:13" x14ac:dyDescent="0.25">
      <c r="E6212"/>
      <c r="M6212"/>
    </row>
    <row r="6213" spans="5:13" x14ac:dyDescent="0.25">
      <c r="E6213"/>
      <c r="M6213"/>
    </row>
    <row r="6214" spans="5:13" x14ac:dyDescent="0.25">
      <c r="E6214"/>
      <c r="M6214"/>
    </row>
    <row r="6215" spans="5:13" x14ac:dyDescent="0.25">
      <c r="E6215"/>
      <c r="M6215"/>
    </row>
    <row r="6216" spans="5:13" x14ac:dyDescent="0.25">
      <c r="E6216"/>
      <c r="M6216"/>
    </row>
    <row r="6217" spans="5:13" x14ac:dyDescent="0.25">
      <c r="E6217"/>
      <c r="M6217"/>
    </row>
    <row r="6218" spans="5:13" x14ac:dyDescent="0.25">
      <c r="E6218"/>
      <c r="M6218"/>
    </row>
    <row r="6219" spans="5:13" x14ac:dyDescent="0.25">
      <c r="E6219"/>
      <c r="M6219"/>
    </row>
    <row r="6220" spans="5:13" x14ac:dyDescent="0.25">
      <c r="E6220"/>
      <c r="M6220"/>
    </row>
    <row r="6221" spans="5:13" x14ac:dyDescent="0.25">
      <c r="E6221"/>
      <c r="M6221"/>
    </row>
    <row r="6222" spans="5:13" x14ac:dyDescent="0.25">
      <c r="E6222"/>
      <c r="M6222"/>
    </row>
    <row r="6223" spans="5:13" x14ac:dyDescent="0.25">
      <c r="E6223"/>
      <c r="M6223"/>
    </row>
    <row r="6224" spans="5:13" x14ac:dyDescent="0.25">
      <c r="E6224"/>
      <c r="M6224"/>
    </row>
    <row r="6225" spans="5:13" x14ac:dyDescent="0.25">
      <c r="E6225"/>
      <c r="M6225"/>
    </row>
    <row r="6226" spans="5:13" x14ac:dyDescent="0.25">
      <c r="E6226"/>
      <c r="M6226"/>
    </row>
    <row r="6227" spans="5:13" x14ac:dyDescent="0.25">
      <c r="E6227"/>
      <c r="M6227"/>
    </row>
    <row r="6228" spans="5:13" x14ac:dyDescent="0.25">
      <c r="E6228"/>
      <c r="M6228"/>
    </row>
    <row r="6229" spans="5:13" x14ac:dyDescent="0.25">
      <c r="E6229"/>
      <c r="M6229"/>
    </row>
    <row r="6230" spans="5:13" x14ac:dyDescent="0.25">
      <c r="E6230"/>
      <c r="M6230"/>
    </row>
    <row r="6231" spans="5:13" x14ac:dyDescent="0.25">
      <c r="E6231"/>
      <c r="M6231"/>
    </row>
    <row r="6232" spans="5:13" x14ac:dyDescent="0.25">
      <c r="E6232"/>
      <c r="M6232"/>
    </row>
    <row r="6233" spans="5:13" x14ac:dyDescent="0.25">
      <c r="E6233"/>
      <c r="M6233"/>
    </row>
    <row r="6234" spans="5:13" x14ac:dyDescent="0.25">
      <c r="E6234"/>
      <c r="M6234"/>
    </row>
    <row r="6235" spans="5:13" x14ac:dyDescent="0.25">
      <c r="E6235"/>
      <c r="M6235"/>
    </row>
    <row r="6236" spans="5:13" x14ac:dyDescent="0.25">
      <c r="E6236"/>
      <c r="M6236"/>
    </row>
    <row r="6237" spans="5:13" x14ac:dyDescent="0.25">
      <c r="E6237"/>
      <c r="M6237"/>
    </row>
    <row r="6238" spans="5:13" x14ac:dyDescent="0.25">
      <c r="E6238"/>
      <c r="M6238"/>
    </row>
    <row r="6239" spans="5:13" x14ac:dyDescent="0.25">
      <c r="E6239"/>
      <c r="M6239"/>
    </row>
    <row r="6240" spans="5:13" x14ac:dyDescent="0.25">
      <c r="E6240"/>
      <c r="M6240"/>
    </row>
    <row r="6241" spans="5:13" x14ac:dyDescent="0.25">
      <c r="E6241"/>
      <c r="M6241"/>
    </row>
    <row r="6242" spans="5:13" x14ac:dyDescent="0.25">
      <c r="E6242"/>
      <c r="M6242"/>
    </row>
    <row r="6243" spans="5:13" x14ac:dyDescent="0.25">
      <c r="E6243"/>
      <c r="M6243"/>
    </row>
    <row r="6244" spans="5:13" x14ac:dyDescent="0.25">
      <c r="E6244"/>
      <c r="M6244"/>
    </row>
    <row r="6245" spans="5:13" x14ac:dyDescent="0.25">
      <c r="E6245"/>
      <c r="M6245"/>
    </row>
    <row r="6246" spans="5:13" x14ac:dyDescent="0.25">
      <c r="E6246"/>
      <c r="M6246"/>
    </row>
    <row r="6247" spans="5:13" x14ac:dyDescent="0.25">
      <c r="E6247"/>
      <c r="M6247"/>
    </row>
    <row r="6248" spans="5:13" x14ac:dyDescent="0.25">
      <c r="E6248"/>
      <c r="M6248"/>
    </row>
    <row r="6249" spans="5:13" x14ac:dyDescent="0.25">
      <c r="E6249"/>
      <c r="M6249"/>
    </row>
    <row r="6250" spans="5:13" x14ac:dyDescent="0.25">
      <c r="E6250"/>
      <c r="M6250"/>
    </row>
    <row r="6251" spans="5:13" x14ac:dyDescent="0.25">
      <c r="E6251"/>
      <c r="M6251"/>
    </row>
    <row r="6252" spans="5:13" x14ac:dyDescent="0.25">
      <c r="E6252"/>
      <c r="M6252"/>
    </row>
    <row r="6253" spans="5:13" x14ac:dyDescent="0.25">
      <c r="E6253"/>
      <c r="M6253"/>
    </row>
    <row r="6254" spans="5:13" x14ac:dyDescent="0.25">
      <c r="E6254"/>
      <c r="M6254"/>
    </row>
    <row r="6255" spans="5:13" x14ac:dyDescent="0.25">
      <c r="E6255"/>
      <c r="M6255"/>
    </row>
    <row r="6256" spans="5:13" x14ac:dyDescent="0.25">
      <c r="E6256"/>
      <c r="M6256"/>
    </row>
    <row r="6257" spans="5:13" x14ac:dyDescent="0.25">
      <c r="E6257"/>
      <c r="M6257"/>
    </row>
    <row r="6258" spans="5:13" x14ac:dyDescent="0.25">
      <c r="E6258"/>
      <c r="M6258"/>
    </row>
    <row r="6259" spans="5:13" x14ac:dyDescent="0.25">
      <c r="E6259"/>
      <c r="M6259"/>
    </row>
    <row r="6260" spans="5:13" x14ac:dyDescent="0.25">
      <c r="E6260"/>
      <c r="M6260"/>
    </row>
    <row r="6261" spans="5:13" x14ac:dyDescent="0.25">
      <c r="E6261"/>
      <c r="M6261"/>
    </row>
    <row r="6262" spans="5:13" x14ac:dyDescent="0.25">
      <c r="E6262"/>
      <c r="M6262"/>
    </row>
    <row r="6263" spans="5:13" x14ac:dyDescent="0.25">
      <c r="E6263"/>
      <c r="M6263"/>
    </row>
    <row r="6264" spans="5:13" x14ac:dyDescent="0.25">
      <c r="E6264"/>
      <c r="M6264"/>
    </row>
    <row r="6265" spans="5:13" x14ac:dyDescent="0.25">
      <c r="E6265"/>
      <c r="M6265"/>
    </row>
    <row r="6266" spans="5:13" x14ac:dyDescent="0.25">
      <c r="E6266"/>
      <c r="M6266"/>
    </row>
    <row r="6267" spans="5:13" x14ac:dyDescent="0.25">
      <c r="E6267"/>
      <c r="M6267"/>
    </row>
    <row r="6268" spans="5:13" x14ac:dyDescent="0.25">
      <c r="E6268"/>
      <c r="M6268"/>
    </row>
    <row r="6269" spans="5:13" x14ac:dyDescent="0.25">
      <c r="E6269"/>
      <c r="M6269"/>
    </row>
    <row r="6270" spans="5:13" x14ac:dyDescent="0.25">
      <c r="E6270"/>
      <c r="M6270"/>
    </row>
    <row r="6271" spans="5:13" x14ac:dyDescent="0.25">
      <c r="E6271"/>
      <c r="M6271"/>
    </row>
    <row r="6272" spans="5:13" x14ac:dyDescent="0.25">
      <c r="E6272"/>
      <c r="M6272"/>
    </row>
    <row r="6273" spans="5:13" x14ac:dyDescent="0.25">
      <c r="E6273"/>
      <c r="M6273"/>
    </row>
    <row r="6274" spans="5:13" x14ac:dyDescent="0.25">
      <c r="E6274"/>
      <c r="M6274"/>
    </row>
    <row r="6275" spans="5:13" x14ac:dyDescent="0.25">
      <c r="E6275"/>
      <c r="M6275"/>
    </row>
    <row r="6276" spans="5:13" x14ac:dyDescent="0.25">
      <c r="E6276"/>
      <c r="M6276"/>
    </row>
    <row r="6277" spans="5:13" x14ac:dyDescent="0.25">
      <c r="E6277"/>
      <c r="M6277"/>
    </row>
    <row r="6278" spans="5:13" x14ac:dyDescent="0.25">
      <c r="E6278"/>
      <c r="M6278"/>
    </row>
    <row r="6279" spans="5:13" x14ac:dyDescent="0.25">
      <c r="E6279"/>
      <c r="M6279"/>
    </row>
    <row r="6280" spans="5:13" x14ac:dyDescent="0.25">
      <c r="E6280"/>
      <c r="M6280"/>
    </row>
    <row r="6281" spans="5:13" x14ac:dyDescent="0.25">
      <c r="E6281"/>
      <c r="M6281"/>
    </row>
    <row r="6282" spans="5:13" x14ac:dyDescent="0.25">
      <c r="E6282"/>
      <c r="M6282"/>
    </row>
    <row r="6283" spans="5:13" x14ac:dyDescent="0.25">
      <c r="E6283"/>
      <c r="M6283"/>
    </row>
    <row r="6284" spans="5:13" x14ac:dyDescent="0.25">
      <c r="E6284"/>
      <c r="M6284"/>
    </row>
    <row r="6285" spans="5:13" x14ac:dyDescent="0.25">
      <c r="E6285"/>
      <c r="M6285"/>
    </row>
    <row r="6286" spans="5:13" x14ac:dyDescent="0.25">
      <c r="E6286"/>
      <c r="M6286"/>
    </row>
    <row r="6287" spans="5:13" x14ac:dyDescent="0.25">
      <c r="E6287"/>
      <c r="M6287"/>
    </row>
    <row r="6288" spans="5:13" x14ac:dyDescent="0.25">
      <c r="E6288"/>
      <c r="M6288"/>
    </row>
    <row r="6289" spans="5:13" x14ac:dyDescent="0.25">
      <c r="E6289"/>
      <c r="M6289"/>
    </row>
    <row r="6290" spans="5:13" x14ac:dyDescent="0.25">
      <c r="E6290"/>
      <c r="M6290"/>
    </row>
    <row r="6291" spans="5:13" x14ac:dyDescent="0.25">
      <c r="E6291"/>
      <c r="M6291"/>
    </row>
    <row r="6292" spans="5:13" x14ac:dyDescent="0.25">
      <c r="E6292"/>
      <c r="M6292"/>
    </row>
    <row r="6293" spans="5:13" x14ac:dyDescent="0.25">
      <c r="E6293"/>
      <c r="M6293"/>
    </row>
    <row r="6294" spans="5:13" x14ac:dyDescent="0.25">
      <c r="E6294"/>
      <c r="M6294"/>
    </row>
    <row r="6295" spans="5:13" x14ac:dyDescent="0.25">
      <c r="E6295"/>
      <c r="M6295"/>
    </row>
    <row r="6296" spans="5:13" x14ac:dyDescent="0.25">
      <c r="E6296"/>
      <c r="M6296"/>
    </row>
    <row r="6297" spans="5:13" x14ac:dyDescent="0.25">
      <c r="E6297"/>
      <c r="M6297"/>
    </row>
    <row r="6298" spans="5:13" x14ac:dyDescent="0.25">
      <c r="E6298"/>
      <c r="M6298"/>
    </row>
    <row r="6299" spans="5:13" x14ac:dyDescent="0.25">
      <c r="E6299"/>
      <c r="M6299"/>
    </row>
    <row r="6300" spans="5:13" x14ac:dyDescent="0.25">
      <c r="E6300"/>
      <c r="M6300"/>
    </row>
    <row r="6301" spans="5:13" x14ac:dyDescent="0.25">
      <c r="E6301"/>
      <c r="M6301"/>
    </row>
    <row r="6302" spans="5:13" x14ac:dyDescent="0.25">
      <c r="E6302"/>
      <c r="M6302"/>
    </row>
    <row r="6303" spans="5:13" x14ac:dyDescent="0.25">
      <c r="E6303"/>
      <c r="M6303"/>
    </row>
    <row r="6304" spans="5:13" x14ac:dyDescent="0.25">
      <c r="E6304"/>
      <c r="M6304"/>
    </row>
    <row r="6305" spans="5:13" x14ac:dyDescent="0.25">
      <c r="E6305"/>
      <c r="M6305"/>
    </row>
    <row r="6306" spans="5:13" x14ac:dyDescent="0.25">
      <c r="E6306"/>
      <c r="M6306"/>
    </row>
    <row r="6307" spans="5:13" x14ac:dyDescent="0.25">
      <c r="E6307"/>
      <c r="M6307"/>
    </row>
    <row r="6308" spans="5:13" x14ac:dyDescent="0.25">
      <c r="E6308"/>
      <c r="M6308"/>
    </row>
    <row r="6309" spans="5:13" x14ac:dyDescent="0.25">
      <c r="E6309"/>
      <c r="M6309"/>
    </row>
    <row r="6310" spans="5:13" x14ac:dyDescent="0.25">
      <c r="E6310"/>
      <c r="M6310"/>
    </row>
    <row r="6311" spans="5:13" x14ac:dyDescent="0.25">
      <c r="E6311"/>
      <c r="M6311"/>
    </row>
    <row r="6312" spans="5:13" x14ac:dyDescent="0.25">
      <c r="E6312"/>
      <c r="M6312"/>
    </row>
    <row r="6313" spans="5:13" x14ac:dyDescent="0.25">
      <c r="E6313"/>
      <c r="M6313"/>
    </row>
    <row r="6314" spans="5:13" x14ac:dyDescent="0.25">
      <c r="E6314"/>
      <c r="M6314"/>
    </row>
    <row r="6315" spans="5:13" x14ac:dyDescent="0.25">
      <c r="E6315"/>
      <c r="M6315"/>
    </row>
    <row r="6316" spans="5:13" x14ac:dyDescent="0.25">
      <c r="E6316"/>
      <c r="M6316"/>
    </row>
    <row r="6317" spans="5:13" x14ac:dyDescent="0.25">
      <c r="E6317"/>
      <c r="M6317"/>
    </row>
    <row r="6318" spans="5:13" x14ac:dyDescent="0.25">
      <c r="E6318"/>
      <c r="M6318"/>
    </row>
    <row r="6319" spans="5:13" x14ac:dyDescent="0.25">
      <c r="E6319"/>
      <c r="M6319"/>
    </row>
    <row r="6320" spans="5:13" x14ac:dyDescent="0.25">
      <c r="E6320"/>
      <c r="M6320"/>
    </row>
    <row r="6321" spans="5:13" x14ac:dyDescent="0.25">
      <c r="E6321"/>
      <c r="M6321"/>
    </row>
    <row r="6322" spans="5:13" x14ac:dyDescent="0.25">
      <c r="E6322"/>
      <c r="M6322"/>
    </row>
    <row r="6323" spans="5:13" x14ac:dyDescent="0.25">
      <c r="E6323"/>
      <c r="M6323"/>
    </row>
    <row r="6324" spans="5:13" x14ac:dyDescent="0.25">
      <c r="E6324"/>
      <c r="M6324"/>
    </row>
    <row r="6325" spans="5:13" x14ac:dyDescent="0.25">
      <c r="E6325"/>
      <c r="M6325"/>
    </row>
    <row r="6326" spans="5:13" x14ac:dyDescent="0.25">
      <c r="E6326"/>
      <c r="M6326"/>
    </row>
    <row r="6327" spans="5:13" x14ac:dyDescent="0.25">
      <c r="E6327"/>
      <c r="M6327"/>
    </row>
    <row r="6328" spans="5:13" x14ac:dyDescent="0.25">
      <c r="E6328"/>
      <c r="M6328"/>
    </row>
    <row r="6329" spans="5:13" x14ac:dyDescent="0.25">
      <c r="E6329"/>
      <c r="M6329"/>
    </row>
    <row r="6330" spans="5:13" x14ac:dyDescent="0.25">
      <c r="E6330"/>
      <c r="M6330"/>
    </row>
    <row r="6331" spans="5:13" x14ac:dyDescent="0.25">
      <c r="E6331"/>
      <c r="M6331"/>
    </row>
    <row r="6332" spans="5:13" x14ac:dyDescent="0.25">
      <c r="E6332"/>
      <c r="M6332"/>
    </row>
    <row r="6333" spans="5:13" x14ac:dyDescent="0.25">
      <c r="E6333"/>
      <c r="M6333"/>
    </row>
    <row r="6334" spans="5:13" x14ac:dyDescent="0.25">
      <c r="E6334"/>
      <c r="M6334"/>
    </row>
    <row r="6335" spans="5:13" x14ac:dyDescent="0.25">
      <c r="E6335"/>
      <c r="M6335"/>
    </row>
    <row r="6336" spans="5:13" x14ac:dyDescent="0.25">
      <c r="E6336"/>
      <c r="M6336"/>
    </row>
    <row r="6337" spans="5:13" x14ac:dyDescent="0.25">
      <c r="E6337"/>
      <c r="M6337"/>
    </row>
    <row r="6338" spans="5:13" x14ac:dyDescent="0.25">
      <c r="E6338"/>
      <c r="M6338"/>
    </row>
    <row r="6339" spans="5:13" x14ac:dyDescent="0.25">
      <c r="E6339"/>
      <c r="M6339"/>
    </row>
    <row r="6340" spans="5:13" x14ac:dyDescent="0.25">
      <c r="E6340"/>
      <c r="M6340"/>
    </row>
    <row r="6341" spans="5:13" x14ac:dyDescent="0.25">
      <c r="E6341"/>
      <c r="M6341"/>
    </row>
    <row r="6342" spans="5:13" x14ac:dyDescent="0.25">
      <c r="E6342"/>
      <c r="M6342"/>
    </row>
    <row r="6343" spans="5:13" x14ac:dyDescent="0.25">
      <c r="E6343"/>
      <c r="M6343"/>
    </row>
    <row r="6344" spans="5:13" x14ac:dyDescent="0.25">
      <c r="E6344"/>
      <c r="M6344"/>
    </row>
    <row r="6345" spans="5:13" x14ac:dyDescent="0.25">
      <c r="E6345"/>
      <c r="M6345"/>
    </row>
    <row r="6346" spans="5:13" x14ac:dyDescent="0.25">
      <c r="E6346"/>
      <c r="M6346"/>
    </row>
    <row r="6347" spans="5:13" x14ac:dyDescent="0.25">
      <c r="E6347"/>
      <c r="M6347"/>
    </row>
    <row r="6348" spans="5:13" x14ac:dyDescent="0.25">
      <c r="E6348"/>
      <c r="M6348"/>
    </row>
    <row r="6349" spans="5:13" x14ac:dyDescent="0.25">
      <c r="E6349"/>
      <c r="M6349"/>
    </row>
    <row r="6350" spans="5:13" x14ac:dyDescent="0.25">
      <c r="E6350"/>
      <c r="M6350"/>
    </row>
    <row r="6351" spans="5:13" x14ac:dyDescent="0.25">
      <c r="E6351"/>
      <c r="M6351"/>
    </row>
    <row r="6352" spans="5:13" x14ac:dyDescent="0.25">
      <c r="E6352"/>
      <c r="M6352"/>
    </row>
    <row r="6353" spans="5:13" x14ac:dyDescent="0.25">
      <c r="E6353"/>
      <c r="M6353"/>
    </row>
    <row r="6354" spans="5:13" x14ac:dyDescent="0.25">
      <c r="E6354"/>
      <c r="M6354"/>
    </row>
    <row r="6355" spans="5:13" x14ac:dyDescent="0.25">
      <c r="E6355"/>
      <c r="M6355"/>
    </row>
    <row r="6356" spans="5:13" x14ac:dyDescent="0.25">
      <c r="E6356"/>
      <c r="M6356"/>
    </row>
    <row r="6357" spans="5:13" x14ac:dyDescent="0.25">
      <c r="E6357"/>
      <c r="M6357"/>
    </row>
    <row r="6358" spans="5:13" x14ac:dyDescent="0.25">
      <c r="E6358"/>
      <c r="M6358"/>
    </row>
    <row r="6359" spans="5:13" x14ac:dyDescent="0.25">
      <c r="E6359"/>
      <c r="M6359"/>
    </row>
    <row r="6360" spans="5:13" x14ac:dyDescent="0.25">
      <c r="E6360"/>
      <c r="M6360"/>
    </row>
    <row r="6361" spans="5:13" x14ac:dyDescent="0.25">
      <c r="E6361"/>
      <c r="M6361"/>
    </row>
    <row r="6362" spans="5:13" x14ac:dyDescent="0.25">
      <c r="E6362"/>
      <c r="M6362"/>
    </row>
    <row r="6363" spans="5:13" x14ac:dyDescent="0.25">
      <c r="E6363"/>
      <c r="M6363"/>
    </row>
    <row r="6364" spans="5:13" x14ac:dyDescent="0.25">
      <c r="E6364"/>
      <c r="M6364"/>
    </row>
    <row r="6365" spans="5:13" x14ac:dyDescent="0.25">
      <c r="E6365"/>
      <c r="M6365"/>
    </row>
    <row r="6366" spans="5:13" x14ac:dyDescent="0.25">
      <c r="E6366"/>
      <c r="M6366"/>
    </row>
    <row r="6367" spans="5:13" x14ac:dyDescent="0.25">
      <c r="E6367"/>
      <c r="M6367"/>
    </row>
    <row r="6368" spans="5:13" x14ac:dyDescent="0.25">
      <c r="E6368"/>
      <c r="M6368"/>
    </row>
    <row r="6369" spans="5:13" x14ac:dyDescent="0.25">
      <c r="E6369"/>
      <c r="M6369"/>
    </row>
    <row r="6370" spans="5:13" x14ac:dyDescent="0.25">
      <c r="E6370"/>
      <c r="M6370"/>
    </row>
    <row r="6371" spans="5:13" x14ac:dyDescent="0.25">
      <c r="E6371"/>
      <c r="M6371"/>
    </row>
    <row r="6372" spans="5:13" x14ac:dyDescent="0.25">
      <c r="E6372"/>
      <c r="M6372"/>
    </row>
    <row r="6373" spans="5:13" x14ac:dyDescent="0.25">
      <c r="E6373"/>
      <c r="M6373"/>
    </row>
    <row r="6374" spans="5:13" x14ac:dyDescent="0.25">
      <c r="E6374"/>
      <c r="M6374"/>
    </row>
    <row r="6375" spans="5:13" x14ac:dyDescent="0.25">
      <c r="E6375"/>
      <c r="M6375"/>
    </row>
    <row r="6376" spans="5:13" x14ac:dyDescent="0.25">
      <c r="E6376"/>
      <c r="M6376"/>
    </row>
    <row r="6377" spans="5:13" x14ac:dyDescent="0.25">
      <c r="E6377"/>
      <c r="M6377"/>
    </row>
    <row r="6378" spans="5:13" x14ac:dyDescent="0.25">
      <c r="E6378"/>
      <c r="M6378"/>
    </row>
    <row r="6379" spans="5:13" x14ac:dyDescent="0.25">
      <c r="E6379"/>
      <c r="M6379"/>
    </row>
    <row r="6380" spans="5:13" x14ac:dyDescent="0.25">
      <c r="E6380"/>
      <c r="M6380"/>
    </row>
    <row r="6381" spans="5:13" x14ac:dyDescent="0.25">
      <c r="E6381"/>
      <c r="M6381"/>
    </row>
    <row r="6382" spans="5:13" x14ac:dyDescent="0.25">
      <c r="E6382"/>
      <c r="M6382"/>
    </row>
    <row r="6383" spans="5:13" x14ac:dyDescent="0.25">
      <c r="E6383"/>
      <c r="M6383"/>
    </row>
    <row r="6384" spans="5:13" x14ac:dyDescent="0.25">
      <c r="E6384"/>
      <c r="M6384"/>
    </row>
    <row r="6385" spans="5:13" x14ac:dyDescent="0.25">
      <c r="E6385"/>
      <c r="M6385"/>
    </row>
    <row r="6386" spans="5:13" x14ac:dyDescent="0.25">
      <c r="E6386"/>
      <c r="M6386"/>
    </row>
    <row r="6387" spans="5:13" x14ac:dyDescent="0.25">
      <c r="E6387"/>
      <c r="M6387"/>
    </row>
    <row r="6388" spans="5:13" x14ac:dyDescent="0.25">
      <c r="E6388"/>
      <c r="M6388"/>
    </row>
    <row r="6389" spans="5:13" x14ac:dyDescent="0.25">
      <c r="E6389"/>
      <c r="M6389"/>
    </row>
    <row r="6390" spans="5:13" x14ac:dyDescent="0.25">
      <c r="E6390"/>
      <c r="M6390"/>
    </row>
    <row r="6391" spans="5:13" x14ac:dyDescent="0.25">
      <c r="E6391"/>
      <c r="M6391"/>
    </row>
    <row r="6392" spans="5:13" x14ac:dyDescent="0.25">
      <c r="E6392"/>
      <c r="M6392"/>
    </row>
    <row r="6393" spans="5:13" x14ac:dyDescent="0.25">
      <c r="E6393"/>
      <c r="M6393"/>
    </row>
    <row r="6394" spans="5:13" x14ac:dyDescent="0.25">
      <c r="E6394"/>
      <c r="M6394"/>
    </row>
    <row r="6395" spans="5:13" x14ac:dyDescent="0.25">
      <c r="E6395"/>
      <c r="M6395"/>
    </row>
    <row r="6396" spans="5:13" x14ac:dyDescent="0.25">
      <c r="E6396"/>
      <c r="M6396"/>
    </row>
    <row r="6397" spans="5:13" x14ac:dyDescent="0.25">
      <c r="E6397"/>
      <c r="M6397"/>
    </row>
    <row r="6398" spans="5:13" x14ac:dyDescent="0.25">
      <c r="E6398"/>
      <c r="M6398"/>
    </row>
    <row r="6399" spans="5:13" x14ac:dyDescent="0.25">
      <c r="E6399"/>
      <c r="M6399"/>
    </row>
    <row r="6400" spans="5:13" x14ac:dyDescent="0.25">
      <c r="E6400"/>
      <c r="M6400"/>
    </row>
    <row r="6401" spans="5:13" x14ac:dyDescent="0.25">
      <c r="E6401"/>
      <c r="M6401"/>
    </row>
    <row r="6402" spans="5:13" x14ac:dyDescent="0.25">
      <c r="E6402"/>
      <c r="M6402"/>
    </row>
    <row r="6403" spans="5:13" x14ac:dyDescent="0.25">
      <c r="E6403"/>
      <c r="M6403"/>
    </row>
    <row r="6404" spans="5:13" x14ac:dyDescent="0.25">
      <c r="E6404"/>
      <c r="M6404"/>
    </row>
    <row r="6405" spans="5:13" x14ac:dyDescent="0.25">
      <c r="E6405"/>
      <c r="M6405"/>
    </row>
    <row r="6406" spans="5:13" x14ac:dyDescent="0.25">
      <c r="E6406"/>
      <c r="M6406"/>
    </row>
    <row r="6407" spans="5:13" x14ac:dyDescent="0.25">
      <c r="E6407"/>
      <c r="M6407"/>
    </row>
    <row r="6408" spans="5:13" x14ac:dyDescent="0.25">
      <c r="E6408"/>
      <c r="M6408"/>
    </row>
    <row r="6409" spans="5:13" x14ac:dyDescent="0.25">
      <c r="E6409"/>
      <c r="M6409"/>
    </row>
    <row r="6410" spans="5:13" x14ac:dyDescent="0.25">
      <c r="E6410"/>
      <c r="M6410"/>
    </row>
    <row r="6411" spans="5:13" x14ac:dyDescent="0.25">
      <c r="E6411"/>
      <c r="M6411"/>
    </row>
    <row r="6412" spans="5:13" x14ac:dyDescent="0.25">
      <c r="E6412"/>
      <c r="M6412"/>
    </row>
    <row r="6413" spans="5:13" x14ac:dyDescent="0.25">
      <c r="E6413"/>
      <c r="M6413"/>
    </row>
    <row r="6414" spans="5:13" x14ac:dyDescent="0.25">
      <c r="E6414"/>
      <c r="M6414"/>
    </row>
    <row r="6415" spans="5:13" x14ac:dyDescent="0.25">
      <c r="E6415"/>
      <c r="M6415"/>
    </row>
    <row r="6416" spans="5:13" x14ac:dyDescent="0.25">
      <c r="E6416"/>
      <c r="M6416"/>
    </row>
    <row r="6417" spans="5:13" x14ac:dyDescent="0.25">
      <c r="E6417"/>
      <c r="M6417"/>
    </row>
    <row r="6418" spans="5:13" x14ac:dyDescent="0.25">
      <c r="E6418"/>
      <c r="M6418"/>
    </row>
    <row r="6419" spans="5:13" x14ac:dyDescent="0.25">
      <c r="E6419"/>
      <c r="M6419"/>
    </row>
    <row r="6420" spans="5:13" x14ac:dyDescent="0.25">
      <c r="E6420"/>
      <c r="M6420"/>
    </row>
    <row r="6421" spans="5:13" x14ac:dyDescent="0.25">
      <c r="E6421"/>
      <c r="M6421"/>
    </row>
    <row r="6422" spans="5:13" x14ac:dyDescent="0.25">
      <c r="E6422"/>
      <c r="M6422"/>
    </row>
    <row r="6423" spans="5:13" x14ac:dyDescent="0.25">
      <c r="E6423"/>
      <c r="M6423"/>
    </row>
    <row r="6424" spans="5:13" x14ac:dyDescent="0.25">
      <c r="E6424"/>
      <c r="M6424"/>
    </row>
    <row r="6425" spans="5:13" x14ac:dyDescent="0.25">
      <c r="E6425"/>
      <c r="M6425"/>
    </row>
    <row r="6426" spans="5:13" x14ac:dyDescent="0.25">
      <c r="E6426"/>
      <c r="M6426"/>
    </row>
    <row r="6427" spans="5:13" x14ac:dyDescent="0.25">
      <c r="E6427"/>
      <c r="M6427"/>
    </row>
    <row r="6428" spans="5:13" x14ac:dyDescent="0.25">
      <c r="E6428"/>
      <c r="M6428"/>
    </row>
    <row r="6429" spans="5:13" x14ac:dyDescent="0.25">
      <c r="E6429"/>
      <c r="M6429"/>
    </row>
    <row r="6430" spans="5:13" x14ac:dyDescent="0.25">
      <c r="E6430"/>
      <c r="M6430"/>
    </row>
    <row r="6431" spans="5:13" x14ac:dyDescent="0.25">
      <c r="E6431"/>
      <c r="M6431"/>
    </row>
    <row r="6432" spans="5:13" x14ac:dyDescent="0.25">
      <c r="E6432"/>
      <c r="M6432"/>
    </row>
    <row r="6433" spans="5:13" x14ac:dyDescent="0.25">
      <c r="E6433"/>
      <c r="M6433"/>
    </row>
    <row r="6434" spans="5:13" x14ac:dyDescent="0.25">
      <c r="E6434"/>
      <c r="M6434"/>
    </row>
    <row r="6435" spans="5:13" x14ac:dyDescent="0.25">
      <c r="E6435"/>
      <c r="M6435"/>
    </row>
    <row r="6436" spans="5:13" x14ac:dyDescent="0.25">
      <c r="E6436"/>
      <c r="M6436"/>
    </row>
    <row r="6437" spans="5:13" x14ac:dyDescent="0.25">
      <c r="E6437"/>
      <c r="M6437"/>
    </row>
    <row r="6438" spans="5:13" x14ac:dyDescent="0.25">
      <c r="E6438"/>
      <c r="M6438"/>
    </row>
    <row r="6439" spans="5:13" x14ac:dyDescent="0.25">
      <c r="E6439"/>
      <c r="M6439"/>
    </row>
    <row r="6440" spans="5:13" x14ac:dyDescent="0.25">
      <c r="E6440"/>
      <c r="M6440"/>
    </row>
    <row r="6441" spans="5:13" x14ac:dyDescent="0.25">
      <c r="E6441"/>
      <c r="M6441"/>
    </row>
    <row r="6442" spans="5:13" x14ac:dyDescent="0.25">
      <c r="E6442"/>
      <c r="M6442"/>
    </row>
    <row r="6443" spans="5:13" x14ac:dyDescent="0.25">
      <c r="E6443"/>
      <c r="M6443"/>
    </row>
    <row r="6444" spans="5:13" x14ac:dyDescent="0.25">
      <c r="E6444"/>
      <c r="M6444"/>
    </row>
    <row r="6445" spans="5:13" x14ac:dyDescent="0.25">
      <c r="E6445"/>
      <c r="M6445"/>
    </row>
    <row r="6446" spans="5:13" x14ac:dyDescent="0.25">
      <c r="E6446"/>
      <c r="M6446"/>
    </row>
    <row r="6447" spans="5:13" x14ac:dyDescent="0.25">
      <c r="E6447"/>
      <c r="M6447"/>
    </row>
    <row r="6448" spans="5:13" x14ac:dyDescent="0.25">
      <c r="E6448"/>
      <c r="M6448"/>
    </row>
    <row r="6449" spans="5:13" x14ac:dyDescent="0.25">
      <c r="E6449"/>
      <c r="M6449"/>
    </row>
    <row r="6450" spans="5:13" x14ac:dyDescent="0.25">
      <c r="E6450"/>
      <c r="M6450"/>
    </row>
    <row r="6451" spans="5:13" x14ac:dyDescent="0.25">
      <c r="E6451"/>
      <c r="M6451"/>
    </row>
    <row r="6452" spans="5:13" x14ac:dyDescent="0.25">
      <c r="E6452"/>
      <c r="M6452"/>
    </row>
    <row r="6453" spans="5:13" x14ac:dyDescent="0.25">
      <c r="E6453"/>
      <c r="M6453"/>
    </row>
    <row r="6454" spans="5:13" x14ac:dyDescent="0.25">
      <c r="E6454"/>
      <c r="M6454"/>
    </row>
    <row r="6455" spans="5:13" x14ac:dyDescent="0.25">
      <c r="E6455"/>
      <c r="M6455"/>
    </row>
    <row r="6456" spans="5:13" x14ac:dyDescent="0.25">
      <c r="E6456"/>
      <c r="M6456"/>
    </row>
    <row r="6457" spans="5:13" x14ac:dyDescent="0.25">
      <c r="E6457"/>
      <c r="M6457"/>
    </row>
    <row r="6458" spans="5:13" x14ac:dyDescent="0.25">
      <c r="E6458"/>
      <c r="M6458"/>
    </row>
    <row r="6459" spans="5:13" x14ac:dyDescent="0.25">
      <c r="E6459"/>
      <c r="M6459"/>
    </row>
    <row r="6460" spans="5:13" x14ac:dyDescent="0.25">
      <c r="E6460"/>
      <c r="M6460"/>
    </row>
    <row r="6461" spans="5:13" x14ac:dyDescent="0.25">
      <c r="E6461"/>
      <c r="M6461"/>
    </row>
    <row r="6462" spans="5:13" x14ac:dyDescent="0.25">
      <c r="E6462"/>
      <c r="M6462"/>
    </row>
    <row r="6463" spans="5:13" x14ac:dyDescent="0.25">
      <c r="E6463"/>
      <c r="M6463"/>
    </row>
    <row r="6464" spans="5:13" x14ac:dyDescent="0.25">
      <c r="E6464"/>
      <c r="M6464"/>
    </row>
    <row r="6465" spans="5:13" x14ac:dyDescent="0.25">
      <c r="E6465"/>
      <c r="M6465"/>
    </row>
    <row r="6466" spans="5:13" x14ac:dyDescent="0.25">
      <c r="E6466"/>
      <c r="M6466"/>
    </row>
    <row r="6467" spans="5:13" x14ac:dyDescent="0.25">
      <c r="E6467"/>
      <c r="M6467"/>
    </row>
    <row r="6468" spans="5:13" x14ac:dyDescent="0.25">
      <c r="E6468"/>
      <c r="M6468"/>
    </row>
    <row r="6469" spans="5:13" x14ac:dyDescent="0.25">
      <c r="E6469"/>
      <c r="M6469"/>
    </row>
    <row r="6470" spans="5:13" x14ac:dyDescent="0.25">
      <c r="E6470"/>
      <c r="M6470"/>
    </row>
    <row r="6471" spans="5:13" x14ac:dyDescent="0.25">
      <c r="E6471"/>
      <c r="M6471"/>
    </row>
    <row r="6472" spans="5:13" x14ac:dyDescent="0.25">
      <c r="E6472"/>
      <c r="M6472"/>
    </row>
    <row r="6473" spans="5:13" x14ac:dyDescent="0.25">
      <c r="E6473"/>
      <c r="M6473"/>
    </row>
    <row r="6474" spans="5:13" x14ac:dyDescent="0.25">
      <c r="E6474"/>
      <c r="M6474"/>
    </row>
    <row r="6475" spans="5:13" x14ac:dyDescent="0.25">
      <c r="E6475"/>
      <c r="M6475"/>
    </row>
    <row r="6476" spans="5:13" x14ac:dyDescent="0.25">
      <c r="E6476"/>
      <c r="M6476"/>
    </row>
    <row r="6477" spans="5:13" x14ac:dyDescent="0.25">
      <c r="E6477"/>
      <c r="M6477"/>
    </row>
    <row r="6478" spans="5:13" x14ac:dyDescent="0.25">
      <c r="E6478"/>
      <c r="M6478"/>
    </row>
    <row r="6479" spans="5:13" x14ac:dyDescent="0.25">
      <c r="E6479"/>
      <c r="M6479"/>
    </row>
    <row r="6480" spans="5:13" x14ac:dyDescent="0.25">
      <c r="E6480"/>
      <c r="M6480"/>
    </row>
    <row r="6481" spans="5:13" x14ac:dyDescent="0.25">
      <c r="E6481"/>
      <c r="M6481"/>
    </row>
    <row r="6482" spans="5:13" x14ac:dyDescent="0.25">
      <c r="E6482"/>
      <c r="M6482"/>
    </row>
    <row r="6483" spans="5:13" x14ac:dyDescent="0.25">
      <c r="E6483"/>
      <c r="M6483"/>
    </row>
    <row r="6484" spans="5:13" x14ac:dyDescent="0.25">
      <c r="E6484"/>
      <c r="M6484"/>
    </row>
    <row r="6485" spans="5:13" x14ac:dyDescent="0.25">
      <c r="E6485"/>
      <c r="M6485"/>
    </row>
    <row r="6486" spans="5:13" x14ac:dyDescent="0.25">
      <c r="E6486"/>
      <c r="M6486"/>
    </row>
    <row r="6487" spans="5:13" x14ac:dyDescent="0.25">
      <c r="E6487"/>
      <c r="M6487"/>
    </row>
    <row r="6488" spans="5:13" x14ac:dyDescent="0.25">
      <c r="E6488"/>
      <c r="M6488"/>
    </row>
    <row r="6489" spans="5:13" x14ac:dyDescent="0.25">
      <c r="E6489"/>
      <c r="M6489"/>
    </row>
    <row r="6490" spans="5:13" x14ac:dyDescent="0.25">
      <c r="E6490"/>
      <c r="M6490"/>
    </row>
    <row r="6491" spans="5:13" x14ac:dyDescent="0.25">
      <c r="E6491"/>
      <c r="M6491"/>
    </row>
    <row r="6492" spans="5:13" x14ac:dyDescent="0.25">
      <c r="E6492"/>
      <c r="M6492"/>
    </row>
    <row r="6493" spans="5:13" x14ac:dyDescent="0.25">
      <c r="E6493"/>
      <c r="M6493"/>
    </row>
    <row r="6494" spans="5:13" x14ac:dyDescent="0.25">
      <c r="E6494"/>
      <c r="M6494"/>
    </row>
    <row r="6495" spans="5:13" x14ac:dyDescent="0.25">
      <c r="E6495"/>
      <c r="M6495"/>
    </row>
    <row r="6496" spans="5:13" x14ac:dyDescent="0.25">
      <c r="E6496"/>
      <c r="M6496"/>
    </row>
    <row r="6497" spans="5:13" x14ac:dyDescent="0.25">
      <c r="E6497"/>
      <c r="M6497"/>
    </row>
    <row r="6498" spans="5:13" x14ac:dyDescent="0.25">
      <c r="E6498"/>
      <c r="M6498"/>
    </row>
    <row r="6499" spans="5:13" x14ac:dyDescent="0.25">
      <c r="E6499"/>
      <c r="M6499"/>
    </row>
    <row r="6500" spans="5:13" x14ac:dyDescent="0.25">
      <c r="E6500"/>
      <c r="M6500"/>
    </row>
    <row r="6501" spans="5:13" x14ac:dyDescent="0.25">
      <c r="E6501"/>
      <c r="M6501"/>
    </row>
    <row r="6502" spans="5:13" x14ac:dyDescent="0.25">
      <c r="E6502"/>
      <c r="M6502"/>
    </row>
    <row r="6503" spans="5:13" x14ac:dyDescent="0.25">
      <c r="E6503"/>
      <c r="M6503"/>
    </row>
    <row r="6504" spans="5:13" x14ac:dyDescent="0.25">
      <c r="E6504"/>
      <c r="M6504"/>
    </row>
    <row r="6505" spans="5:13" x14ac:dyDescent="0.25">
      <c r="E6505"/>
      <c r="M6505"/>
    </row>
    <row r="6506" spans="5:13" x14ac:dyDescent="0.25">
      <c r="E6506"/>
      <c r="M6506"/>
    </row>
    <row r="6507" spans="5:13" x14ac:dyDescent="0.25">
      <c r="E6507"/>
      <c r="M6507"/>
    </row>
    <row r="6508" spans="5:13" x14ac:dyDescent="0.25">
      <c r="E6508"/>
      <c r="M6508"/>
    </row>
    <row r="6509" spans="5:13" x14ac:dyDescent="0.25">
      <c r="E6509"/>
      <c r="M6509"/>
    </row>
    <row r="6510" spans="5:13" x14ac:dyDescent="0.25">
      <c r="E6510"/>
      <c r="M6510"/>
    </row>
    <row r="6511" spans="5:13" x14ac:dyDescent="0.25">
      <c r="E6511"/>
      <c r="M6511"/>
    </row>
    <row r="6512" spans="5:13" x14ac:dyDescent="0.25">
      <c r="E6512"/>
      <c r="M6512"/>
    </row>
    <row r="6513" spans="5:13" x14ac:dyDescent="0.25">
      <c r="E6513"/>
      <c r="M6513"/>
    </row>
    <row r="6514" spans="5:13" x14ac:dyDescent="0.25">
      <c r="E6514"/>
      <c r="M6514"/>
    </row>
    <row r="6515" spans="5:13" x14ac:dyDescent="0.25">
      <c r="E6515"/>
      <c r="M6515"/>
    </row>
    <row r="6516" spans="5:13" x14ac:dyDescent="0.25">
      <c r="E6516"/>
      <c r="M6516"/>
    </row>
    <row r="6517" spans="5:13" x14ac:dyDescent="0.25">
      <c r="E6517"/>
      <c r="M6517"/>
    </row>
    <row r="6518" spans="5:13" x14ac:dyDescent="0.25">
      <c r="E6518"/>
      <c r="M6518"/>
    </row>
    <row r="6519" spans="5:13" x14ac:dyDescent="0.25">
      <c r="E6519"/>
      <c r="M6519"/>
    </row>
    <row r="6520" spans="5:13" x14ac:dyDescent="0.25">
      <c r="E6520"/>
      <c r="M6520"/>
    </row>
    <row r="6521" spans="5:13" x14ac:dyDescent="0.25">
      <c r="E6521"/>
      <c r="M6521"/>
    </row>
    <row r="6522" spans="5:13" x14ac:dyDescent="0.25">
      <c r="E6522"/>
      <c r="M6522"/>
    </row>
    <row r="6523" spans="5:13" x14ac:dyDescent="0.25">
      <c r="E6523"/>
      <c r="M6523"/>
    </row>
    <row r="6524" spans="5:13" x14ac:dyDescent="0.25">
      <c r="E6524"/>
      <c r="M6524"/>
    </row>
    <row r="6525" spans="5:13" x14ac:dyDescent="0.25">
      <c r="E6525"/>
      <c r="M6525"/>
    </row>
    <row r="6526" spans="5:13" x14ac:dyDescent="0.25">
      <c r="E6526"/>
      <c r="M6526"/>
    </row>
    <row r="6527" spans="5:13" x14ac:dyDescent="0.25">
      <c r="E6527"/>
      <c r="M6527"/>
    </row>
    <row r="6528" spans="5:13" x14ac:dyDescent="0.25">
      <c r="E6528"/>
      <c r="M6528"/>
    </row>
    <row r="6529" spans="5:13" x14ac:dyDescent="0.25">
      <c r="E6529"/>
      <c r="M6529"/>
    </row>
    <row r="6530" spans="5:13" x14ac:dyDescent="0.25">
      <c r="E6530"/>
      <c r="M6530"/>
    </row>
    <row r="6531" spans="5:13" x14ac:dyDescent="0.25">
      <c r="E6531"/>
      <c r="M6531"/>
    </row>
    <row r="6532" spans="5:13" x14ac:dyDescent="0.25">
      <c r="E6532"/>
      <c r="M6532"/>
    </row>
    <row r="6533" spans="5:13" x14ac:dyDescent="0.25">
      <c r="E6533"/>
      <c r="M6533"/>
    </row>
    <row r="6534" spans="5:13" x14ac:dyDescent="0.25">
      <c r="E6534"/>
      <c r="M6534"/>
    </row>
    <row r="6535" spans="5:13" x14ac:dyDescent="0.25">
      <c r="E6535"/>
      <c r="M6535"/>
    </row>
    <row r="6536" spans="5:13" x14ac:dyDescent="0.25">
      <c r="E6536"/>
      <c r="M6536"/>
    </row>
    <row r="6537" spans="5:13" x14ac:dyDescent="0.25">
      <c r="E6537"/>
      <c r="M6537"/>
    </row>
    <row r="6538" spans="5:13" x14ac:dyDescent="0.25">
      <c r="E6538"/>
      <c r="M6538"/>
    </row>
    <row r="6539" spans="5:13" x14ac:dyDescent="0.25">
      <c r="E6539"/>
      <c r="M6539"/>
    </row>
    <row r="6540" spans="5:13" x14ac:dyDescent="0.25">
      <c r="E6540"/>
      <c r="M6540"/>
    </row>
    <row r="6541" spans="5:13" x14ac:dyDescent="0.25">
      <c r="E6541"/>
      <c r="M6541"/>
    </row>
    <row r="6542" spans="5:13" x14ac:dyDescent="0.25">
      <c r="E6542"/>
      <c r="M6542"/>
    </row>
    <row r="6543" spans="5:13" x14ac:dyDescent="0.25">
      <c r="E6543"/>
      <c r="M6543"/>
    </row>
    <row r="6544" spans="5:13" x14ac:dyDescent="0.25">
      <c r="E6544"/>
      <c r="M6544"/>
    </row>
    <row r="6545" spans="5:13" x14ac:dyDescent="0.25">
      <c r="E6545"/>
      <c r="M6545"/>
    </row>
    <row r="6546" spans="5:13" x14ac:dyDescent="0.25">
      <c r="E6546"/>
      <c r="M6546"/>
    </row>
    <row r="6547" spans="5:13" x14ac:dyDescent="0.25">
      <c r="E6547"/>
      <c r="M6547"/>
    </row>
    <row r="6548" spans="5:13" x14ac:dyDescent="0.25">
      <c r="E6548"/>
      <c r="M6548"/>
    </row>
    <row r="6549" spans="5:13" x14ac:dyDescent="0.25">
      <c r="E6549"/>
      <c r="M6549"/>
    </row>
    <row r="6550" spans="5:13" x14ac:dyDescent="0.25">
      <c r="E6550"/>
      <c r="M6550"/>
    </row>
    <row r="6551" spans="5:13" x14ac:dyDescent="0.25">
      <c r="E6551"/>
      <c r="M6551"/>
    </row>
    <row r="6552" spans="5:13" x14ac:dyDescent="0.25">
      <c r="E6552"/>
      <c r="M6552"/>
    </row>
    <row r="6553" spans="5:13" x14ac:dyDescent="0.25">
      <c r="E6553"/>
      <c r="M6553"/>
    </row>
    <row r="6554" spans="5:13" x14ac:dyDescent="0.25">
      <c r="E6554"/>
      <c r="M6554"/>
    </row>
    <row r="6555" spans="5:13" x14ac:dyDescent="0.25">
      <c r="E6555"/>
      <c r="M6555"/>
    </row>
    <row r="6556" spans="5:13" x14ac:dyDescent="0.25">
      <c r="E6556"/>
      <c r="M6556"/>
    </row>
    <row r="6557" spans="5:13" x14ac:dyDescent="0.25">
      <c r="E6557"/>
      <c r="M6557"/>
    </row>
    <row r="6558" spans="5:13" x14ac:dyDescent="0.25">
      <c r="E6558"/>
      <c r="M6558"/>
    </row>
    <row r="6559" spans="5:13" x14ac:dyDescent="0.25">
      <c r="E6559"/>
      <c r="M6559"/>
    </row>
    <row r="6560" spans="5:13" x14ac:dyDescent="0.25">
      <c r="E6560"/>
      <c r="M6560"/>
    </row>
    <row r="6561" spans="5:13" x14ac:dyDescent="0.25">
      <c r="E6561"/>
      <c r="M6561"/>
    </row>
    <row r="6562" spans="5:13" x14ac:dyDescent="0.25">
      <c r="E6562"/>
      <c r="M6562"/>
    </row>
    <row r="6563" spans="5:13" x14ac:dyDescent="0.25">
      <c r="E6563"/>
      <c r="M6563"/>
    </row>
    <row r="6564" spans="5:13" x14ac:dyDescent="0.25">
      <c r="E6564"/>
      <c r="M6564"/>
    </row>
    <row r="6565" spans="5:13" x14ac:dyDescent="0.25">
      <c r="E6565"/>
      <c r="M6565"/>
    </row>
    <row r="6566" spans="5:13" x14ac:dyDescent="0.25">
      <c r="E6566"/>
      <c r="M6566"/>
    </row>
    <row r="6567" spans="5:13" x14ac:dyDescent="0.25">
      <c r="E6567"/>
      <c r="M6567"/>
    </row>
    <row r="6568" spans="5:13" x14ac:dyDescent="0.25">
      <c r="E6568"/>
      <c r="M6568"/>
    </row>
    <row r="6569" spans="5:13" x14ac:dyDescent="0.25">
      <c r="E6569"/>
      <c r="M6569"/>
    </row>
    <row r="6570" spans="5:13" x14ac:dyDescent="0.25">
      <c r="E6570"/>
      <c r="M6570"/>
    </row>
    <row r="6571" spans="5:13" x14ac:dyDescent="0.25">
      <c r="E6571"/>
      <c r="M6571"/>
    </row>
    <row r="6572" spans="5:13" x14ac:dyDescent="0.25">
      <c r="E6572"/>
      <c r="M6572"/>
    </row>
    <row r="6573" spans="5:13" x14ac:dyDescent="0.25">
      <c r="E6573"/>
      <c r="M6573"/>
    </row>
    <row r="6574" spans="5:13" x14ac:dyDescent="0.25">
      <c r="E6574"/>
      <c r="M6574"/>
    </row>
    <row r="6575" spans="5:13" x14ac:dyDescent="0.25">
      <c r="E6575"/>
      <c r="M6575"/>
    </row>
    <row r="6576" spans="5:13" x14ac:dyDescent="0.25">
      <c r="E6576"/>
      <c r="M6576"/>
    </row>
    <row r="6577" spans="5:13" x14ac:dyDescent="0.25">
      <c r="E6577"/>
      <c r="M6577"/>
    </row>
    <row r="6578" spans="5:13" x14ac:dyDescent="0.25">
      <c r="E6578"/>
      <c r="M6578"/>
    </row>
    <row r="6579" spans="5:13" x14ac:dyDescent="0.25">
      <c r="E6579"/>
      <c r="M6579"/>
    </row>
    <row r="6580" spans="5:13" x14ac:dyDescent="0.25">
      <c r="E6580"/>
      <c r="M6580"/>
    </row>
    <row r="6581" spans="5:13" x14ac:dyDescent="0.25">
      <c r="E6581"/>
      <c r="M6581"/>
    </row>
    <row r="6582" spans="5:13" x14ac:dyDescent="0.25">
      <c r="E6582"/>
      <c r="M6582"/>
    </row>
    <row r="6583" spans="5:13" x14ac:dyDescent="0.25">
      <c r="E6583"/>
      <c r="M6583"/>
    </row>
    <row r="6584" spans="5:13" x14ac:dyDescent="0.25">
      <c r="E6584"/>
      <c r="M6584"/>
    </row>
    <row r="6585" spans="5:13" x14ac:dyDescent="0.25">
      <c r="E6585"/>
      <c r="M6585"/>
    </row>
    <row r="6586" spans="5:13" x14ac:dyDescent="0.25">
      <c r="E6586"/>
      <c r="M6586"/>
    </row>
    <row r="6587" spans="5:13" x14ac:dyDescent="0.25">
      <c r="E6587"/>
      <c r="M6587"/>
    </row>
    <row r="6588" spans="5:13" x14ac:dyDescent="0.25">
      <c r="E6588"/>
      <c r="M6588"/>
    </row>
    <row r="6589" spans="5:13" x14ac:dyDescent="0.25">
      <c r="E6589"/>
      <c r="M6589"/>
    </row>
    <row r="6590" spans="5:13" x14ac:dyDescent="0.25">
      <c r="E6590"/>
      <c r="M6590"/>
    </row>
    <row r="6591" spans="5:13" x14ac:dyDescent="0.25">
      <c r="E6591"/>
      <c r="M6591"/>
    </row>
    <row r="6592" spans="5:13" x14ac:dyDescent="0.25">
      <c r="E6592"/>
      <c r="M6592"/>
    </row>
    <row r="6593" spans="5:13" x14ac:dyDescent="0.25">
      <c r="E6593"/>
      <c r="M6593"/>
    </row>
    <row r="6594" spans="5:13" x14ac:dyDescent="0.25">
      <c r="E6594"/>
      <c r="M6594"/>
    </row>
    <row r="6595" spans="5:13" x14ac:dyDescent="0.25">
      <c r="E6595"/>
      <c r="M6595"/>
    </row>
    <row r="6596" spans="5:13" x14ac:dyDescent="0.25">
      <c r="E6596"/>
      <c r="M6596"/>
    </row>
    <row r="6597" spans="5:13" x14ac:dyDescent="0.25">
      <c r="E6597"/>
      <c r="M6597"/>
    </row>
    <row r="6598" spans="5:13" x14ac:dyDescent="0.25">
      <c r="E6598"/>
      <c r="M6598"/>
    </row>
    <row r="6599" spans="5:13" x14ac:dyDescent="0.25">
      <c r="E6599"/>
      <c r="M6599"/>
    </row>
    <row r="6600" spans="5:13" x14ac:dyDescent="0.25">
      <c r="E6600"/>
      <c r="M6600"/>
    </row>
    <row r="6601" spans="5:13" x14ac:dyDescent="0.25">
      <c r="E6601"/>
      <c r="M6601"/>
    </row>
    <row r="6602" spans="5:13" x14ac:dyDescent="0.25">
      <c r="E6602"/>
      <c r="M6602"/>
    </row>
    <row r="6603" spans="5:13" x14ac:dyDescent="0.25">
      <c r="E6603"/>
      <c r="M6603"/>
    </row>
    <row r="6604" spans="5:13" x14ac:dyDescent="0.25">
      <c r="E6604"/>
      <c r="M6604"/>
    </row>
    <row r="6605" spans="5:13" x14ac:dyDescent="0.25">
      <c r="E6605"/>
      <c r="M6605"/>
    </row>
    <row r="6606" spans="5:13" x14ac:dyDescent="0.25">
      <c r="E6606"/>
      <c r="M6606"/>
    </row>
    <row r="6607" spans="5:13" x14ac:dyDescent="0.25">
      <c r="E6607"/>
      <c r="M6607"/>
    </row>
    <row r="6608" spans="5:13" x14ac:dyDescent="0.25">
      <c r="E6608"/>
      <c r="M6608"/>
    </row>
    <row r="6609" spans="5:13" x14ac:dyDescent="0.25">
      <c r="E6609"/>
      <c r="M6609"/>
    </row>
    <row r="6610" spans="5:13" x14ac:dyDescent="0.25">
      <c r="E6610"/>
      <c r="M6610"/>
    </row>
    <row r="6611" spans="5:13" x14ac:dyDescent="0.25">
      <c r="E6611"/>
      <c r="M6611"/>
    </row>
    <row r="6612" spans="5:13" x14ac:dyDescent="0.25">
      <c r="E6612"/>
      <c r="M6612"/>
    </row>
    <row r="6613" spans="5:13" x14ac:dyDescent="0.25">
      <c r="E6613"/>
      <c r="M6613"/>
    </row>
    <row r="6614" spans="5:13" x14ac:dyDescent="0.25">
      <c r="E6614"/>
      <c r="M6614"/>
    </row>
    <row r="6615" spans="5:13" x14ac:dyDescent="0.25">
      <c r="E6615"/>
      <c r="M6615"/>
    </row>
    <row r="6616" spans="5:13" x14ac:dyDescent="0.25">
      <c r="E6616"/>
      <c r="M6616"/>
    </row>
    <row r="6617" spans="5:13" x14ac:dyDescent="0.25">
      <c r="E6617"/>
      <c r="M6617"/>
    </row>
    <row r="6618" spans="5:13" x14ac:dyDescent="0.25">
      <c r="E6618"/>
      <c r="M6618"/>
    </row>
    <row r="6619" spans="5:13" x14ac:dyDescent="0.25">
      <c r="E6619"/>
      <c r="M6619"/>
    </row>
    <row r="6620" spans="5:13" x14ac:dyDescent="0.25">
      <c r="E6620"/>
      <c r="M6620"/>
    </row>
    <row r="6621" spans="5:13" x14ac:dyDescent="0.25">
      <c r="E6621"/>
      <c r="M6621"/>
    </row>
    <row r="6622" spans="5:13" x14ac:dyDescent="0.25">
      <c r="E6622"/>
      <c r="M6622"/>
    </row>
    <row r="6623" spans="5:13" x14ac:dyDescent="0.25">
      <c r="E6623"/>
      <c r="M6623"/>
    </row>
    <row r="6624" spans="5:13" x14ac:dyDescent="0.25">
      <c r="E6624"/>
      <c r="M6624"/>
    </row>
    <row r="6625" spans="5:13" x14ac:dyDescent="0.25">
      <c r="E6625"/>
      <c r="M6625"/>
    </row>
    <row r="6626" spans="5:13" x14ac:dyDescent="0.25">
      <c r="E6626"/>
      <c r="M6626"/>
    </row>
    <row r="6627" spans="5:13" x14ac:dyDescent="0.25">
      <c r="E6627"/>
      <c r="M6627"/>
    </row>
    <row r="6628" spans="5:13" x14ac:dyDescent="0.25">
      <c r="E6628"/>
      <c r="M6628"/>
    </row>
    <row r="6629" spans="5:13" x14ac:dyDescent="0.25">
      <c r="E6629"/>
      <c r="M6629"/>
    </row>
    <row r="6630" spans="5:13" x14ac:dyDescent="0.25">
      <c r="E6630"/>
      <c r="M6630"/>
    </row>
    <row r="6631" spans="5:13" x14ac:dyDescent="0.25">
      <c r="E6631"/>
      <c r="M6631"/>
    </row>
    <row r="6632" spans="5:13" x14ac:dyDescent="0.25">
      <c r="E6632"/>
      <c r="M6632"/>
    </row>
    <row r="6633" spans="5:13" x14ac:dyDescent="0.25">
      <c r="E6633"/>
      <c r="M6633"/>
    </row>
    <row r="6634" spans="5:13" x14ac:dyDescent="0.25">
      <c r="E6634"/>
      <c r="M6634"/>
    </row>
    <row r="6635" spans="5:13" x14ac:dyDescent="0.25">
      <c r="E6635"/>
      <c r="M6635"/>
    </row>
    <row r="6636" spans="5:13" x14ac:dyDescent="0.25">
      <c r="E6636"/>
      <c r="M6636"/>
    </row>
    <row r="6637" spans="5:13" x14ac:dyDescent="0.25">
      <c r="E6637"/>
      <c r="M6637"/>
    </row>
    <row r="6638" spans="5:13" x14ac:dyDescent="0.25">
      <c r="E6638"/>
      <c r="M6638"/>
    </row>
    <row r="6639" spans="5:13" x14ac:dyDescent="0.25">
      <c r="E6639"/>
      <c r="M6639"/>
    </row>
    <row r="6640" spans="5:13" x14ac:dyDescent="0.25">
      <c r="E6640"/>
      <c r="M6640"/>
    </row>
    <row r="6641" spans="5:13" x14ac:dyDescent="0.25">
      <c r="E6641"/>
      <c r="M6641"/>
    </row>
    <row r="6642" spans="5:13" x14ac:dyDescent="0.25">
      <c r="E6642"/>
      <c r="M6642"/>
    </row>
    <row r="6643" spans="5:13" x14ac:dyDescent="0.25">
      <c r="E6643"/>
      <c r="M6643"/>
    </row>
    <row r="6644" spans="5:13" x14ac:dyDescent="0.25">
      <c r="E6644"/>
      <c r="M6644"/>
    </row>
    <row r="6645" spans="5:13" x14ac:dyDescent="0.25">
      <c r="E6645"/>
      <c r="M6645"/>
    </row>
    <row r="6646" spans="5:13" x14ac:dyDescent="0.25">
      <c r="E6646"/>
      <c r="M6646"/>
    </row>
    <row r="6647" spans="5:13" x14ac:dyDescent="0.25">
      <c r="E6647"/>
      <c r="M6647"/>
    </row>
    <row r="6648" spans="5:13" x14ac:dyDescent="0.25">
      <c r="E6648"/>
      <c r="M6648"/>
    </row>
    <row r="6649" spans="5:13" x14ac:dyDescent="0.25">
      <c r="E6649"/>
      <c r="M6649"/>
    </row>
    <row r="6650" spans="5:13" x14ac:dyDescent="0.25">
      <c r="E6650"/>
      <c r="M6650"/>
    </row>
    <row r="6651" spans="5:13" x14ac:dyDescent="0.25">
      <c r="E6651"/>
      <c r="M6651"/>
    </row>
    <row r="6652" spans="5:13" x14ac:dyDescent="0.25">
      <c r="E6652"/>
      <c r="M6652"/>
    </row>
    <row r="6653" spans="5:13" x14ac:dyDescent="0.25">
      <c r="E6653"/>
      <c r="M6653"/>
    </row>
    <row r="6654" spans="5:13" x14ac:dyDescent="0.25">
      <c r="E6654"/>
      <c r="M6654"/>
    </row>
    <row r="6655" spans="5:13" x14ac:dyDescent="0.25">
      <c r="E6655"/>
      <c r="M6655"/>
    </row>
    <row r="6656" spans="5:13" x14ac:dyDescent="0.25">
      <c r="E6656"/>
      <c r="M6656"/>
    </row>
    <row r="6657" spans="5:13" x14ac:dyDescent="0.25">
      <c r="E6657"/>
      <c r="M6657"/>
    </row>
    <row r="6658" spans="5:13" x14ac:dyDescent="0.25">
      <c r="E6658"/>
      <c r="M6658"/>
    </row>
    <row r="6659" spans="5:13" x14ac:dyDescent="0.25">
      <c r="E6659"/>
      <c r="M6659"/>
    </row>
    <row r="6660" spans="5:13" x14ac:dyDescent="0.25">
      <c r="E6660"/>
      <c r="M6660"/>
    </row>
    <row r="6661" spans="5:13" x14ac:dyDescent="0.25">
      <c r="E6661"/>
      <c r="M6661"/>
    </row>
    <row r="6662" spans="5:13" x14ac:dyDescent="0.25">
      <c r="E6662"/>
      <c r="M6662"/>
    </row>
    <row r="6663" spans="5:13" x14ac:dyDescent="0.25">
      <c r="E6663"/>
      <c r="M6663"/>
    </row>
    <row r="6664" spans="5:13" x14ac:dyDescent="0.25">
      <c r="E6664"/>
      <c r="M6664"/>
    </row>
    <row r="6665" spans="5:13" x14ac:dyDescent="0.25">
      <c r="E6665"/>
      <c r="M6665"/>
    </row>
    <row r="6666" spans="5:13" x14ac:dyDescent="0.25">
      <c r="E6666"/>
      <c r="M6666"/>
    </row>
    <row r="6667" spans="5:13" x14ac:dyDescent="0.25">
      <c r="E6667"/>
      <c r="M6667"/>
    </row>
    <row r="6668" spans="5:13" x14ac:dyDescent="0.25">
      <c r="E6668"/>
      <c r="M6668"/>
    </row>
    <row r="6669" spans="5:13" x14ac:dyDescent="0.25">
      <c r="E6669"/>
      <c r="M6669"/>
    </row>
    <row r="6670" spans="5:13" x14ac:dyDescent="0.25">
      <c r="E6670"/>
      <c r="M6670"/>
    </row>
    <row r="6671" spans="5:13" x14ac:dyDescent="0.25">
      <c r="E6671"/>
      <c r="M6671"/>
    </row>
    <row r="6672" spans="5:13" x14ac:dyDescent="0.25">
      <c r="E6672"/>
      <c r="M6672"/>
    </row>
    <row r="6673" spans="5:13" x14ac:dyDescent="0.25">
      <c r="E6673"/>
      <c r="M6673"/>
    </row>
    <row r="6674" spans="5:13" x14ac:dyDescent="0.25">
      <c r="E6674"/>
      <c r="M6674"/>
    </row>
    <row r="6675" spans="5:13" x14ac:dyDescent="0.25">
      <c r="E6675"/>
      <c r="M6675"/>
    </row>
    <row r="6676" spans="5:13" x14ac:dyDescent="0.25">
      <c r="E6676"/>
      <c r="M6676"/>
    </row>
    <row r="6677" spans="5:13" x14ac:dyDescent="0.25">
      <c r="E6677"/>
      <c r="M6677"/>
    </row>
    <row r="6678" spans="5:13" x14ac:dyDescent="0.25">
      <c r="E6678"/>
      <c r="M6678"/>
    </row>
    <row r="6679" spans="5:13" x14ac:dyDescent="0.25">
      <c r="E6679"/>
      <c r="M6679"/>
    </row>
    <row r="6680" spans="5:13" x14ac:dyDescent="0.25">
      <c r="E6680"/>
      <c r="M6680"/>
    </row>
    <row r="6681" spans="5:13" x14ac:dyDescent="0.25">
      <c r="E6681"/>
      <c r="M6681"/>
    </row>
    <row r="6682" spans="5:13" x14ac:dyDescent="0.25">
      <c r="E6682"/>
      <c r="M6682"/>
    </row>
    <row r="6683" spans="5:13" x14ac:dyDescent="0.25">
      <c r="E6683"/>
      <c r="M6683"/>
    </row>
    <row r="6684" spans="5:13" x14ac:dyDescent="0.25">
      <c r="E6684"/>
      <c r="M6684"/>
    </row>
    <row r="6685" spans="5:13" x14ac:dyDescent="0.25">
      <c r="E6685"/>
      <c r="M6685"/>
    </row>
    <row r="6686" spans="5:13" x14ac:dyDescent="0.25">
      <c r="E6686"/>
      <c r="M6686"/>
    </row>
    <row r="6687" spans="5:13" x14ac:dyDescent="0.25">
      <c r="E6687"/>
      <c r="M6687"/>
    </row>
    <row r="6688" spans="5:13" x14ac:dyDescent="0.25">
      <c r="E6688"/>
      <c r="M6688"/>
    </row>
    <row r="6689" spans="5:13" x14ac:dyDescent="0.25">
      <c r="E6689"/>
      <c r="M6689"/>
    </row>
    <row r="6690" spans="5:13" x14ac:dyDescent="0.25">
      <c r="E6690"/>
      <c r="M6690"/>
    </row>
    <row r="6691" spans="5:13" x14ac:dyDescent="0.25">
      <c r="E6691"/>
      <c r="M6691"/>
    </row>
    <row r="6692" spans="5:13" x14ac:dyDescent="0.25">
      <c r="E6692"/>
      <c r="M6692"/>
    </row>
    <row r="6693" spans="5:13" x14ac:dyDescent="0.25">
      <c r="E6693"/>
      <c r="M6693"/>
    </row>
    <row r="6694" spans="5:13" x14ac:dyDescent="0.25">
      <c r="E6694"/>
      <c r="M6694"/>
    </row>
    <row r="6695" spans="5:13" x14ac:dyDescent="0.25">
      <c r="E6695"/>
      <c r="M6695"/>
    </row>
    <row r="6696" spans="5:13" x14ac:dyDescent="0.25">
      <c r="E6696"/>
      <c r="M6696"/>
    </row>
    <row r="6697" spans="5:13" x14ac:dyDescent="0.25">
      <c r="E6697"/>
      <c r="M6697"/>
    </row>
    <row r="6698" spans="5:13" x14ac:dyDescent="0.25">
      <c r="E6698"/>
      <c r="M6698"/>
    </row>
    <row r="6699" spans="5:13" x14ac:dyDescent="0.25">
      <c r="E6699"/>
      <c r="M6699"/>
    </row>
    <row r="6700" spans="5:13" x14ac:dyDescent="0.25">
      <c r="E6700"/>
      <c r="M6700"/>
    </row>
    <row r="6701" spans="5:13" x14ac:dyDescent="0.25">
      <c r="E6701"/>
      <c r="M6701"/>
    </row>
    <row r="6702" spans="5:13" x14ac:dyDescent="0.25">
      <c r="E6702"/>
      <c r="M6702"/>
    </row>
    <row r="6703" spans="5:13" x14ac:dyDescent="0.25">
      <c r="E6703"/>
      <c r="M6703"/>
    </row>
    <row r="6704" spans="5:13" x14ac:dyDescent="0.25">
      <c r="E6704"/>
      <c r="M6704"/>
    </row>
    <row r="6705" spans="5:13" x14ac:dyDescent="0.25">
      <c r="E6705"/>
      <c r="M6705"/>
    </row>
    <row r="6706" spans="5:13" x14ac:dyDescent="0.25">
      <c r="E6706"/>
      <c r="M6706"/>
    </row>
    <row r="6707" spans="5:13" x14ac:dyDescent="0.25">
      <c r="E6707"/>
      <c r="M6707"/>
    </row>
    <row r="6708" spans="5:13" x14ac:dyDescent="0.25">
      <c r="E6708"/>
      <c r="M6708"/>
    </row>
    <row r="6709" spans="5:13" x14ac:dyDescent="0.25">
      <c r="E6709"/>
      <c r="M6709"/>
    </row>
    <row r="6710" spans="5:13" x14ac:dyDescent="0.25">
      <c r="E6710"/>
      <c r="M6710"/>
    </row>
    <row r="6711" spans="5:13" x14ac:dyDescent="0.25">
      <c r="E6711"/>
      <c r="M6711"/>
    </row>
    <row r="6712" spans="5:13" x14ac:dyDescent="0.25">
      <c r="E6712"/>
      <c r="M6712"/>
    </row>
    <row r="6713" spans="5:13" x14ac:dyDescent="0.25">
      <c r="E6713"/>
      <c r="M6713"/>
    </row>
    <row r="6714" spans="5:13" x14ac:dyDescent="0.25">
      <c r="E6714"/>
      <c r="M6714"/>
    </row>
    <row r="6715" spans="5:13" x14ac:dyDescent="0.25">
      <c r="E6715"/>
      <c r="M6715"/>
    </row>
    <row r="6716" spans="5:13" x14ac:dyDescent="0.25">
      <c r="E6716"/>
      <c r="M6716"/>
    </row>
    <row r="6717" spans="5:13" x14ac:dyDescent="0.25">
      <c r="E6717"/>
      <c r="M6717"/>
    </row>
    <row r="6718" spans="5:13" x14ac:dyDescent="0.25">
      <c r="E6718"/>
      <c r="M6718"/>
    </row>
    <row r="6719" spans="5:13" x14ac:dyDescent="0.25">
      <c r="E6719"/>
      <c r="M6719"/>
    </row>
    <row r="6720" spans="5:13" x14ac:dyDescent="0.25">
      <c r="E6720"/>
      <c r="M6720"/>
    </row>
    <row r="6721" spans="5:13" x14ac:dyDescent="0.25">
      <c r="E6721"/>
      <c r="M6721"/>
    </row>
    <row r="6722" spans="5:13" x14ac:dyDescent="0.25">
      <c r="E6722"/>
      <c r="M6722"/>
    </row>
    <row r="6723" spans="5:13" x14ac:dyDescent="0.25">
      <c r="E6723"/>
      <c r="M6723"/>
    </row>
    <row r="6724" spans="5:13" x14ac:dyDescent="0.25">
      <c r="E6724"/>
      <c r="M6724"/>
    </row>
    <row r="6725" spans="5:13" x14ac:dyDescent="0.25">
      <c r="E6725"/>
      <c r="M6725"/>
    </row>
    <row r="6726" spans="5:13" x14ac:dyDescent="0.25">
      <c r="E6726"/>
      <c r="M6726"/>
    </row>
    <row r="6727" spans="5:13" x14ac:dyDescent="0.25">
      <c r="E6727"/>
      <c r="M6727"/>
    </row>
    <row r="6728" spans="5:13" x14ac:dyDescent="0.25">
      <c r="E6728"/>
      <c r="M6728"/>
    </row>
    <row r="6729" spans="5:13" x14ac:dyDescent="0.25">
      <c r="E6729"/>
      <c r="M6729"/>
    </row>
    <row r="6730" spans="5:13" x14ac:dyDescent="0.25">
      <c r="E6730"/>
      <c r="M6730"/>
    </row>
    <row r="6731" spans="5:13" x14ac:dyDescent="0.25">
      <c r="E6731"/>
      <c r="M6731"/>
    </row>
    <row r="6732" spans="5:13" x14ac:dyDescent="0.25">
      <c r="E6732"/>
      <c r="M6732"/>
    </row>
    <row r="6733" spans="5:13" x14ac:dyDescent="0.25">
      <c r="E6733"/>
      <c r="M6733"/>
    </row>
    <row r="6734" spans="5:13" x14ac:dyDescent="0.25">
      <c r="E6734"/>
      <c r="M6734"/>
    </row>
    <row r="6735" spans="5:13" x14ac:dyDescent="0.25">
      <c r="E6735"/>
      <c r="M6735"/>
    </row>
    <row r="6736" spans="5:13" x14ac:dyDescent="0.25">
      <c r="E6736"/>
      <c r="M6736"/>
    </row>
    <row r="6737" spans="5:13" x14ac:dyDescent="0.25">
      <c r="E6737"/>
      <c r="M6737"/>
    </row>
    <row r="6738" spans="5:13" x14ac:dyDescent="0.25">
      <c r="E6738"/>
      <c r="M6738"/>
    </row>
    <row r="6739" spans="5:13" x14ac:dyDescent="0.25">
      <c r="E6739"/>
      <c r="M6739"/>
    </row>
    <row r="6740" spans="5:13" x14ac:dyDescent="0.25">
      <c r="E6740"/>
      <c r="M6740"/>
    </row>
    <row r="6741" spans="5:13" x14ac:dyDescent="0.25">
      <c r="E6741"/>
      <c r="M6741"/>
    </row>
    <row r="6742" spans="5:13" x14ac:dyDescent="0.25">
      <c r="E6742"/>
      <c r="M6742"/>
    </row>
    <row r="6743" spans="5:13" x14ac:dyDescent="0.25">
      <c r="E6743"/>
      <c r="M6743"/>
    </row>
    <row r="6744" spans="5:13" x14ac:dyDescent="0.25">
      <c r="E6744"/>
      <c r="M6744"/>
    </row>
    <row r="6745" spans="5:13" x14ac:dyDescent="0.25">
      <c r="E6745"/>
      <c r="M6745"/>
    </row>
    <row r="6746" spans="5:13" x14ac:dyDescent="0.25">
      <c r="E6746"/>
      <c r="M6746"/>
    </row>
    <row r="6747" spans="5:13" x14ac:dyDescent="0.25">
      <c r="E6747"/>
      <c r="M6747"/>
    </row>
    <row r="6748" spans="5:13" x14ac:dyDescent="0.25">
      <c r="E6748"/>
      <c r="M6748"/>
    </row>
    <row r="6749" spans="5:13" x14ac:dyDescent="0.25">
      <c r="E6749"/>
      <c r="M6749"/>
    </row>
    <row r="6750" spans="5:13" x14ac:dyDescent="0.25">
      <c r="E6750"/>
      <c r="M6750"/>
    </row>
    <row r="6751" spans="5:13" x14ac:dyDescent="0.25">
      <c r="E6751"/>
      <c r="M6751"/>
    </row>
    <row r="6752" spans="5:13" x14ac:dyDescent="0.25">
      <c r="E6752"/>
      <c r="M6752"/>
    </row>
    <row r="6753" spans="5:13" x14ac:dyDescent="0.25">
      <c r="E6753"/>
      <c r="M6753"/>
    </row>
    <row r="6754" spans="5:13" x14ac:dyDescent="0.25">
      <c r="E6754"/>
      <c r="M6754"/>
    </row>
    <row r="6755" spans="5:13" x14ac:dyDescent="0.25">
      <c r="E6755"/>
      <c r="M6755"/>
    </row>
    <row r="6756" spans="5:13" x14ac:dyDescent="0.25">
      <c r="E6756"/>
      <c r="M6756"/>
    </row>
    <row r="6757" spans="5:13" x14ac:dyDescent="0.25">
      <c r="E6757"/>
      <c r="M6757"/>
    </row>
    <row r="6758" spans="5:13" x14ac:dyDescent="0.25">
      <c r="E6758"/>
      <c r="M6758"/>
    </row>
    <row r="6759" spans="5:13" x14ac:dyDescent="0.25">
      <c r="E6759"/>
      <c r="M6759"/>
    </row>
    <row r="6760" spans="5:13" x14ac:dyDescent="0.25">
      <c r="E6760"/>
      <c r="M6760"/>
    </row>
    <row r="6761" spans="5:13" x14ac:dyDescent="0.25">
      <c r="E6761"/>
      <c r="M6761"/>
    </row>
    <row r="6762" spans="5:13" x14ac:dyDescent="0.25">
      <c r="E6762"/>
      <c r="M6762"/>
    </row>
    <row r="6763" spans="5:13" x14ac:dyDescent="0.25">
      <c r="E6763"/>
      <c r="M6763"/>
    </row>
    <row r="6764" spans="5:13" x14ac:dyDescent="0.25">
      <c r="E6764"/>
      <c r="M6764"/>
    </row>
    <row r="6765" spans="5:13" x14ac:dyDescent="0.25">
      <c r="E6765"/>
      <c r="M6765"/>
    </row>
    <row r="6766" spans="5:13" x14ac:dyDescent="0.25">
      <c r="E6766"/>
      <c r="M6766"/>
    </row>
    <row r="6767" spans="5:13" x14ac:dyDescent="0.25">
      <c r="E6767"/>
      <c r="M6767"/>
    </row>
    <row r="6768" spans="5:13" x14ac:dyDescent="0.25">
      <c r="E6768"/>
      <c r="M6768"/>
    </row>
    <row r="6769" spans="5:13" x14ac:dyDescent="0.25">
      <c r="E6769"/>
      <c r="M6769"/>
    </row>
    <row r="6770" spans="5:13" x14ac:dyDescent="0.25">
      <c r="E6770"/>
      <c r="M6770"/>
    </row>
    <row r="6771" spans="5:13" x14ac:dyDescent="0.25">
      <c r="E6771"/>
      <c r="M6771"/>
    </row>
    <row r="6772" spans="5:13" x14ac:dyDescent="0.25">
      <c r="E6772"/>
      <c r="M6772"/>
    </row>
    <row r="6773" spans="5:13" x14ac:dyDescent="0.25">
      <c r="E6773"/>
      <c r="M6773"/>
    </row>
    <row r="6774" spans="5:13" x14ac:dyDescent="0.25">
      <c r="E6774"/>
      <c r="M6774"/>
    </row>
    <row r="6775" spans="5:13" x14ac:dyDescent="0.25">
      <c r="E6775"/>
      <c r="M6775"/>
    </row>
    <row r="6776" spans="5:13" x14ac:dyDescent="0.25">
      <c r="E6776"/>
      <c r="M6776"/>
    </row>
    <row r="6777" spans="5:13" x14ac:dyDescent="0.25">
      <c r="E6777"/>
      <c r="M6777"/>
    </row>
    <row r="6778" spans="5:13" x14ac:dyDescent="0.25">
      <c r="E6778"/>
      <c r="M6778"/>
    </row>
    <row r="6779" spans="5:13" x14ac:dyDescent="0.25">
      <c r="E6779"/>
      <c r="M6779"/>
    </row>
    <row r="6780" spans="5:13" x14ac:dyDescent="0.25">
      <c r="E6780"/>
      <c r="M6780"/>
    </row>
    <row r="6781" spans="5:13" x14ac:dyDescent="0.25">
      <c r="E6781"/>
      <c r="M6781"/>
    </row>
    <row r="6782" spans="5:13" x14ac:dyDescent="0.25">
      <c r="E6782"/>
      <c r="M6782"/>
    </row>
    <row r="6783" spans="5:13" x14ac:dyDescent="0.25">
      <c r="E6783"/>
      <c r="M6783"/>
    </row>
    <row r="6784" spans="5:13" x14ac:dyDescent="0.25">
      <c r="E6784"/>
      <c r="M6784"/>
    </row>
    <row r="6785" spans="5:13" x14ac:dyDescent="0.25">
      <c r="E6785"/>
      <c r="M6785"/>
    </row>
    <row r="6786" spans="5:13" x14ac:dyDescent="0.25">
      <c r="E6786"/>
      <c r="M6786"/>
    </row>
    <row r="6787" spans="5:13" x14ac:dyDescent="0.25">
      <c r="E6787"/>
      <c r="M6787"/>
    </row>
    <row r="6788" spans="5:13" x14ac:dyDescent="0.25">
      <c r="E6788"/>
      <c r="M6788"/>
    </row>
    <row r="6789" spans="5:13" x14ac:dyDescent="0.25">
      <c r="E6789"/>
      <c r="M6789"/>
    </row>
    <row r="6790" spans="5:13" x14ac:dyDescent="0.25">
      <c r="E6790"/>
      <c r="M6790"/>
    </row>
    <row r="6791" spans="5:13" x14ac:dyDescent="0.25">
      <c r="E6791"/>
      <c r="M6791"/>
    </row>
    <row r="6792" spans="5:13" x14ac:dyDescent="0.25">
      <c r="E6792"/>
      <c r="M6792"/>
    </row>
    <row r="6793" spans="5:13" x14ac:dyDescent="0.25">
      <c r="E6793"/>
      <c r="M6793"/>
    </row>
    <row r="6794" spans="5:13" x14ac:dyDescent="0.25">
      <c r="E6794"/>
      <c r="M6794"/>
    </row>
    <row r="6795" spans="5:13" x14ac:dyDescent="0.25">
      <c r="E6795"/>
      <c r="M6795"/>
    </row>
    <row r="6796" spans="5:13" x14ac:dyDescent="0.25">
      <c r="E6796"/>
      <c r="M6796"/>
    </row>
    <row r="6797" spans="5:13" x14ac:dyDescent="0.25">
      <c r="E6797"/>
      <c r="M6797"/>
    </row>
    <row r="6798" spans="5:13" x14ac:dyDescent="0.25">
      <c r="E6798"/>
      <c r="M6798"/>
    </row>
    <row r="6799" spans="5:13" x14ac:dyDescent="0.25">
      <c r="E6799"/>
      <c r="M6799"/>
    </row>
    <row r="6800" spans="5:13" x14ac:dyDescent="0.25">
      <c r="E6800"/>
      <c r="M6800"/>
    </row>
    <row r="6801" spans="5:13" x14ac:dyDescent="0.25">
      <c r="E6801"/>
      <c r="M6801"/>
    </row>
    <row r="6802" spans="5:13" x14ac:dyDescent="0.25">
      <c r="E6802"/>
      <c r="M6802"/>
    </row>
    <row r="6803" spans="5:13" x14ac:dyDescent="0.25">
      <c r="E6803"/>
      <c r="M6803"/>
    </row>
    <row r="6804" spans="5:13" x14ac:dyDescent="0.25">
      <c r="E6804"/>
      <c r="M6804"/>
    </row>
    <row r="6805" spans="5:13" x14ac:dyDescent="0.25">
      <c r="E6805"/>
      <c r="M6805"/>
    </row>
    <row r="6806" spans="5:13" x14ac:dyDescent="0.25">
      <c r="E6806"/>
      <c r="M6806"/>
    </row>
    <row r="6807" spans="5:13" x14ac:dyDescent="0.25">
      <c r="E6807"/>
      <c r="M6807"/>
    </row>
    <row r="6808" spans="5:13" x14ac:dyDescent="0.25">
      <c r="E6808"/>
      <c r="M6808"/>
    </row>
    <row r="6809" spans="5:13" x14ac:dyDescent="0.25">
      <c r="E6809"/>
      <c r="M6809"/>
    </row>
    <row r="6810" spans="5:13" x14ac:dyDescent="0.25">
      <c r="E6810"/>
      <c r="M6810"/>
    </row>
    <row r="6811" spans="5:13" x14ac:dyDescent="0.25">
      <c r="E6811"/>
      <c r="M6811"/>
    </row>
    <row r="6812" spans="5:13" x14ac:dyDescent="0.25">
      <c r="E6812"/>
      <c r="M6812"/>
    </row>
    <row r="6813" spans="5:13" x14ac:dyDescent="0.25">
      <c r="E6813"/>
      <c r="M6813"/>
    </row>
    <row r="6814" spans="5:13" x14ac:dyDescent="0.25">
      <c r="E6814"/>
      <c r="M6814"/>
    </row>
    <row r="6815" spans="5:13" x14ac:dyDescent="0.25">
      <c r="E6815"/>
      <c r="M6815"/>
    </row>
    <row r="6816" spans="5:13" x14ac:dyDescent="0.25">
      <c r="E6816"/>
      <c r="M6816"/>
    </row>
    <row r="6817" spans="5:13" x14ac:dyDescent="0.25">
      <c r="E6817"/>
      <c r="M6817"/>
    </row>
    <row r="6818" spans="5:13" x14ac:dyDescent="0.25">
      <c r="E6818"/>
      <c r="M6818"/>
    </row>
    <row r="6819" spans="5:13" x14ac:dyDescent="0.25">
      <c r="E6819"/>
      <c r="M6819"/>
    </row>
    <row r="6820" spans="5:13" x14ac:dyDescent="0.25">
      <c r="E6820"/>
      <c r="M6820"/>
    </row>
    <row r="6821" spans="5:13" x14ac:dyDescent="0.25">
      <c r="E6821"/>
      <c r="M6821"/>
    </row>
    <row r="6822" spans="5:13" x14ac:dyDescent="0.25">
      <c r="E6822"/>
      <c r="M6822"/>
    </row>
    <row r="6823" spans="5:13" x14ac:dyDescent="0.25">
      <c r="E6823"/>
      <c r="M6823"/>
    </row>
    <row r="6824" spans="5:13" x14ac:dyDescent="0.25">
      <c r="E6824"/>
      <c r="M6824"/>
    </row>
    <row r="6825" spans="5:13" x14ac:dyDescent="0.25">
      <c r="E6825"/>
      <c r="M6825"/>
    </row>
    <row r="6826" spans="5:13" x14ac:dyDescent="0.25">
      <c r="E6826"/>
      <c r="M6826"/>
    </row>
    <row r="6827" spans="5:13" x14ac:dyDescent="0.25">
      <c r="E6827"/>
      <c r="M6827"/>
    </row>
    <row r="6828" spans="5:13" x14ac:dyDescent="0.25">
      <c r="E6828"/>
      <c r="M6828"/>
    </row>
    <row r="6829" spans="5:13" x14ac:dyDescent="0.25">
      <c r="E6829"/>
      <c r="M6829"/>
    </row>
    <row r="6830" spans="5:13" x14ac:dyDescent="0.25">
      <c r="E6830"/>
      <c r="M6830"/>
    </row>
    <row r="6831" spans="5:13" x14ac:dyDescent="0.25">
      <c r="E6831"/>
      <c r="M6831"/>
    </row>
    <row r="6832" spans="5:13" x14ac:dyDescent="0.25">
      <c r="E6832"/>
      <c r="M6832"/>
    </row>
    <row r="6833" spans="5:13" x14ac:dyDescent="0.25">
      <c r="E6833"/>
      <c r="M6833"/>
    </row>
    <row r="6834" spans="5:13" x14ac:dyDescent="0.25">
      <c r="E6834"/>
      <c r="M6834"/>
    </row>
    <row r="6835" spans="5:13" x14ac:dyDescent="0.25">
      <c r="E6835"/>
      <c r="M6835"/>
    </row>
    <row r="6836" spans="5:13" x14ac:dyDescent="0.25">
      <c r="E6836"/>
      <c r="M6836"/>
    </row>
    <row r="6837" spans="5:13" x14ac:dyDescent="0.25">
      <c r="E6837"/>
      <c r="M6837"/>
    </row>
    <row r="6838" spans="5:13" x14ac:dyDescent="0.25">
      <c r="E6838"/>
      <c r="M6838"/>
    </row>
    <row r="6839" spans="5:13" x14ac:dyDescent="0.25">
      <c r="E6839"/>
      <c r="M6839"/>
    </row>
    <row r="6840" spans="5:13" x14ac:dyDescent="0.25">
      <c r="E6840"/>
      <c r="M6840"/>
    </row>
    <row r="6841" spans="5:13" x14ac:dyDescent="0.25">
      <c r="E6841"/>
      <c r="M6841"/>
    </row>
    <row r="6842" spans="5:13" x14ac:dyDescent="0.25">
      <c r="E6842"/>
      <c r="M6842"/>
    </row>
    <row r="6843" spans="5:13" x14ac:dyDescent="0.25">
      <c r="E6843"/>
      <c r="M6843"/>
    </row>
    <row r="6844" spans="5:13" x14ac:dyDescent="0.25">
      <c r="E6844"/>
      <c r="M6844"/>
    </row>
    <row r="6845" spans="5:13" x14ac:dyDescent="0.25">
      <c r="E6845"/>
      <c r="M6845"/>
    </row>
    <row r="6846" spans="5:13" x14ac:dyDescent="0.25">
      <c r="E6846"/>
      <c r="M6846"/>
    </row>
    <row r="6847" spans="5:13" x14ac:dyDescent="0.25">
      <c r="E6847"/>
      <c r="M6847"/>
    </row>
    <row r="6848" spans="5:13" x14ac:dyDescent="0.25">
      <c r="E6848"/>
      <c r="M6848"/>
    </row>
    <row r="6849" spans="5:13" x14ac:dyDescent="0.25">
      <c r="E6849"/>
      <c r="M6849"/>
    </row>
    <row r="6850" spans="5:13" x14ac:dyDescent="0.25">
      <c r="E6850"/>
      <c r="M6850"/>
    </row>
    <row r="6851" spans="5:13" x14ac:dyDescent="0.25">
      <c r="E6851"/>
      <c r="M6851"/>
    </row>
    <row r="6852" spans="5:13" x14ac:dyDescent="0.25">
      <c r="E6852"/>
      <c r="M6852"/>
    </row>
    <row r="6853" spans="5:13" x14ac:dyDescent="0.25">
      <c r="E6853"/>
      <c r="M6853"/>
    </row>
    <row r="6854" spans="5:13" x14ac:dyDescent="0.25">
      <c r="E6854"/>
      <c r="M6854"/>
    </row>
    <row r="6855" spans="5:13" x14ac:dyDescent="0.25">
      <c r="E6855"/>
      <c r="M6855"/>
    </row>
    <row r="6856" spans="5:13" x14ac:dyDescent="0.25">
      <c r="E6856"/>
      <c r="M6856"/>
    </row>
    <row r="6857" spans="5:13" x14ac:dyDescent="0.25">
      <c r="E6857"/>
      <c r="M6857"/>
    </row>
    <row r="6858" spans="5:13" x14ac:dyDescent="0.25">
      <c r="E6858"/>
      <c r="M6858"/>
    </row>
    <row r="6859" spans="5:13" x14ac:dyDescent="0.25">
      <c r="E6859"/>
      <c r="M6859"/>
    </row>
    <row r="6860" spans="5:13" x14ac:dyDescent="0.25">
      <c r="E6860"/>
      <c r="M6860"/>
    </row>
    <row r="6861" spans="5:13" x14ac:dyDescent="0.25">
      <c r="E6861"/>
      <c r="M6861"/>
    </row>
    <row r="6862" spans="5:13" x14ac:dyDescent="0.25">
      <c r="E6862"/>
      <c r="M6862"/>
    </row>
    <row r="6863" spans="5:13" x14ac:dyDescent="0.25">
      <c r="E6863"/>
      <c r="M6863"/>
    </row>
    <row r="6864" spans="5:13" x14ac:dyDescent="0.25">
      <c r="E6864"/>
      <c r="M6864"/>
    </row>
    <row r="6865" spans="5:13" x14ac:dyDescent="0.25">
      <c r="E6865"/>
      <c r="M6865"/>
    </row>
    <row r="6866" spans="5:13" x14ac:dyDescent="0.25">
      <c r="E6866"/>
      <c r="M6866"/>
    </row>
    <row r="6867" spans="5:13" x14ac:dyDescent="0.25">
      <c r="E6867"/>
      <c r="M6867"/>
    </row>
    <row r="6868" spans="5:13" x14ac:dyDescent="0.25">
      <c r="E6868"/>
      <c r="M6868"/>
    </row>
    <row r="6869" spans="5:13" x14ac:dyDescent="0.25">
      <c r="E6869"/>
      <c r="M6869"/>
    </row>
    <row r="6870" spans="5:13" x14ac:dyDescent="0.25">
      <c r="E6870"/>
      <c r="M6870"/>
    </row>
    <row r="6871" spans="5:13" x14ac:dyDescent="0.25">
      <c r="E6871"/>
      <c r="M6871"/>
    </row>
    <row r="6872" spans="5:13" x14ac:dyDescent="0.25">
      <c r="E6872"/>
      <c r="M6872"/>
    </row>
    <row r="6873" spans="5:13" x14ac:dyDescent="0.25">
      <c r="E6873"/>
      <c r="M6873"/>
    </row>
    <row r="6874" spans="5:13" x14ac:dyDescent="0.25">
      <c r="E6874"/>
      <c r="M6874"/>
    </row>
    <row r="6875" spans="5:13" x14ac:dyDescent="0.25">
      <c r="E6875"/>
      <c r="M6875"/>
    </row>
    <row r="6876" spans="5:13" x14ac:dyDescent="0.25">
      <c r="E6876"/>
      <c r="M6876"/>
    </row>
    <row r="6877" spans="5:13" x14ac:dyDescent="0.25">
      <c r="E6877"/>
      <c r="M6877"/>
    </row>
    <row r="6878" spans="5:13" x14ac:dyDescent="0.25">
      <c r="E6878"/>
      <c r="M6878"/>
    </row>
    <row r="6879" spans="5:13" x14ac:dyDescent="0.25">
      <c r="E6879"/>
      <c r="M6879"/>
    </row>
    <row r="6880" spans="5:13" x14ac:dyDescent="0.25">
      <c r="E6880"/>
      <c r="M6880"/>
    </row>
    <row r="6881" spans="5:13" x14ac:dyDescent="0.25">
      <c r="E6881"/>
      <c r="M6881"/>
    </row>
    <row r="6882" spans="5:13" x14ac:dyDescent="0.25">
      <c r="E6882"/>
      <c r="M6882"/>
    </row>
    <row r="6883" spans="5:13" x14ac:dyDescent="0.25">
      <c r="E6883"/>
      <c r="M6883"/>
    </row>
    <row r="6884" spans="5:13" x14ac:dyDescent="0.25">
      <c r="E6884"/>
      <c r="M6884"/>
    </row>
    <row r="6885" spans="5:13" x14ac:dyDescent="0.25">
      <c r="E6885"/>
      <c r="M6885"/>
    </row>
    <row r="6886" spans="5:13" x14ac:dyDescent="0.25">
      <c r="E6886"/>
      <c r="M6886"/>
    </row>
    <row r="6887" spans="5:13" x14ac:dyDescent="0.25">
      <c r="E6887"/>
      <c r="M6887"/>
    </row>
    <row r="6888" spans="5:13" x14ac:dyDescent="0.25">
      <c r="E6888"/>
      <c r="M6888"/>
    </row>
    <row r="6889" spans="5:13" x14ac:dyDescent="0.25">
      <c r="E6889"/>
      <c r="M6889"/>
    </row>
    <row r="6890" spans="5:13" x14ac:dyDescent="0.25">
      <c r="E6890"/>
      <c r="M6890"/>
    </row>
    <row r="6891" spans="5:13" x14ac:dyDescent="0.25">
      <c r="E6891"/>
      <c r="M6891"/>
    </row>
    <row r="6892" spans="5:13" x14ac:dyDescent="0.25">
      <c r="E6892"/>
      <c r="M6892"/>
    </row>
    <row r="6893" spans="5:13" x14ac:dyDescent="0.25">
      <c r="E6893"/>
      <c r="M6893"/>
    </row>
    <row r="6894" spans="5:13" x14ac:dyDescent="0.25">
      <c r="E6894"/>
      <c r="M6894"/>
    </row>
    <row r="6895" spans="5:13" x14ac:dyDescent="0.25">
      <c r="E6895"/>
      <c r="M6895"/>
    </row>
    <row r="6896" spans="5:13" x14ac:dyDescent="0.25">
      <c r="E6896"/>
      <c r="M6896"/>
    </row>
    <row r="6897" spans="5:13" x14ac:dyDescent="0.25">
      <c r="E6897"/>
      <c r="M6897"/>
    </row>
    <row r="6898" spans="5:13" x14ac:dyDescent="0.25">
      <c r="E6898"/>
      <c r="M6898"/>
    </row>
    <row r="6899" spans="5:13" x14ac:dyDescent="0.25">
      <c r="E6899"/>
      <c r="M6899"/>
    </row>
    <row r="6900" spans="5:13" x14ac:dyDescent="0.25">
      <c r="E6900"/>
      <c r="M6900"/>
    </row>
    <row r="6901" spans="5:13" x14ac:dyDescent="0.25">
      <c r="E6901"/>
      <c r="M6901"/>
    </row>
    <row r="6902" spans="5:13" x14ac:dyDescent="0.25">
      <c r="E6902"/>
      <c r="M6902"/>
    </row>
    <row r="6903" spans="5:13" x14ac:dyDescent="0.25">
      <c r="E6903"/>
      <c r="M6903"/>
    </row>
    <row r="6904" spans="5:13" x14ac:dyDescent="0.25">
      <c r="E6904"/>
      <c r="M6904"/>
    </row>
    <row r="6905" spans="5:13" x14ac:dyDescent="0.25">
      <c r="E6905"/>
      <c r="M6905"/>
    </row>
    <row r="6906" spans="5:13" x14ac:dyDescent="0.25">
      <c r="E6906"/>
      <c r="M6906"/>
    </row>
    <row r="6907" spans="5:13" x14ac:dyDescent="0.25">
      <c r="E6907"/>
      <c r="M6907"/>
    </row>
    <row r="6908" spans="5:13" x14ac:dyDescent="0.25">
      <c r="E6908"/>
      <c r="M6908"/>
    </row>
    <row r="6909" spans="5:13" x14ac:dyDescent="0.25">
      <c r="E6909"/>
      <c r="M6909"/>
    </row>
    <row r="6910" spans="5:13" x14ac:dyDescent="0.25">
      <c r="E6910"/>
      <c r="M6910"/>
    </row>
    <row r="6911" spans="5:13" x14ac:dyDescent="0.25">
      <c r="E6911"/>
      <c r="M6911"/>
    </row>
    <row r="6912" spans="5:13" x14ac:dyDescent="0.25">
      <c r="E6912"/>
      <c r="M6912"/>
    </row>
    <row r="6913" spans="5:13" x14ac:dyDescent="0.25">
      <c r="E6913"/>
      <c r="M6913"/>
    </row>
    <row r="6914" spans="5:13" x14ac:dyDescent="0.25">
      <c r="E6914"/>
      <c r="M6914"/>
    </row>
    <row r="6915" spans="5:13" x14ac:dyDescent="0.25">
      <c r="E6915"/>
      <c r="M6915"/>
    </row>
    <row r="6916" spans="5:13" x14ac:dyDescent="0.25">
      <c r="E6916"/>
      <c r="M6916"/>
    </row>
    <row r="6917" spans="5:13" x14ac:dyDescent="0.25">
      <c r="E6917"/>
      <c r="M6917"/>
    </row>
    <row r="6918" spans="5:13" x14ac:dyDescent="0.25">
      <c r="E6918"/>
      <c r="M6918"/>
    </row>
    <row r="6919" spans="5:13" x14ac:dyDescent="0.25">
      <c r="E6919"/>
      <c r="M6919"/>
    </row>
    <row r="6920" spans="5:13" x14ac:dyDescent="0.25">
      <c r="E6920"/>
      <c r="M6920"/>
    </row>
    <row r="6921" spans="5:13" x14ac:dyDescent="0.25">
      <c r="E6921"/>
      <c r="M6921"/>
    </row>
    <row r="6922" spans="5:13" x14ac:dyDescent="0.25">
      <c r="E6922"/>
      <c r="M6922"/>
    </row>
    <row r="6923" spans="5:13" x14ac:dyDescent="0.25">
      <c r="E6923"/>
      <c r="M6923"/>
    </row>
    <row r="6924" spans="5:13" x14ac:dyDescent="0.25">
      <c r="E6924"/>
      <c r="M6924"/>
    </row>
    <row r="6925" spans="5:13" x14ac:dyDescent="0.25">
      <c r="E6925"/>
      <c r="M6925"/>
    </row>
    <row r="6926" spans="5:13" x14ac:dyDescent="0.25">
      <c r="E6926"/>
      <c r="M6926"/>
    </row>
    <row r="6927" spans="5:13" x14ac:dyDescent="0.25">
      <c r="E6927"/>
      <c r="M6927"/>
    </row>
    <row r="6928" spans="5:13" x14ac:dyDescent="0.25">
      <c r="E6928"/>
      <c r="M6928"/>
    </row>
    <row r="6929" spans="5:13" x14ac:dyDescent="0.25">
      <c r="E6929"/>
      <c r="M6929"/>
    </row>
    <row r="6930" spans="5:13" x14ac:dyDescent="0.25">
      <c r="E6930"/>
      <c r="M6930"/>
    </row>
    <row r="6931" spans="5:13" x14ac:dyDescent="0.25">
      <c r="E6931"/>
      <c r="M6931"/>
    </row>
    <row r="6932" spans="5:13" x14ac:dyDescent="0.25">
      <c r="E6932"/>
      <c r="M6932"/>
    </row>
    <row r="6933" spans="5:13" x14ac:dyDescent="0.25">
      <c r="E6933"/>
      <c r="M6933"/>
    </row>
    <row r="6934" spans="5:13" x14ac:dyDescent="0.25">
      <c r="E6934"/>
      <c r="M6934"/>
    </row>
    <row r="6935" spans="5:13" x14ac:dyDescent="0.25">
      <c r="E6935"/>
      <c r="M6935"/>
    </row>
    <row r="6936" spans="5:13" x14ac:dyDescent="0.25">
      <c r="E6936"/>
      <c r="M6936"/>
    </row>
    <row r="6937" spans="5:13" x14ac:dyDescent="0.25">
      <c r="E6937"/>
      <c r="M6937"/>
    </row>
    <row r="6938" spans="5:13" x14ac:dyDescent="0.25">
      <c r="E6938"/>
      <c r="M6938"/>
    </row>
    <row r="6939" spans="5:13" x14ac:dyDescent="0.25">
      <c r="E6939"/>
      <c r="M6939"/>
    </row>
    <row r="6940" spans="5:13" x14ac:dyDescent="0.25">
      <c r="E6940"/>
      <c r="M6940"/>
    </row>
    <row r="6941" spans="5:13" x14ac:dyDescent="0.25">
      <c r="E6941"/>
      <c r="M6941"/>
    </row>
    <row r="6942" spans="5:13" x14ac:dyDescent="0.25">
      <c r="E6942"/>
      <c r="M6942"/>
    </row>
    <row r="6943" spans="5:13" x14ac:dyDescent="0.25">
      <c r="E6943"/>
      <c r="M6943"/>
    </row>
    <row r="6944" spans="5:13" x14ac:dyDescent="0.25">
      <c r="E6944"/>
      <c r="M6944"/>
    </row>
    <row r="6945" spans="5:13" x14ac:dyDescent="0.25">
      <c r="E6945"/>
      <c r="M6945"/>
    </row>
    <row r="6946" spans="5:13" x14ac:dyDescent="0.25">
      <c r="E6946"/>
      <c r="M6946"/>
    </row>
    <row r="6947" spans="5:13" x14ac:dyDescent="0.25">
      <c r="E6947"/>
      <c r="M6947"/>
    </row>
    <row r="6948" spans="5:13" x14ac:dyDescent="0.25">
      <c r="E6948"/>
      <c r="M6948"/>
    </row>
    <row r="6949" spans="5:13" x14ac:dyDescent="0.25">
      <c r="E6949"/>
      <c r="M6949"/>
    </row>
    <row r="6950" spans="5:13" x14ac:dyDescent="0.25">
      <c r="E6950"/>
      <c r="M6950"/>
    </row>
    <row r="6951" spans="5:13" x14ac:dyDescent="0.25">
      <c r="E6951"/>
      <c r="M6951"/>
    </row>
    <row r="6952" spans="5:13" x14ac:dyDescent="0.25">
      <c r="E6952"/>
      <c r="M6952"/>
    </row>
    <row r="6953" spans="5:13" x14ac:dyDescent="0.25">
      <c r="E6953"/>
      <c r="M6953"/>
    </row>
    <row r="6954" spans="5:13" x14ac:dyDescent="0.25">
      <c r="E6954"/>
      <c r="M6954"/>
    </row>
    <row r="6955" spans="5:13" x14ac:dyDescent="0.25">
      <c r="E6955"/>
      <c r="M6955"/>
    </row>
    <row r="6956" spans="5:13" x14ac:dyDescent="0.25">
      <c r="E6956"/>
      <c r="M6956"/>
    </row>
    <row r="6957" spans="5:13" x14ac:dyDescent="0.25">
      <c r="E6957"/>
      <c r="M6957"/>
    </row>
    <row r="6958" spans="5:13" x14ac:dyDescent="0.25">
      <c r="E6958"/>
      <c r="M6958"/>
    </row>
    <row r="6959" spans="5:13" x14ac:dyDescent="0.25">
      <c r="E6959"/>
      <c r="M6959"/>
    </row>
    <row r="6960" spans="5:13" x14ac:dyDescent="0.25">
      <c r="E6960"/>
      <c r="M6960"/>
    </row>
    <row r="6961" spans="5:13" x14ac:dyDescent="0.25">
      <c r="E6961"/>
      <c r="M6961"/>
    </row>
    <row r="6962" spans="5:13" x14ac:dyDescent="0.25">
      <c r="E6962"/>
      <c r="M6962"/>
    </row>
    <row r="6963" spans="5:13" x14ac:dyDescent="0.25">
      <c r="E6963"/>
      <c r="M6963"/>
    </row>
    <row r="6964" spans="5:13" x14ac:dyDescent="0.25">
      <c r="E6964"/>
      <c r="M6964"/>
    </row>
    <row r="6965" spans="5:13" x14ac:dyDescent="0.25">
      <c r="E6965"/>
      <c r="M6965"/>
    </row>
    <row r="6966" spans="5:13" x14ac:dyDescent="0.25">
      <c r="E6966"/>
      <c r="M6966"/>
    </row>
    <row r="6967" spans="5:13" x14ac:dyDescent="0.25">
      <c r="E6967"/>
      <c r="M6967"/>
    </row>
    <row r="6968" spans="5:13" x14ac:dyDescent="0.25">
      <c r="E6968"/>
      <c r="M6968"/>
    </row>
    <row r="6969" spans="5:13" x14ac:dyDescent="0.25">
      <c r="E6969"/>
      <c r="M6969"/>
    </row>
    <row r="6970" spans="5:13" x14ac:dyDescent="0.25">
      <c r="E6970"/>
      <c r="M6970"/>
    </row>
    <row r="6971" spans="5:13" x14ac:dyDescent="0.25">
      <c r="E6971"/>
      <c r="M6971"/>
    </row>
    <row r="6972" spans="5:13" x14ac:dyDescent="0.25">
      <c r="E6972"/>
      <c r="M6972"/>
    </row>
    <row r="6973" spans="5:13" x14ac:dyDescent="0.25">
      <c r="E6973"/>
      <c r="M6973"/>
    </row>
    <row r="6974" spans="5:13" x14ac:dyDescent="0.25">
      <c r="E6974"/>
      <c r="M6974"/>
    </row>
    <row r="6975" spans="5:13" x14ac:dyDescent="0.25">
      <c r="E6975"/>
      <c r="M6975"/>
    </row>
    <row r="6976" spans="5:13" x14ac:dyDescent="0.25">
      <c r="E6976"/>
      <c r="M6976"/>
    </row>
    <row r="6977" spans="5:13" x14ac:dyDescent="0.25">
      <c r="E6977"/>
      <c r="M6977"/>
    </row>
    <row r="6978" spans="5:13" x14ac:dyDescent="0.25">
      <c r="E6978"/>
      <c r="M6978"/>
    </row>
    <row r="6979" spans="5:13" x14ac:dyDescent="0.25">
      <c r="E6979"/>
      <c r="M6979"/>
    </row>
    <row r="6980" spans="5:13" x14ac:dyDescent="0.25">
      <c r="E6980"/>
      <c r="M6980"/>
    </row>
    <row r="6981" spans="5:13" x14ac:dyDescent="0.25">
      <c r="E6981"/>
      <c r="M6981"/>
    </row>
    <row r="6982" spans="5:13" x14ac:dyDescent="0.25">
      <c r="E6982"/>
      <c r="M6982"/>
    </row>
    <row r="6983" spans="5:13" x14ac:dyDescent="0.25">
      <c r="E6983"/>
      <c r="M6983"/>
    </row>
    <row r="6984" spans="5:13" x14ac:dyDescent="0.25">
      <c r="E6984"/>
      <c r="M6984"/>
    </row>
    <row r="6985" spans="5:13" x14ac:dyDescent="0.25">
      <c r="E6985"/>
      <c r="M6985"/>
    </row>
    <row r="6986" spans="5:13" x14ac:dyDescent="0.25">
      <c r="E6986"/>
      <c r="M6986"/>
    </row>
    <row r="6987" spans="5:13" x14ac:dyDescent="0.25">
      <c r="E6987"/>
      <c r="M6987"/>
    </row>
    <row r="6988" spans="5:13" x14ac:dyDescent="0.25">
      <c r="E6988"/>
      <c r="M6988"/>
    </row>
    <row r="6989" spans="5:13" x14ac:dyDescent="0.25">
      <c r="E6989"/>
      <c r="M6989"/>
    </row>
    <row r="6990" spans="5:13" x14ac:dyDescent="0.25">
      <c r="E6990"/>
      <c r="M6990"/>
    </row>
    <row r="6991" spans="5:13" x14ac:dyDescent="0.25">
      <c r="E6991"/>
      <c r="M6991"/>
    </row>
    <row r="6992" spans="5:13" x14ac:dyDescent="0.25">
      <c r="E6992"/>
      <c r="M6992"/>
    </row>
    <row r="6993" spans="5:13" x14ac:dyDescent="0.25">
      <c r="E6993"/>
      <c r="M6993"/>
    </row>
    <row r="6994" spans="5:13" x14ac:dyDescent="0.25">
      <c r="E6994"/>
      <c r="M6994"/>
    </row>
    <row r="6995" spans="5:13" x14ac:dyDescent="0.25">
      <c r="E6995"/>
      <c r="M6995"/>
    </row>
    <row r="6996" spans="5:13" x14ac:dyDescent="0.25">
      <c r="E6996"/>
      <c r="M6996"/>
    </row>
    <row r="6997" spans="5:13" x14ac:dyDescent="0.25">
      <c r="E6997"/>
      <c r="M6997"/>
    </row>
    <row r="6998" spans="5:13" x14ac:dyDescent="0.25">
      <c r="E6998"/>
      <c r="M6998"/>
    </row>
    <row r="6999" spans="5:13" x14ac:dyDescent="0.25">
      <c r="E6999"/>
      <c r="M6999"/>
    </row>
    <row r="7000" spans="5:13" x14ac:dyDescent="0.25">
      <c r="E7000"/>
      <c r="M7000"/>
    </row>
    <row r="7001" spans="5:13" x14ac:dyDescent="0.25">
      <c r="E7001"/>
      <c r="M7001"/>
    </row>
    <row r="7002" spans="5:13" x14ac:dyDescent="0.25">
      <c r="E7002"/>
      <c r="M7002"/>
    </row>
    <row r="7003" spans="5:13" x14ac:dyDescent="0.25">
      <c r="E7003"/>
      <c r="M7003"/>
    </row>
    <row r="7004" spans="5:13" x14ac:dyDescent="0.25">
      <c r="E7004"/>
      <c r="M7004"/>
    </row>
    <row r="7005" spans="5:13" x14ac:dyDescent="0.25">
      <c r="E7005"/>
      <c r="M7005"/>
    </row>
    <row r="7006" spans="5:13" x14ac:dyDescent="0.25">
      <c r="E7006"/>
      <c r="M7006"/>
    </row>
    <row r="7007" spans="5:13" x14ac:dyDescent="0.25">
      <c r="E7007"/>
      <c r="M7007"/>
    </row>
    <row r="7008" spans="5:13" x14ac:dyDescent="0.25">
      <c r="E7008"/>
      <c r="M7008"/>
    </row>
    <row r="7009" spans="5:13" x14ac:dyDescent="0.25">
      <c r="E7009"/>
      <c r="M7009"/>
    </row>
    <row r="7010" spans="5:13" x14ac:dyDescent="0.25">
      <c r="E7010"/>
      <c r="M7010"/>
    </row>
    <row r="7011" spans="5:13" x14ac:dyDescent="0.25">
      <c r="E7011"/>
      <c r="M7011"/>
    </row>
    <row r="7012" spans="5:13" x14ac:dyDescent="0.25">
      <c r="E7012"/>
      <c r="M7012"/>
    </row>
    <row r="7013" spans="5:13" x14ac:dyDescent="0.25">
      <c r="E7013"/>
      <c r="M7013"/>
    </row>
    <row r="7014" spans="5:13" x14ac:dyDescent="0.25">
      <c r="E7014"/>
      <c r="M7014"/>
    </row>
    <row r="7015" spans="5:13" x14ac:dyDescent="0.25">
      <c r="E7015"/>
      <c r="M7015"/>
    </row>
    <row r="7016" spans="5:13" x14ac:dyDescent="0.25">
      <c r="E7016"/>
      <c r="M7016"/>
    </row>
    <row r="7017" spans="5:13" x14ac:dyDescent="0.25">
      <c r="E7017"/>
      <c r="M7017"/>
    </row>
    <row r="7018" spans="5:13" x14ac:dyDescent="0.25">
      <c r="E7018"/>
      <c r="M7018"/>
    </row>
    <row r="7019" spans="5:13" x14ac:dyDescent="0.25">
      <c r="E7019"/>
      <c r="M7019"/>
    </row>
    <row r="7020" spans="5:13" x14ac:dyDescent="0.25">
      <c r="E7020"/>
      <c r="M7020"/>
    </row>
    <row r="7021" spans="5:13" x14ac:dyDescent="0.25">
      <c r="E7021"/>
      <c r="M7021"/>
    </row>
    <row r="7022" spans="5:13" x14ac:dyDescent="0.25">
      <c r="E7022"/>
      <c r="M7022"/>
    </row>
    <row r="7023" spans="5:13" x14ac:dyDescent="0.25">
      <c r="E7023"/>
      <c r="M7023"/>
    </row>
    <row r="7024" spans="5:13" x14ac:dyDescent="0.25">
      <c r="E7024"/>
      <c r="M7024"/>
    </row>
    <row r="7025" spans="5:13" x14ac:dyDescent="0.25">
      <c r="E7025"/>
      <c r="M7025"/>
    </row>
    <row r="7026" spans="5:13" x14ac:dyDescent="0.25">
      <c r="E7026"/>
      <c r="M7026"/>
    </row>
    <row r="7027" spans="5:13" x14ac:dyDescent="0.25">
      <c r="E7027"/>
      <c r="M7027"/>
    </row>
    <row r="7028" spans="5:13" x14ac:dyDescent="0.25">
      <c r="E7028"/>
      <c r="M7028"/>
    </row>
    <row r="7029" spans="5:13" x14ac:dyDescent="0.25">
      <c r="E7029"/>
      <c r="M7029"/>
    </row>
    <row r="7030" spans="5:13" x14ac:dyDescent="0.25">
      <c r="E7030"/>
      <c r="M7030"/>
    </row>
    <row r="7031" spans="5:13" x14ac:dyDescent="0.25">
      <c r="E7031"/>
      <c r="M7031"/>
    </row>
    <row r="7032" spans="5:13" x14ac:dyDescent="0.25">
      <c r="E7032"/>
      <c r="M7032"/>
    </row>
    <row r="7033" spans="5:13" x14ac:dyDescent="0.25">
      <c r="E7033"/>
      <c r="M7033"/>
    </row>
    <row r="7034" spans="5:13" x14ac:dyDescent="0.25">
      <c r="E7034"/>
      <c r="M7034"/>
    </row>
    <row r="7035" spans="5:13" x14ac:dyDescent="0.25">
      <c r="E7035"/>
      <c r="M7035"/>
    </row>
    <row r="7036" spans="5:13" x14ac:dyDescent="0.25">
      <c r="E7036"/>
      <c r="M7036"/>
    </row>
    <row r="7037" spans="5:13" x14ac:dyDescent="0.25">
      <c r="E7037"/>
      <c r="M7037"/>
    </row>
    <row r="7038" spans="5:13" x14ac:dyDescent="0.25">
      <c r="E7038"/>
      <c r="M7038"/>
    </row>
    <row r="7039" spans="5:13" x14ac:dyDescent="0.25">
      <c r="E7039"/>
      <c r="M7039"/>
    </row>
    <row r="7040" spans="5:13" x14ac:dyDescent="0.25">
      <c r="E7040"/>
      <c r="M7040"/>
    </row>
    <row r="7041" spans="5:13" x14ac:dyDescent="0.25">
      <c r="E7041"/>
      <c r="M7041"/>
    </row>
    <row r="7042" spans="5:13" x14ac:dyDescent="0.25">
      <c r="E7042"/>
      <c r="M7042"/>
    </row>
    <row r="7043" spans="5:13" x14ac:dyDescent="0.25">
      <c r="E7043"/>
      <c r="M7043"/>
    </row>
    <row r="7044" spans="5:13" x14ac:dyDescent="0.25">
      <c r="E7044"/>
      <c r="M7044"/>
    </row>
    <row r="7045" spans="5:13" x14ac:dyDescent="0.25">
      <c r="E7045"/>
      <c r="M7045"/>
    </row>
    <row r="7046" spans="5:13" x14ac:dyDescent="0.25">
      <c r="E7046"/>
      <c r="M7046"/>
    </row>
    <row r="7047" spans="5:13" x14ac:dyDescent="0.25">
      <c r="E7047"/>
      <c r="M7047"/>
    </row>
    <row r="7048" spans="5:13" x14ac:dyDescent="0.25">
      <c r="E7048"/>
      <c r="M7048"/>
    </row>
    <row r="7049" spans="5:13" x14ac:dyDescent="0.25">
      <c r="E7049"/>
      <c r="M7049"/>
    </row>
    <row r="7050" spans="5:13" x14ac:dyDescent="0.25">
      <c r="E7050"/>
      <c r="M7050"/>
    </row>
    <row r="7051" spans="5:13" x14ac:dyDescent="0.25">
      <c r="E7051"/>
      <c r="M7051"/>
    </row>
    <row r="7052" spans="5:13" x14ac:dyDescent="0.25">
      <c r="E7052"/>
      <c r="M7052"/>
    </row>
    <row r="7053" spans="5:13" x14ac:dyDescent="0.25">
      <c r="E7053"/>
      <c r="M7053"/>
    </row>
    <row r="7054" spans="5:13" x14ac:dyDescent="0.25">
      <c r="E7054"/>
      <c r="M7054"/>
    </row>
    <row r="7055" spans="5:13" x14ac:dyDescent="0.25">
      <c r="E7055"/>
      <c r="M7055"/>
    </row>
    <row r="7056" spans="5:13" x14ac:dyDescent="0.25">
      <c r="E7056"/>
      <c r="M7056"/>
    </row>
    <row r="7057" spans="5:13" x14ac:dyDescent="0.25">
      <c r="E7057"/>
      <c r="M7057"/>
    </row>
    <row r="7058" spans="5:13" x14ac:dyDescent="0.25">
      <c r="E7058"/>
      <c r="M7058"/>
    </row>
    <row r="7059" spans="5:13" x14ac:dyDescent="0.25">
      <c r="E7059"/>
      <c r="M7059"/>
    </row>
    <row r="7060" spans="5:13" x14ac:dyDescent="0.25">
      <c r="E7060"/>
      <c r="M7060"/>
    </row>
    <row r="7061" spans="5:13" x14ac:dyDescent="0.25">
      <c r="E7061"/>
      <c r="M7061"/>
    </row>
    <row r="7062" spans="5:13" x14ac:dyDescent="0.25">
      <c r="E7062"/>
      <c r="M7062"/>
    </row>
    <row r="7063" spans="5:13" x14ac:dyDescent="0.25">
      <c r="E7063"/>
      <c r="M7063"/>
    </row>
    <row r="7064" spans="5:13" x14ac:dyDescent="0.25">
      <c r="E7064"/>
      <c r="M7064"/>
    </row>
    <row r="7065" spans="5:13" x14ac:dyDescent="0.25">
      <c r="E7065"/>
      <c r="M7065"/>
    </row>
    <row r="7066" spans="5:13" x14ac:dyDescent="0.25">
      <c r="E7066"/>
      <c r="M7066"/>
    </row>
    <row r="7067" spans="5:13" x14ac:dyDescent="0.25">
      <c r="E7067"/>
      <c r="M7067"/>
    </row>
    <row r="7068" spans="5:13" x14ac:dyDescent="0.25">
      <c r="E7068"/>
      <c r="M7068"/>
    </row>
    <row r="7069" spans="5:13" x14ac:dyDescent="0.25">
      <c r="E7069"/>
      <c r="M7069"/>
    </row>
    <row r="7070" spans="5:13" x14ac:dyDescent="0.25">
      <c r="E7070"/>
      <c r="M7070"/>
    </row>
    <row r="7071" spans="5:13" x14ac:dyDescent="0.25">
      <c r="E7071"/>
      <c r="M7071"/>
    </row>
    <row r="7072" spans="5:13" x14ac:dyDescent="0.25">
      <c r="E7072"/>
      <c r="M7072"/>
    </row>
    <row r="7073" spans="5:13" x14ac:dyDescent="0.25">
      <c r="E7073"/>
      <c r="M7073"/>
    </row>
    <row r="7074" spans="5:13" x14ac:dyDescent="0.25">
      <c r="E7074"/>
      <c r="M7074"/>
    </row>
    <row r="7075" spans="5:13" x14ac:dyDescent="0.25">
      <c r="E7075"/>
      <c r="M7075"/>
    </row>
    <row r="7076" spans="5:13" x14ac:dyDescent="0.25">
      <c r="E7076"/>
      <c r="M7076"/>
    </row>
    <row r="7077" spans="5:13" x14ac:dyDescent="0.25">
      <c r="E7077"/>
      <c r="M7077"/>
    </row>
    <row r="7078" spans="5:13" x14ac:dyDescent="0.25">
      <c r="E7078"/>
      <c r="M7078"/>
    </row>
    <row r="7079" spans="5:13" x14ac:dyDescent="0.25">
      <c r="E7079"/>
      <c r="M7079"/>
    </row>
    <row r="7080" spans="5:13" x14ac:dyDescent="0.25">
      <c r="E7080"/>
      <c r="M7080"/>
    </row>
    <row r="7081" spans="5:13" x14ac:dyDescent="0.25">
      <c r="E7081"/>
      <c r="M7081"/>
    </row>
    <row r="7082" spans="5:13" x14ac:dyDescent="0.25">
      <c r="E7082"/>
      <c r="M7082"/>
    </row>
    <row r="7083" spans="5:13" x14ac:dyDescent="0.25">
      <c r="E7083"/>
      <c r="M7083"/>
    </row>
    <row r="7084" spans="5:13" x14ac:dyDescent="0.25">
      <c r="E7084"/>
      <c r="M7084"/>
    </row>
    <row r="7085" spans="5:13" x14ac:dyDescent="0.25">
      <c r="E7085"/>
      <c r="M7085"/>
    </row>
    <row r="7086" spans="5:13" x14ac:dyDescent="0.25">
      <c r="E7086"/>
      <c r="M7086"/>
    </row>
    <row r="7087" spans="5:13" x14ac:dyDescent="0.25">
      <c r="E7087"/>
      <c r="M7087"/>
    </row>
    <row r="7088" spans="5:13" x14ac:dyDescent="0.25">
      <c r="E7088"/>
      <c r="M7088"/>
    </row>
    <row r="7089" spans="5:13" x14ac:dyDescent="0.25">
      <c r="E7089"/>
      <c r="M7089"/>
    </row>
    <row r="7090" spans="5:13" x14ac:dyDescent="0.25">
      <c r="E7090"/>
      <c r="M7090"/>
    </row>
    <row r="7091" spans="5:13" x14ac:dyDescent="0.25">
      <c r="E7091"/>
      <c r="M7091"/>
    </row>
    <row r="7092" spans="5:13" x14ac:dyDescent="0.25">
      <c r="E7092"/>
      <c r="M7092"/>
    </row>
    <row r="7093" spans="5:13" x14ac:dyDescent="0.25">
      <c r="E7093"/>
      <c r="M7093"/>
    </row>
    <row r="7094" spans="5:13" x14ac:dyDescent="0.25">
      <c r="E7094"/>
      <c r="M7094"/>
    </row>
    <row r="7095" spans="5:13" x14ac:dyDescent="0.25">
      <c r="E7095"/>
      <c r="M7095"/>
    </row>
    <row r="7096" spans="5:13" x14ac:dyDescent="0.25">
      <c r="E7096"/>
      <c r="M7096"/>
    </row>
    <row r="7097" spans="5:13" x14ac:dyDescent="0.25">
      <c r="E7097"/>
      <c r="M7097"/>
    </row>
    <row r="7098" spans="5:13" x14ac:dyDescent="0.25">
      <c r="E7098"/>
      <c r="M7098"/>
    </row>
    <row r="7099" spans="5:13" x14ac:dyDescent="0.25">
      <c r="E7099"/>
      <c r="M7099"/>
    </row>
    <row r="7100" spans="5:13" x14ac:dyDescent="0.25">
      <c r="E7100"/>
      <c r="M7100"/>
    </row>
    <row r="7101" spans="5:13" x14ac:dyDescent="0.25">
      <c r="E7101"/>
      <c r="M7101"/>
    </row>
    <row r="7102" spans="5:13" x14ac:dyDescent="0.25">
      <c r="E7102"/>
      <c r="M7102"/>
    </row>
    <row r="7103" spans="5:13" x14ac:dyDescent="0.25">
      <c r="E7103"/>
      <c r="M7103"/>
    </row>
    <row r="7104" spans="5:13" x14ac:dyDescent="0.25">
      <c r="E7104"/>
      <c r="M7104"/>
    </row>
    <row r="7105" spans="5:13" x14ac:dyDescent="0.25">
      <c r="E7105"/>
      <c r="M7105"/>
    </row>
    <row r="7106" spans="5:13" x14ac:dyDescent="0.25">
      <c r="E7106"/>
      <c r="M7106"/>
    </row>
    <row r="7107" spans="5:13" x14ac:dyDescent="0.25">
      <c r="E7107"/>
      <c r="M7107"/>
    </row>
    <row r="7108" spans="5:13" x14ac:dyDescent="0.25">
      <c r="E7108"/>
      <c r="M7108"/>
    </row>
    <row r="7109" spans="5:13" x14ac:dyDescent="0.25">
      <c r="E7109"/>
      <c r="M7109"/>
    </row>
    <row r="7110" spans="5:13" x14ac:dyDescent="0.25">
      <c r="E7110"/>
      <c r="M7110"/>
    </row>
    <row r="7111" spans="5:13" x14ac:dyDescent="0.25">
      <c r="E7111"/>
      <c r="M7111"/>
    </row>
    <row r="7112" spans="5:13" x14ac:dyDescent="0.25">
      <c r="E7112"/>
      <c r="M7112"/>
    </row>
    <row r="7113" spans="5:13" x14ac:dyDescent="0.25">
      <c r="E7113"/>
      <c r="M7113"/>
    </row>
    <row r="7114" spans="5:13" x14ac:dyDescent="0.25">
      <c r="E7114"/>
      <c r="M7114"/>
    </row>
    <row r="7115" spans="5:13" x14ac:dyDescent="0.25">
      <c r="E7115"/>
      <c r="M7115"/>
    </row>
    <row r="7116" spans="5:13" x14ac:dyDescent="0.25">
      <c r="E7116"/>
      <c r="M7116"/>
    </row>
    <row r="7117" spans="5:13" x14ac:dyDescent="0.25">
      <c r="E7117"/>
      <c r="M7117"/>
    </row>
    <row r="7118" spans="5:13" x14ac:dyDescent="0.25">
      <c r="E7118"/>
      <c r="M7118"/>
    </row>
    <row r="7119" spans="5:13" x14ac:dyDescent="0.25">
      <c r="E7119"/>
      <c r="M7119"/>
    </row>
    <row r="7120" spans="5:13" x14ac:dyDescent="0.25">
      <c r="E7120"/>
      <c r="M7120"/>
    </row>
    <row r="7121" spans="5:13" x14ac:dyDescent="0.25">
      <c r="E7121"/>
      <c r="M7121"/>
    </row>
    <row r="7122" spans="5:13" x14ac:dyDescent="0.25">
      <c r="E7122"/>
      <c r="M7122"/>
    </row>
    <row r="7123" spans="5:13" x14ac:dyDescent="0.25">
      <c r="E7123"/>
      <c r="M7123"/>
    </row>
    <row r="7124" spans="5:13" x14ac:dyDescent="0.25">
      <c r="E7124"/>
      <c r="M7124"/>
    </row>
    <row r="7125" spans="5:13" x14ac:dyDescent="0.25">
      <c r="E7125"/>
      <c r="M7125"/>
    </row>
    <row r="7126" spans="5:13" x14ac:dyDescent="0.25">
      <c r="E7126"/>
      <c r="M7126"/>
    </row>
    <row r="7127" spans="5:13" x14ac:dyDescent="0.25">
      <c r="E7127"/>
      <c r="M7127"/>
    </row>
    <row r="7128" spans="5:13" x14ac:dyDescent="0.25">
      <c r="E7128"/>
      <c r="M7128"/>
    </row>
    <row r="7129" spans="5:13" x14ac:dyDescent="0.25">
      <c r="E7129"/>
      <c r="M7129"/>
    </row>
    <row r="7130" spans="5:13" x14ac:dyDescent="0.25">
      <c r="E7130"/>
      <c r="M7130"/>
    </row>
    <row r="7131" spans="5:13" x14ac:dyDescent="0.25">
      <c r="E7131"/>
      <c r="M7131"/>
    </row>
    <row r="7132" spans="5:13" x14ac:dyDescent="0.25">
      <c r="E7132"/>
      <c r="M7132"/>
    </row>
    <row r="7133" spans="5:13" x14ac:dyDescent="0.25">
      <c r="E7133"/>
      <c r="M7133"/>
    </row>
    <row r="7134" spans="5:13" x14ac:dyDescent="0.25">
      <c r="E7134"/>
      <c r="M7134"/>
    </row>
    <row r="7135" spans="5:13" x14ac:dyDescent="0.25">
      <c r="E7135"/>
      <c r="M7135"/>
    </row>
    <row r="7136" spans="5:13" x14ac:dyDescent="0.25">
      <c r="E7136"/>
      <c r="M7136"/>
    </row>
    <row r="7137" spans="5:13" x14ac:dyDescent="0.25">
      <c r="E7137"/>
      <c r="M7137"/>
    </row>
    <row r="7138" spans="5:13" x14ac:dyDescent="0.25">
      <c r="E7138"/>
      <c r="M7138"/>
    </row>
    <row r="7139" spans="5:13" x14ac:dyDescent="0.25">
      <c r="E7139"/>
      <c r="M7139"/>
    </row>
    <row r="7140" spans="5:13" x14ac:dyDescent="0.25">
      <c r="E7140"/>
      <c r="M7140"/>
    </row>
    <row r="7141" spans="5:13" x14ac:dyDescent="0.25">
      <c r="E7141"/>
      <c r="M7141"/>
    </row>
    <row r="7142" spans="5:13" x14ac:dyDescent="0.25">
      <c r="E7142"/>
      <c r="M7142"/>
    </row>
    <row r="7143" spans="5:13" x14ac:dyDescent="0.25">
      <c r="E7143"/>
      <c r="M7143"/>
    </row>
    <row r="7144" spans="5:13" x14ac:dyDescent="0.25">
      <c r="E7144"/>
      <c r="M7144"/>
    </row>
    <row r="7145" spans="5:13" x14ac:dyDescent="0.25">
      <c r="E7145"/>
      <c r="M7145"/>
    </row>
    <row r="7146" spans="5:13" x14ac:dyDescent="0.25">
      <c r="E7146"/>
      <c r="M7146"/>
    </row>
    <row r="7147" spans="5:13" x14ac:dyDescent="0.25">
      <c r="E7147"/>
      <c r="M7147"/>
    </row>
    <row r="7148" spans="5:13" x14ac:dyDescent="0.25">
      <c r="E7148"/>
      <c r="M7148"/>
    </row>
    <row r="7149" spans="5:13" x14ac:dyDescent="0.25">
      <c r="E7149"/>
      <c r="M7149"/>
    </row>
    <row r="7150" spans="5:13" x14ac:dyDescent="0.25">
      <c r="E7150"/>
      <c r="M7150"/>
    </row>
    <row r="7151" spans="5:13" x14ac:dyDescent="0.25">
      <c r="E7151"/>
      <c r="M7151"/>
    </row>
    <row r="7152" spans="5:13" x14ac:dyDescent="0.25">
      <c r="E7152"/>
      <c r="M7152"/>
    </row>
    <row r="7153" spans="5:13" x14ac:dyDescent="0.25">
      <c r="E7153"/>
      <c r="M7153"/>
    </row>
    <row r="7154" spans="5:13" x14ac:dyDescent="0.25">
      <c r="E7154"/>
      <c r="M7154"/>
    </row>
    <row r="7155" spans="5:13" x14ac:dyDescent="0.25">
      <c r="E7155"/>
      <c r="M7155"/>
    </row>
    <row r="7156" spans="5:13" x14ac:dyDescent="0.25">
      <c r="E7156"/>
      <c r="M7156"/>
    </row>
    <row r="7157" spans="5:13" x14ac:dyDescent="0.25">
      <c r="E7157"/>
      <c r="M7157"/>
    </row>
    <row r="7158" spans="5:13" x14ac:dyDescent="0.25">
      <c r="E7158"/>
      <c r="M7158"/>
    </row>
    <row r="7159" spans="5:13" x14ac:dyDescent="0.25">
      <c r="E7159"/>
      <c r="M7159"/>
    </row>
    <row r="7160" spans="5:13" x14ac:dyDescent="0.25">
      <c r="E7160"/>
      <c r="M7160"/>
    </row>
    <row r="7161" spans="5:13" x14ac:dyDescent="0.25">
      <c r="E7161"/>
      <c r="M7161"/>
    </row>
    <row r="7162" spans="5:13" x14ac:dyDescent="0.25">
      <c r="E7162"/>
      <c r="M7162"/>
    </row>
    <row r="7163" spans="5:13" x14ac:dyDescent="0.25">
      <c r="E7163"/>
      <c r="M7163"/>
    </row>
    <row r="7164" spans="5:13" x14ac:dyDescent="0.25">
      <c r="E7164"/>
      <c r="M7164"/>
    </row>
    <row r="7165" spans="5:13" x14ac:dyDescent="0.25">
      <c r="E7165"/>
      <c r="M7165"/>
    </row>
    <row r="7166" spans="5:13" x14ac:dyDescent="0.25">
      <c r="E7166"/>
      <c r="M7166"/>
    </row>
    <row r="7167" spans="5:13" x14ac:dyDescent="0.25">
      <c r="E7167"/>
      <c r="M7167"/>
    </row>
    <row r="7168" spans="5:13" x14ac:dyDescent="0.25">
      <c r="E7168"/>
      <c r="M7168"/>
    </row>
    <row r="7169" spans="5:13" x14ac:dyDescent="0.25">
      <c r="E7169"/>
      <c r="M7169"/>
    </row>
    <row r="7170" spans="5:13" x14ac:dyDescent="0.25">
      <c r="E7170"/>
      <c r="M7170"/>
    </row>
    <row r="7171" spans="5:13" x14ac:dyDescent="0.25">
      <c r="E7171"/>
      <c r="M7171"/>
    </row>
    <row r="7172" spans="5:13" x14ac:dyDescent="0.25">
      <c r="E7172"/>
      <c r="M7172"/>
    </row>
    <row r="7173" spans="5:13" x14ac:dyDescent="0.25">
      <c r="E7173"/>
      <c r="M7173"/>
    </row>
    <row r="7174" spans="5:13" x14ac:dyDescent="0.25">
      <c r="E7174"/>
      <c r="M7174"/>
    </row>
    <row r="7175" spans="5:13" x14ac:dyDescent="0.25">
      <c r="E7175"/>
      <c r="M7175"/>
    </row>
    <row r="7176" spans="5:13" x14ac:dyDescent="0.25">
      <c r="E7176"/>
      <c r="M7176"/>
    </row>
    <row r="7177" spans="5:13" x14ac:dyDescent="0.25">
      <c r="E7177"/>
      <c r="M7177"/>
    </row>
    <row r="7178" spans="5:13" x14ac:dyDescent="0.25">
      <c r="E7178"/>
      <c r="M7178"/>
    </row>
    <row r="7179" spans="5:13" x14ac:dyDescent="0.25">
      <c r="E7179"/>
      <c r="M7179"/>
    </row>
    <row r="7180" spans="5:13" x14ac:dyDescent="0.25">
      <c r="E7180"/>
      <c r="M7180"/>
    </row>
    <row r="7181" spans="5:13" x14ac:dyDescent="0.25">
      <c r="E7181"/>
      <c r="M7181"/>
    </row>
    <row r="7182" spans="5:13" x14ac:dyDescent="0.25">
      <c r="E7182"/>
      <c r="M7182"/>
    </row>
    <row r="7183" spans="5:13" x14ac:dyDescent="0.25">
      <c r="E7183"/>
      <c r="M7183"/>
    </row>
    <row r="7184" spans="5:13" x14ac:dyDescent="0.25">
      <c r="E7184"/>
      <c r="M7184"/>
    </row>
    <row r="7185" spans="5:13" x14ac:dyDescent="0.25">
      <c r="E7185"/>
      <c r="M7185"/>
    </row>
    <row r="7186" spans="5:13" x14ac:dyDescent="0.25">
      <c r="E7186"/>
      <c r="M7186"/>
    </row>
    <row r="7187" spans="5:13" x14ac:dyDescent="0.25">
      <c r="E7187"/>
      <c r="M7187"/>
    </row>
    <row r="7188" spans="5:13" x14ac:dyDescent="0.25">
      <c r="E7188"/>
      <c r="M7188"/>
    </row>
    <row r="7189" spans="5:13" x14ac:dyDescent="0.25">
      <c r="E7189"/>
      <c r="M7189"/>
    </row>
    <row r="7190" spans="5:13" x14ac:dyDescent="0.25">
      <c r="E7190"/>
      <c r="M7190"/>
    </row>
    <row r="7191" spans="5:13" x14ac:dyDescent="0.25">
      <c r="E7191"/>
      <c r="M7191"/>
    </row>
    <row r="7192" spans="5:13" x14ac:dyDescent="0.25">
      <c r="E7192"/>
      <c r="M7192"/>
    </row>
    <row r="7193" spans="5:13" x14ac:dyDescent="0.25">
      <c r="E7193"/>
      <c r="M7193"/>
    </row>
    <row r="7194" spans="5:13" x14ac:dyDescent="0.25">
      <c r="E7194"/>
      <c r="M7194"/>
    </row>
    <row r="7195" spans="5:13" x14ac:dyDescent="0.25">
      <c r="E7195"/>
      <c r="M7195"/>
    </row>
    <row r="7196" spans="5:13" x14ac:dyDescent="0.25">
      <c r="E7196"/>
      <c r="M7196"/>
    </row>
    <row r="7197" spans="5:13" x14ac:dyDescent="0.25">
      <c r="E7197"/>
      <c r="M7197"/>
    </row>
    <row r="7198" spans="5:13" x14ac:dyDescent="0.25">
      <c r="E7198"/>
      <c r="M7198"/>
    </row>
    <row r="7199" spans="5:13" x14ac:dyDescent="0.25">
      <c r="E7199"/>
      <c r="M7199"/>
    </row>
    <row r="7200" spans="5:13" x14ac:dyDescent="0.25">
      <c r="E7200"/>
      <c r="M7200"/>
    </row>
    <row r="7201" spans="5:13" x14ac:dyDescent="0.25">
      <c r="E7201"/>
      <c r="M7201"/>
    </row>
    <row r="7202" spans="5:13" x14ac:dyDescent="0.25">
      <c r="E7202"/>
      <c r="M7202"/>
    </row>
    <row r="7203" spans="5:13" x14ac:dyDescent="0.25">
      <c r="E7203"/>
      <c r="M7203"/>
    </row>
    <row r="7204" spans="5:13" x14ac:dyDescent="0.25">
      <c r="E7204"/>
      <c r="M7204"/>
    </row>
    <row r="7205" spans="5:13" x14ac:dyDescent="0.25">
      <c r="E7205"/>
      <c r="M7205"/>
    </row>
    <row r="7206" spans="5:13" x14ac:dyDescent="0.25">
      <c r="E7206"/>
      <c r="M7206"/>
    </row>
    <row r="7207" spans="5:13" x14ac:dyDescent="0.25">
      <c r="E7207"/>
      <c r="M7207"/>
    </row>
    <row r="7208" spans="5:13" x14ac:dyDescent="0.25">
      <c r="E7208"/>
      <c r="M7208"/>
    </row>
    <row r="7209" spans="5:13" x14ac:dyDescent="0.25">
      <c r="E7209"/>
      <c r="M7209"/>
    </row>
    <row r="7210" spans="5:13" x14ac:dyDescent="0.25">
      <c r="E7210"/>
      <c r="M7210"/>
    </row>
    <row r="7211" spans="5:13" x14ac:dyDescent="0.25">
      <c r="E7211"/>
      <c r="M7211"/>
    </row>
    <row r="7212" spans="5:13" x14ac:dyDescent="0.25">
      <c r="E7212"/>
      <c r="M7212"/>
    </row>
    <row r="7213" spans="5:13" x14ac:dyDescent="0.25">
      <c r="E7213"/>
      <c r="M7213"/>
    </row>
    <row r="7214" spans="5:13" x14ac:dyDescent="0.25">
      <c r="E7214"/>
      <c r="M7214"/>
    </row>
    <row r="7215" spans="5:13" x14ac:dyDescent="0.25">
      <c r="E7215"/>
      <c r="M7215"/>
    </row>
    <row r="7216" spans="5:13" x14ac:dyDescent="0.25">
      <c r="E7216"/>
      <c r="M7216"/>
    </row>
    <row r="7217" spans="5:13" x14ac:dyDescent="0.25">
      <c r="E7217"/>
      <c r="M7217"/>
    </row>
    <row r="7218" spans="5:13" x14ac:dyDescent="0.25">
      <c r="E7218"/>
      <c r="M7218"/>
    </row>
    <row r="7219" spans="5:13" x14ac:dyDescent="0.25">
      <c r="E7219"/>
      <c r="M7219"/>
    </row>
    <row r="7220" spans="5:13" x14ac:dyDescent="0.25">
      <c r="E7220"/>
      <c r="M7220"/>
    </row>
    <row r="7221" spans="5:13" x14ac:dyDescent="0.25">
      <c r="E7221"/>
      <c r="M7221"/>
    </row>
    <row r="7222" spans="5:13" x14ac:dyDescent="0.25">
      <c r="E7222"/>
      <c r="M7222"/>
    </row>
    <row r="7223" spans="5:13" x14ac:dyDescent="0.25">
      <c r="E7223"/>
      <c r="M7223"/>
    </row>
    <row r="7224" spans="5:13" x14ac:dyDescent="0.25">
      <c r="E7224"/>
      <c r="M7224"/>
    </row>
    <row r="7225" spans="5:13" x14ac:dyDescent="0.25">
      <c r="E7225"/>
      <c r="M7225"/>
    </row>
    <row r="7226" spans="5:13" x14ac:dyDescent="0.25">
      <c r="E7226"/>
      <c r="M7226"/>
    </row>
    <row r="7227" spans="5:13" x14ac:dyDescent="0.25">
      <c r="E7227"/>
      <c r="M7227"/>
    </row>
    <row r="7228" spans="5:13" x14ac:dyDescent="0.25">
      <c r="E7228"/>
      <c r="M7228"/>
    </row>
    <row r="7229" spans="5:13" x14ac:dyDescent="0.25">
      <c r="E7229"/>
      <c r="M7229"/>
    </row>
    <row r="7230" spans="5:13" x14ac:dyDescent="0.25">
      <c r="E7230"/>
      <c r="M7230"/>
    </row>
    <row r="7231" spans="5:13" x14ac:dyDescent="0.25">
      <c r="E7231"/>
      <c r="M7231"/>
    </row>
    <row r="7232" spans="5:13" x14ac:dyDescent="0.25">
      <c r="E7232"/>
      <c r="M7232"/>
    </row>
    <row r="7233" spans="5:13" x14ac:dyDescent="0.25">
      <c r="E7233"/>
      <c r="M7233"/>
    </row>
    <row r="7234" spans="5:13" x14ac:dyDescent="0.25">
      <c r="E7234"/>
      <c r="M7234"/>
    </row>
    <row r="7235" spans="5:13" x14ac:dyDescent="0.25">
      <c r="E7235"/>
      <c r="M7235"/>
    </row>
    <row r="7236" spans="5:13" x14ac:dyDescent="0.25">
      <c r="E7236"/>
      <c r="M7236"/>
    </row>
    <row r="7237" spans="5:13" x14ac:dyDescent="0.25">
      <c r="E7237"/>
      <c r="M7237"/>
    </row>
    <row r="7238" spans="5:13" x14ac:dyDescent="0.25">
      <c r="E7238"/>
      <c r="M7238"/>
    </row>
    <row r="7239" spans="5:13" x14ac:dyDescent="0.25">
      <c r="E7239"/>
      <c r="M7239"/>
    </row>
    <row r="7240" spans="5:13" x14ac:dyDescent="0.25">
      <c r="E7240"/>
      <c r="M7240"/>
    </row>
    <row r="7241" spans="5:13" x14ac:dyDescent="0.25">
      <c r="E7241"/>
      <c r="M7241"/>
    </row>
    <row r="7242" spans="5:13" x14ac:dyDescent="0.25">
      <c r="E7242"/>
      <c r="M7242"/>
    </row>
    <row r="7243" spans="5:13" x14ac:dyDescent="0.25">
      <c r="E7243"/>
      <c r="M7243"/>
    </row>
    <row r="7244" spans="5:13" x14ac:dyDescent="0.25">
      <c r="E7244"/>
      <c r="M7244"/>
    </row>
    <row r="7245" spans="5:13" x14ac:dyDescent="0.25">
      <c r="E7245"/>
      <c r="M7245"/>
    </row>
    <row r="7246" spans="5:13" x14ac:dyDescent="0.25">
      <c r="E7246"/>
      <c r="M7246"/>
    </row>
    <row r="7247" spans="5:13" x14ac:dyDescent="0.25">
      <c r="E7247"/>
      <c r="M7247"/>
    </row>
    <row r="7248" spans="5:13" x14ac:dyDescent="0.25">
      <c r="E7248"/>
      <c r="M7248"/>
    </row>
    <row r="7249" spans="5:13" x14ac:dyDescent="0.25">
      <c r="E7249"/>
      <c r="M7249"/>
    </row>
    <row r="7250" spans="5:13" x14ac:dyDescent="0.25">
      <c r="E7250"/>
      <c r="M7250"/>
    </row>
    <row r="7251" spans="5:13" x14ac:dyDescent="0.25">
      <c r="E7251"/>
      <c r="M7251"/>
    </row>
    <row r="7252" spans="5:13" x14ac:dyDescent="0.25">
      <c r="E7252"/>
      <c r="M7252"/>
    </row>
    <row r="7253" spans="5:13" x14ac:dyDescent="0.25">
      <c r="E7253"/>
      <c r="M7253"/>
    </row>
    <row r="7254" spans="5:13" x14ac:dyDescent="0.25">
      <c r="E7254"/>
      <c r="M7254"/>
    </row>
    <row r="7255" spans="5:13" x14ac:dyDescent="0.25">
      <c r="E7255"/>
      <c r="M7255"/>
    </row>
    <row r="7256" spans="5:13" x14ac:dyDescent="0.25">
      <c r="E7256"/>
      <c r="M7256"/>
    </row>
    <row r="7257" spans="5:13" x14ac:dyDescent="0.25">
      <c r="E7257"/>
      <c r="M7257"/>
    </row>
    <row r="7258" spans="5:13" x14ac:dyDescent="0.25">
      <c r="E7258"/>
      <c r="M7258"/>
    </row>
    <row r="7259" spans="5:13" x14ac:dyDescent="0.25">
      <c r="E7259"/>
      <c r="M7259"/>
    </row>
    <row r="7260" spans="5:13" x14ac:dyDescent="0.25">
      <c r="E7260"/>
      <c r="M7260"/>
    </row>
    <row r="7261" spans="5:13" x14ac:dyDescent="0.25">
      <c r="E7261"/>
      <c r="M7261"/>
    </row>
    <row r="7262" spans="5:13" x14ac:dyDescent="0.25">
      <c r="E7262"/>
      <c r="M7262"/>
    </row>
    <row r="7263" spans="5:13" x14ac:dyDescent="0.25">
      <c r="E7263"/>
      <c r="M7263"/>
    </row>
    <row r="7264" spans="5:13" x14ac:dyDescent="0.25">
      <c r="E7264"/>
      <c r="M7264"/>
    </row>
    <row r="7265" spans="5:13" x14ac:dyDescent="0.25">
      <c r="E7265"/>
      <c r="M7265"/>
    </row>
    <row r="7266" spans="5:13" x14ac:dyDescent="0.25">
      <c r="E7266"/>
      <c r="M7266"/>
    </row>
    <row r="7267" spans="5:13" x14ac:dyDescent="0.25">
      <c r="E7267"/>
      <c r="M7267"/>
    </row>
    <row r="7268" spans="5:13" x14ac:dyDescent="0.25">
      <c r="E7268"/>
      <c r="M7268"/>
    </row>
    <row r="7269" spans="5:13" x14ac:dyDescent="0.25">
      <c r="E7269"/>
      <c r="M7269"/>
    </row>
    <row r="7270" spans="5:13" x14ac:dyDescent="0.25">
      <c r="E7270"/>
      <c r="M7270"/>
    </row>
    <row r="7271" spans="5:13" x14ac:dyDescent="0.25">
      <c r="E7271"/>
      <c r="M7271"/>
    </row>
    <row r="7272" spans="5:13" x14ac:dyDescent="0.25">
      <c r="E7272"/>
      <c r="M7272"/>
    </row>
    <row r="7273" spans="5:13" x14ac:dyDescent="0.25">
      <c r="E7273"/>
      <c r="M7273"/>
    </row>
    <row r="7274" spans="5:13" x14ac:dyDescent="0.25">
      <c r="E7274"/>
      <c r="M7274"/>
    </row>
    <row r="7275" spans="5:13" x14ac:dyDescent="0.25">
      <c r="E7275"/>
      <c r="M7275"/>
    </row>
    <row r="7276" spans="5:13" x14ac:dyDescent="0.25">
      <c r="E7276"/>
      <c r="M7276"/>
    </row>
    <row r="7277" spans="5:13" x14ac:dyDescent="0.25">
      <c r="E7277"/>
      <c r="M7277"/>
    </row>
    <row r="7278" spans="5:13" x14ac:dyDescent="0.25">
      <c r="E7278"/>
      <c r="M7278"/>
    </row>
    <row r="7279" spans="5:13" x14ac:dyDescent="0.25">
      <c r="E7279"/>
      <c r="M7279"/>
    </row>
    <row r="7280" spans="5:13" x14ac:dyDescent="0.25">
      <c r="E7280"/>
      <c r="M7280"/>
    </row>
    <row r="7281" spans="5:13" x14ac:dyDescent="0.25">
      <c r="E7281"/>
      <c r="M7281"/>
    </row>
    <row r="7282" spans="5:13" x14ac:dyDescent="0.25">
      <c r="E7282"/>
      <c r="M7282"/>
    </row>
    <row r="7283" spans="5:13" x14ac:dyDescent="0.25">
      <c r="E7283"/>
      <c r="M7283"/>
    </row>
    <row r="7284" spans="5:13" x14ac:dyDescent="0.25">
      <c r="E7284"/>
      <c r="M7284"/>
    </row>
    <row r="7285" spans="5:13" x14ac:dyDescent="0.25">
      <c r="E7285"/>
      <c r="M7285"/>
    </row>
    <row r="7286" spans="5:13" x14ac:dyDescent="0.25">
      <c r="E7286"/>
      <c r="M7286"/>
    </row>
    <row r="7287" spans="5:13" x14ac:dyDescent="0.25">
      <c r="E7287"/>
      <c r="M7287"/>
    </row>
    <row r="7288" spans="5:13" x14ac:dyDescent="0.25">
      <c r="E7288"/>
      <c r="M7288"/>
    </row>
    <row r="7289" spans="5:13" x14ac:dyDescent="0.25">
      <c r="E7289"/>
      <c r="M7289"/>
    </row>
    <row r="7290" spans="5:13" x14ac:dyDescent="0.25">
      <c r="E7290"/>
      <c r="M7290"/>
    </row>
    <row r="7291" spans="5:13" x14ac:dyDescent="0.25">
      <c r="E7291"/>
      <c r="M7291"/>
    </row>
    <row r="7292" spans="5:13" x14ac:dyDescent="0.25">
      <c r="E7292"/>
      <c r="M7292"/>
    </row>
    <row r="7293" spans="5:13" x14ac:dyDescent="0.25">
      <c r="E7293"/>
      <c r="M7293"/>
    </row>
    <row r="7294" spans="5:13" x14ac:dyDescent="0.25">
      <c r="E7294"/>
      <c r="M7294"/>
    </row>
    <row r="7295" spans="5:13" x14ac:dyDescent="0.25">
      <c r="E7295"/>
      <c r="M7295"/>
    </row>
    <row r="7296" spans="5:13" x14ac:dyDescent="0.25">
      <c r="E7296"/>
      <c r="M7296"/>
    </row>
    <row r="7297" spans="5:13" x14ac:dyDescent="0.25">
      <c r="E7297"/>
      <c r="M7297"/>
    </row>
    <row r="7298" spans="5:13" x14ac:dyDescent="0.25">
      <c r="E7298"/>
      <c r="M7298"/>
    </row>
    <row r="7299" spans="5:13" x14ac:dyDescent="0.25">
      <c r="E7299"/>
      <c r="M7299"/>
    </row>
    <row r="7300" spans="5:13" x14ac:dyDescent="0.25">
      <c r="E7300"/>
      <c r="M7300"/>
    </row>
    <row r="7301" spans="5:13" x14ac:dyDescent="0.25">
      <c r="E7301"/>
      <c r="M7301"/>
    </row>
    <row r="7302" spans="5:13" x14ac:dyDescent="0.25">
      <c r="E7302"/>
      <c r="M7302"/>
    </row>
    <row r="7303" spans="5:13" x14ac:dyDescent="0.25">
      <c r="E7303"/>
      <c r="M7303"/>
    </row>
    <row r="7304" spans="5:13" x14ac:dyDescent="0.25">
      <c r="E7304"/>
      <c r="M7304"/>
    </row>
    <row r="7305" spans="5:13" x14ac:dyDescent="0.25">
      <c r="E7305"/>
      <c r="M7305"/>
    </row>
    <row r="7306" spans="5:13" x14ac:dyDescent="0.25">
      <c r="E7306"/>
      <c r="M7306"/>
    </row>
    <row r="7307" spans="5:13" x14ac:dyDescent="0.25">
      <c r="E7307"/>
      <c r="M7307"/>
    </row>
    <row r="7308" spans="5:13" x14ac:dyDescent="0.25">
      <c r="E7308"/>
      <c r="M7308"/>
    </row>
    <row r="7309" spans="5:13" x14ac:dyDescent="0.25">
      <c r="E7309"/>
      <c r="M7309"/>
    </row>
    <row r="7310" spans="5:13" x14ac:dyDescent="0.25">
      <c r="E7310"/>
      <c r="M7310"/>
    </row>
    <row r="7311" spans="5:13" x14ac:dyDescent="0.25">
      <c r="E7311"/>
      <c r="M7311"/>
    </row>
    <row r="7312" spans="5:13" x14ac:dyDescent="0.25">
      <c r="E7312"/>
      <c r="M7312"/>
    </row>
    <row r="7313" spans="5:13" x14ac:dyDescent="0.25">
      <c r="E7313"/>
      <c r="M7313"/>
    </row>
    <row r="7314" spans="5:13" x14ac:dyDescent="0.25">
      <c r="E7314"/>
      <c r="M7314"/>
    </row>
    <row r="7315" spans="5:13" x14ac:dyDescent="0.25">
      <c r="E7315"/>
      <c r="M7315"/>
    </row>
    <row r="7316" spans="5:13" x14ac:dyDescent="0.25">
      <c r="E7316"/>
      <c r="M7316"/>
    </row>
    <row r="7317" spans="5:13" x14ac:dyDescent="0.25">
      <c r="E7317"/>
      <c r="M7317"/>
    </row>
    <row r="7318" spans="5:13" x14ac:dyDescent="0.25">
      <c r="E7318"/>
      <c r="M7318"/>
    </row>
    <row r="7319" spans="5:13" x14ac:dyDescent="0.25">
      <c r="E7319"/>
      <c r="M7319"/>
    </row>
    <row r="7320" spans="5:13" x14ac:dyDescent="0.25">
      <c r="E7320"/>
      <c r="M7320"/>
    </row>
    <row r="7321" spans="5:13" x14ac:dyDescent="0.25">
      <c r="E7321"/>
      <c r="M7321"/>
    </row>
    <row r="7322" spans="5:13" x14ac:dyDescent="0.25">
      <c r="E7322"/>
      <c r="M7322"/>
    </row>
    <row r="7323" spans="5:13" x14ac:dyDescent="0.25">
      <c r="E7323"/>
      <c r="M7323"/>
    </row>
    <row r="7324" spans="5:13" x14ac:dyDescent="0.25">
      <c r="E7324"/>
      <c r="M7324"/>
    </row>
    <row r="7325" spans="5:13" x14ac:dyDescent="0.25">
      <c r="E7325"/>
      <c r="M7325"/>
    </row>
    <row r="7326" spans="5:13" x14ac:dyDescent="0.25">
      <c r="E7326"/>
      <c r="M7326"/>
    </row>
    <row r="7327" spans="5:13" x14ac:dyDescent="0.25">
      <c r="E7327"/>
      <c r="M7327"/>
    </row>
    <row r="7328" spans="5:13" x14ac:dyDescent="0.25">
      <c r="E7328"/>
      <c r="M7328"/>
    </row>
    <row r="7329" spans="5:13" x14ac:dyDescent="0.25">
      <c r="E7329"/>
      <c r="M7329"/>
    </row>
    <row r="7330" spans="5:13" x14ac:dyDescent="0.25">
      <c r="E7330"/>
      <c r="M7330"/>
    </row>
    <row r="7331" spans="5:13" x14ac:dyDescent="0.25">
      <c r="E7331"/>
      <c r="M7331"/>
    </row>
    <row r="7332" spans="5:13" x14ac:dyDescent="0.25">
      <c r="E7332"/>
      <c r="M7332"/>
    </row>
    <row r="7333" spans="5:13" x14ac:dyDescent="0.25">
      <c r="E7333"/>
      <c r="M7333"/>
    </row>
    <row r="7334" spans="5:13" x14ac:dyDescent="0.25">
      <c r="E7334"/>
      <c r="M7334"/>
    </row>
    <row r="7335" spans="5:13" x14ac:dyDescent="0.25">
      <c r="E7335"/>
      <c r="M7335"/>
    </row>
    <row r="7336" spans="5:13" x14ac:dyDescent="0.25">
      <c r="E7336"/>
      <c r="M7336"/>
    </row>
    <row r="7337" spans="5:13" x14ac:dyDescent="0.25">
      <c r="E7337"/>
      <c r="M7337"/>
    </row>
    <row r="7338" spans="5:13" x14ac:dyDescent="0.25">
      <c r="E7338"/>
      <c r="M7338"/>
    </row>
    <row r="7339" spans="5:13" x14ac:dyDescent="0.25">
      <c r="E7339"/>
      <c r="M7339"/>
    </row>
    <row r="7340" spans="5:13" x14ac:dyDescent="0.25">
      <c r="E7340"/>
      <c r="M7340"/>
    </row>
    <row r="7341" spans="5:13" x14ac:dyDescent="0.25">
      <c r="E7341"/>
      <c r="M7341"/>
    </row>
    <row r="7342" spans="5:13" x14ac:dyDescent="0.25">
      <c r="E7342"/>
      <c r="M7342"/>
    </row>
    <row r="7343" spans="5:13" x14ac:dyDescent="0.25">
      <c r="E7343"/>
      <c r="M7343"/>
    </row>
    <row r="7344" spans="5:13" x14ac:dyDescent="0.25">
      <c r="E7344"/>
      <c r="M7344"/>
    </row>
    <row r="7345" spans="5:13" x14ac:dyDescent="0.25">
      <c r="E7345"/>
      <c r="M7345"/>
    </row>
    <row r="7346" spans="5:13" x14ac:dyDescent="0.25">
      <c r="E7346"/>
      <c r="M7346"/>
    </row>
    <row r="7347" spans="5:13" x14ac:dyDescent="0.25">
      <c r="E7347"/>
      <c r="M7347"/>
    </row>
    <row r="7348" spans="5:13" x14ac:dyDescent="0.25">
      <c r="E7348"/>
      <c r="M7348"/>
    </row>
    <row r="7349" spans="5:13" x14ac:dyDescent="0.25">
      <c r="E7349"/>
      <c r="M7349"/>
    </row>
    <row r="7350" spans="5:13" x14ac:dyDescent="0.25">
      <c r="E7350"/>
      <c r="M7350"/>
    </row>
    <row r="7351" spans="5:13" x14ac:dyDescent="0.25">
      <c r="E7351"/>
      <c r="M7351"/>
    </row>
    <row r="7352" spans="5:13" x14ac:dyDescent="0.25">
      <c r="E7352"/>
      <c r="M7352"/>
    </row>
    <row r="7353" spans="5:13" x14ac:dyDescent="0.25">
      <c r="E7353"/>
      <c r="M7353"/>
    </row>
    <row r="7354" spans="5:13" x14ac:dyDescent="0.25">
      <c r="E7354"/>
      <c r="M7354"/>
    </row>
    <row r="7355" spans="5:13" x14ac:dyDescent="0.25">
      <c r="E7355"/>
      <c r="M7355"/>
    </row>
    <row r="7356" spans="5:13" x14ac:dyDescent="0.25">
      <c r="E7356"/>
      <c r="M7356"/>
    </row>
    <row r="7357" spans="5:13" x14ac:dyDescent="0.25">
      <c r="E7357"/>
      <c r="M7357"/>
    </row>
    <row r="7358" spans="5:13" x14ac:dyDescent="0.25">
      <c r="E7358"/>
      <c r="M7358"/>
    </row>
    <row r="7359" spans="5:13" x14ac:dyDescent="0.25">
      <c r="E7359"/>
      <c r="M7359"/>
    </row>
    <row r="7360" spans="5:13" x14ac:dyDescent="0.25">
      <c r="E7360"/>
      <c r="M7360"/>
    </row>
    <row r="7361" spans="5:13" x14ac:dyDescent="0.25">
      <c r="E7361"/>
      <c r="M7361"/>
    </row>
    <row r="7362" spans="5:13" x14ac:dyDescent="0.25">
      <c r="E7362"/>
      <c r="M7362"/>
    </row>
    <row r="7363" spans="5:13" x14ac:dyDescent="0.25">
      <c r="E7363"/>
      <c r="M7363"/>
    </row>
    <row r="7364" spans="5:13" x14ac:dyDescent="0.25">
      <c r="E7364"/>
      <c r="M7364"/>
    </row>
    <row r="7365" spans="5:13" x14ac:dyDescent="0.25">
      <c r="E7365"/>
      <c r="M7365"/>
    </row>
    <row r="7366" spans="5:13" x14ac:dyDescent="0.25">
      <c r="E7366"/>
      <c r="M7366"/>
    </row>
    <row r="7367" spans="5:13" x14ac:dyDescent="0.25">
      <c r="E7367"/>
      <c r="M7367"/>
    </row>
    <row r="7368" spans="5:13" x14ac:dyDescent="0.25">
      <c r="E7368"/>
      <c r="M7368"/>
    </row>
    <row r="7369" spans="5:13" x14ac:dyDescent="0.25">
      <c r="E7369"/>
      <c r="M7369"/>
    </row>
    <row r="7370" spans="5:13" x14ac:dyDescent="0.25">
      <c r="E7370"/>
      <c r="M7370"/>
    </row>
    <row r="7371" spans="5:13" x14ac:dyDescent="0.25">
      <c r="E7371"/>
      <c r="M7371"/>
    </row>
    <row r="7372" spans="5:13" x14ac:dyDescent="0.25">
      <c r="E7372"/>
      <c r="M7372"/>
    </row>
    <row r="7373" spans="5:13" x14ac:dyDescent="0.25">
      <c r="E7373"/>
      <c r="M7373"/>
    </row>
    <row r="7374" spans="5:13" x14ac:dyDescent="0.25">
      <c r="E7374"/>
      <c r="M7374"/>
    </row>
    <row r="7375" spans="5:13" x14ac:dyDescent="0.25">
      <c r="E7375"/>
      <c r="M7375"/>
    </row>
    <row r="7376" spans="5:13" x14ac:dyDescent="0.25">
      <c r="E7376"/>
      <c r="M7376"/>
    </row>
    <row r="7377" spans="5:13" x14ac:dyDescent="0.25">
      <c r="E7377"/>
      <c r="M7377"/>
    </row>
    <row r="7378" spans="5:13" x14ac:dyDescent="0.25">
      <c r="E7378"/>
      <c r="M7378"/>
    </row>
    <row r="7379" spans="5:13" x14ac:dyDescent="0.25">
      <c r="E7379"/>
      <c r="M7379"/>
    </row>
    <row r="7380" spans="5:13" x14ac:dyDescent="0.25">
      <c r="E7380"/>
      <c r="M7380"/>
    </row>
    <row r="7381" spans="5:13" x14ac:dyDescent="0.25">
      <c r="E7381"/>
      <c r="M7381"/>
    </row>
    <row r="7382" spans="5:13" x14ac:dyDescent="0.25">
      <c r="E7382"/>
      <c r="M7382"/>
    </row>
    <row r="7383" spans="5:13" x14ac:dyDescent="0.25">
      <c r="E7383"/>
      <c r="M7383"/>
    </row>
    <row r="7384" spans="5:13" x14ac:dyDescent="0.25">
      <c r="E7384"/>
      <c r="M7384"/>
    </row>
    <row r="7385" spans="5:13" x14ac:dyDescent="0.25">
      <c r="E7385"/>
      <c r="M7385"/>
    </row>
    <row r="7386" spans="5:13" x14ac:dyDescent="0.25">
      <c r="E7386"/>
      <c r="M7386"/>
    </row>
    <row r="7387" spans="5:13" x14ac:dyDescent="0.25">
      <c r="E7387"/>
      <c r="M7387"/>
    </row>
    <row r="7388" spans="5:13" x14ac:dyDescent="0.25">
      <c r="E7388"/>
      <c r="M7388"/>
    </row>
    <row r="7389" spans="5:13" x14ac:dyDescent="0.25">
      <c r="E7389"/>
      <c r="M7389"/>
    </row>
    <row r="7390" spans="5:13" x14ac:dyDescent="0.25">
      <c r="E7390"/>
      <c r="M7390"/>
    </row>
    <row r="7391" spans="5:13" x14ac:dyDescent="0.25">
      <c r="E7391"/>
      <c r="M7391"/>
    </row>
    <row r="7392" spans="5:13" x14ac:dyDescent="0.25">
      <c r="E7392"/>
      <c r="M7392"/>
    </row>
    <row r="7393" spans="5:13" x14ac:dyDescent="0.25">
      <c r="E7393"/>
      <c r="M7393"/>
    </row>
    <row r="7394" spans="5:13" x14ac:dyDescent="0.25">
      <c r="E7394"/>
      <c r="M7394"/>
    </row>
    <row r="7395" spans="5:13" x14ac:dyDescent="0.25">
      <c r="E7395"/>
      <c r="M7395"/>
    </row>
    <row r="7396" spans="5:13" x14ac:dyDescent="0.25">
      <c r="E7396"/>
      <c r="M7396"/>
    </row>
    <row r="7397" spans="5:13" x14ac:dyDescent="0.25">
      <c r="E7397"/>
      <c r="M7397"/>
    </row>
    <row r="7398" spans="5:13" x14ac:dyDescent="0.25">
      <c r="E7398"/>
      <c r="M7398"/>
    </row>
    <row r="7399" spans="5:13" x14ac:dyDescent="0.25">
      <c r="E7399"/>
      <c r="M7399"/>
    </row>
    <row r="7400" spans="5:13" x14ac:dyDescent="0.25">
      <c r="E7400"/>
      <c r="M7400"/>
    </row>
    <row r="7401" spans="5:13" x14ac:dyDescent="0.25">
      <c r="E7401"/>
      <c r="M7401"/>
    </row>
    <row r="7402" spans="5:13" x14ac:dyDescent="0.25">
      <c r="E7402"/>
      <c r="M7402"/>
    </row>
    <row r="7403" spans="5:13" x14ac:dyDescent="0.25">
      <c r="E7403"/>
      <c r="M7403"/>
    </row>
    <row r="7404" spans="5:13" x14ac:dyDescent="0.25">
      <c r="E7404"/>
      <c r="M7404"/>
    </row>
    <row r="7405" spans="5:13" x14ac:dyDescent="0.25">
      <c r="E7405"/>
      <c r="M7405"/>
    </row>
    <row r="7406" spans="5:13" x14ac:dyDescent="0.25">
      <c r="E7406"/>
      <c r="M7406"/>
    </row>
    <row r="7407" spans="5:13" x14ac:dyDescent="0.25">
      <c r="E7407"/>
      <c r="M7407"/>
    </row>
    <row r="7408" spans="5:13" x14ac:dyDescent="0.25">
      <c r="E7408"/>
      <c r="M7408"/>
    </row>
    <row r="7409" spans="5:13" x14ac:dyDescent="0.25">
      <c r="E7409"/>
      <c r="M7409"/>
    </row>
    <row r="7410" spans="5:13" x14ac:dyDescent="0.25">
      <c r="E7410"/>
      <c r="M7410"/>
    </row>
    <row r="7411" spans="5:13" x14ac:dyDescent="0.25">
      <c r="E7411"/>
      <c r="M7411"/>
    </row>
    <row r="7412" spans="5:13" x14ac:dyDescent="0.25">
      <c r="E7412"/>
      <c r="M7412"/>
    </row>
    <row r="7413" spans="5:13" x14ac:dyDescent="0.25">
      <c r="E7413"/>
      <c r="M7413"/>
    </row>
    <row r="7414" spans="5:13" x14ac:dyDescent="0.25">
      <c r="E7414"/>
      <c r="M7414"/>
    </row>
    <row r="7415" spans="5:13" x14ac:dyDescent="0.25">
      <c r="E7415"/>
      <c r="M7415"/>
    </row>
    <row r="7416" spans="5:13" x14ac:dyDescent="0.25">
      <c r="E7416"/>
      <c r="M7416"/>
    </row>
    <row r="7417" spans="5:13" x14ac:dyDescent="0.25">
      <c r="E7417"/>
      <c r="M7417"/>
    </row>
    <row r="7418" spans="5:13" x14ac:dyDescent="0.25">
      <c r="E7418"/>
      <c r="M7418"/>
    </row>
    <row r="7419" spans="5:13" x14ac:dyDescent="0.25">
      <c r="E7419"/>
      <c r="M7419"/>
    </row>
    <row r="7420" spans="5:13" x14ac:dyDescent="0.25">
      <c r="E7420"/>
      <c r="M7420"/>
    </row>
    <row r="7421" spans="5:13" x14ac:dyDescent="0.25">
      <c r="E7421"/>
      <c r="M7421"/>
    </row>
    <row r="7422" spans="5:13" x14ac:dyDescent="0.25">
      <c r="E7422"/>
      <c r="M7422"/>
    </row>
    <row r="7423" spans="5:13" x14ac:dyDescent="0.25">
      <c r="E7423"/>
      <c r="M7423"/>
    </row>
    <row r="7424" spans="5:13" x14ac:dyDescent="0.25">
      <c r="E7424"/>
      <c r="M7424"/>
    </row>
    <row r="7425" spans="5:13" x14ac:dyDescent="0.25">
      <c r="E7425"/>
      <c r="M7425"/>
    </row>
    <row r="7426" spans="5:13" x14ac:dyDescent="0.25">
      <c r="E7426"/>
      <c r="M7426"/>
    </row>
    <row r="7427" spans="5:13" x14ac:dyDescent="0.25">
      <c r="E7427"/>
      <c r="M7427"/>
    </row>
    <row r="7428" spans="5:13" x14ac:dyDescent="0.25">
      <c r="E7428"/>
      <c r="M7428"/>
    </row>
    <row r="7429" spans="5:13" x14ac:dyDescent="0.25">
      <c r="E7429"/>
      <c r="M7429"/>
    </row>
    <row r="7430" spans="5:13" x14ac:dyDescent="0.25">
      <c r="E7430"/>
      <c r="M7430"/>
    </row>
    <row r="7431" spans="5:13" x14ac:dyDescent="0.25">
      <c r="E7431"/>
      <c r="M7431"/>
    </row>
    <row r="7432" spans="5:13" x14ac:dyDescent="0.25">
      <c r="E7432"/>
      <c r="M7432"/>
    </row>
    <row r="7433" spans="5:13" x14ac:dyDescent="0.25">
      <c r="E7433"/>
      <c r="M7433"/>
    </row>
    <row r="7434" spans="5:13" x14ac:dyDescent="0.25">
      <c r="E7434"/>
      <c r="M7434"/>
    </row>
    <row r="7435" spans="5:13" x14ac:dyDescent="0.25">
      <c r="E7435"/>
      <c r="M7435"/>
    </row>
    <row r="7436" spans="5:13" x14ac:dyDescent="0.25">
      <c r="E7436"/>
      <c r="M7436"/>
    </row>
    <row r="7437" spans="5:13" x14ac:dyDescent="0.25">
      <c r="E7437"/>
      <c r="M7437"/>
    </row>
    <row r="7438" spans="5:13" x14ac:dyDescent="0.25">
      <c r="E7438"/>
      <c r="M7438"/>
    </row>
    <row r="7439" spans="5:13" x14ac:dyDescent="0.25">
      <c r="E7439"/>
      <c r="M7439"/>
    </row>
    <row r="7440" spans="5:13" x14ac:dyDescent="0.25">
      <c r="E7440"/>
      <c r="M7440"/>
    </row>
    <row r="7441" spans="5:13" x14ac:dyDescent="0.25">
      <c r="E7441"/>
      <c r="M7441"/>
    </row>
    <row r="7442" spans="5:13" x14ac:dyDescent="0.25">
      <c r="E7442"/>
      <c r="M7442"/>
    </row>
    <row r="7443" spans="5:13" x14ac:dyDescent="0.25">
      <c r="E7443"/>
      <c r="M7443"/>
    </row>
    <row r="7444" spans="5:13" x14ac:dyDescent="0.25">
      <c r="E7444"/>
      <c r="M7444"/>
    </row>
    <row r="7445" spans="5:13" x14ac:dyDescent="0.25">
      <c r="E7445"/>
      <c r="M7445"/>
    </row>
    <row r="7446" spans="5:13" x14ac:dyDescent="0.25">
      <c r="E7446"/>
      <c r="M7446"/>
    </row>
    <row r="7447" spans="5:13" x14ac:dyDescent="0.25">
      <c r="E7447"/>
      <c r="M7447"/>
    </row>
    <row r="7448" spans="5:13" x14ac:dyDescent="0.25">
      <c r="E7448"/>
      <c r="M7448"/>
    </row>
    <row r="7449" spans="5:13" x14ac:dyDescent="0.25">
      <c r="E7449"/>
      <c r="M7449"/>
    </row>
    <row r="7450" spans="5:13" x14ac:dyDescent="0.25">
      <c r="E7450"/>
      <c r="M7450"/>
    </row>
    <row r="7451" spans="5:13" x14ac:dyDescent="0.25">
      <c r="E7451"/>
      <c r="M7451"/>
    </row>
    <row r="7452" spans="5:13" x14ac:dyDescent="0.25">
      <c r="E7452"/>
      <c r="M7452"/>
    </row>
    <row r="7453" spans="5:13" x14ac:dyDescent="0.25">
      <c r="E7453"/>
      <c r="M7453"/>
    </row>
    <row r="7454" spans="5:13" x14ac:dyDescent="0.25">
      <c r="E7454"/>
      <c r="M7454"/>
    </row>
    <row r="7455" spans="5:13" x14ac:dyDescent="0.25">
      <c r="E7455"/>
      <c r="M7455"/>
    </row>
    <row r="7456" spans="5:13" x14ac:dyDescent="0.25">
      <c r="E7456"/>
      <c r="M7456"/>
    </row>
    <row r="7457" spans="5:13" x14ac:dyDescent="0.25">
      <c r="E7457"/>
      <c r="M7457"/>
    </row>
    <row r="7458" spans="5:13" x14ac:dyDescent="0.25">
      <c r="E7458"/>
      <c r="M7458"/>
    </row>
    <row r="7459" spans="5:13" x14ac:dyDescent="0.25">
      <c r="E7459"/>
      <c r="M7459"/>
    </row>
    <row r="7460" spans="5:13" x14ac:dyDescent="0.25">
      <c r="E7460"/>
      <c r="M7460"/>
    </row>
    <row r="7461" spans="5:13" x14ac:dyDescent="0.25">
      <c r="E7461"/>
      <c r="M7461"/>
    </row>
    <row r="7462" spans="5:13" x14ac:dyDescent="0.25">
      <c r="E7462"/>
      <c r="M7462"/>
    </row>
    <row r="7463" spans="5:13" x14ac:dyDescent="0.25">
      <c r="E7463"/>
      <c r="M7463"/>
    </row>
    <row r="7464" spans="5:13" x14ac:dyDescent="0.25">
      <c r="E7464"/>
      <c r="M7464"/>
    </row>
    <row r="7465" spans="5:13" x14ac:dyDescent="0.25">
      <c r="E7465"/>
      <c r="M7465"/>
    </row>
    <row r="7466" spans="5:13" x14ac:dyDescent="0.25">
      <c r="E7466"/>
      <c r="M7466"/>
    </row>
    <row r="7467" spans="5:13" x14ac:dyDescent="0.25">
      <c r="E7467"/>
      <c r="M7467"/>
    </row>
    <row r="7468" spans="5:13" x14ac:dyDescent="0.25">
      <c r="E7468"/>
      <c r="M7468"/>
    </row>
    <row r="7469" spans="5:13" x14ac:dyDescent="0.25">
      <c r="E7469"/>
      <c r="M7469"/>
    </row>
    <row r="7470" spans="5:13" x14ac:dyDescent="0.25">
      <c r="E7470"/>
      <c r="M7470"/>
    </row>
    <row r="7471" spans="5:13" x14ac:dyDescent="0.25">
      <c r="E7471"/>
      <c r="M7471"/>
    </row>
    <row r="7472" spans="5:13" x14ac:dyDescent="0.25">
      <c r="E7472"/>
      <c r="M7472"/>
    </row>
    <row r="7473" spans="5:13" x14ac:dyDescent="0.25">
      <c r="E7473"/>
      <c r="M7473"/>
    </row>
    <row r="7474" spans="5:13" x14ac:dyDescent="0.25">
      <c r="E7474"/>
      <c r="M7474"/>
    </row>
    <row r="7475" spans="5:13" x14ac:dyDescent="0.25">
      <c r="E7475"/>
      <c r="M7475"/>
    </row>
    <row r="7476" spans="5:13" x14ac:dyDescent="0.25">
      <c r="E7476"/>
      <c r="M7476"/>
    </row>
    <row r="7477" spans="5:13" x14ac:dyDescent="0.25">
      <c r="E7477"/>
      <c r="M7477"/>
    </row>
    <row r="7478" spans="5:13" x14ac:dyDescent="0.25">
      <c r="E7478"/>
      <c r="M7478"/>
    </row>
    <row r="7479" spans="5:13" x14ac:dyDescent="0.25">
      <c r="E7479"/>
      <c r="M7479"/>
    </row>
    <row r="7480" spans="5:13" x14ac:dyDescent="0.25">
      <c r="E7480"/>
      <c r="M7480"/>
    </row>
    <row r="7481" spans="5:13" x14ac:dyDescent="0.25">
      <c r="E7481"/>
      <c r="M7481"/>
    </row>
    <row r="7482" spans="5:13" x14ac:dyDescent="0.25">
      <c r="E7482"/>
      <c r="M7482"/>
    </row>
    <row r="7483" spans="5:13" x14ac:dyDescent="0.25">
      <c r="E7483"/>
      <c r="M7483"/>
    </row>
    <row r="7484" spans="5:13" x14ac:dyDescent="0.25">
      <c r="E7484"/>
      <c r="M7484"/>
    </row>
    <row r="7485" spans="5:13" x14ac:dyDescent="0.25">
      <c r="E7485"/>
      <c r="M7485"/>
    </row>
    <row r="7486" spans="5:13" x14ac:dyDescent="0.25">
      <c r="E7486"/>
      <c r="M7486"/>
    </row>
    <row r="7487" spans="5:13" x14ac:dyDescent="0.25">
      <c r="E7487"/>
      <c r="M7487"/>
    </row>
    <row r="7488" spans="5:13" x14ac:dyDescent="0.25">
      <c r="E7488"/>
      <c r="M7488"/>
    </row>
    <row r="7489" spans="5:13" x14ac:dyDescent="0.25">
      <c r="E7489"/>
      <c r="M7489"/>
    </row>
    <row r="7490" spans="5:13" x14ac:dyDescent="0.25">
      <c r="E7490"/>
      <c r="M7490"/>
    </row>
    <row r="7491" spans="5:13" x14ac:dyDescent="0.25">
      <c r="E7491"/>
      <c r="M7491"/>
    </row>
    <row r="7492" spans="5:13" x14ac:dyDescent="0.25">
      <c r="E7492"/>
      <c r="M7492"/>
    </row>
    <row r="7493" spans="5:13" x14ac:dyDescent="0.25">
      <c r="E7493"/>
      <c r="M7493"/>
    </row>
    <row r="7494" spans="5:13" x14ac:dyDescent="0.25">
      <c r="E7494"/>
      <c r="M7494"/>
    </row>
    <row r="7495" spans="5:13" x14ac:dyDescent="0.25">
      <c r="E7495"/>
      <c r="M7495"/>
    </row>
    <row r="7496" spans="5:13" x14ac:dyDescent="0.25">
      <c r="E7496"/>
      <c r="M7496"/>
    </row>
    <row r="7497" spans="5:13" x14ac:dyDescent="0.25">
      <c r="E7497"/>
      <c r="M7497"/>
    </row>
    <row r="7498" spans="5:13" x14ac:dyDescent="0.25">
      <c r="E7498"/>
      <c r="M7498"/>
    </row>
    <row r="7499" spans="5:13" x14ac:dyDescent="0.25">
      <c r="E7499"/>
      <c r="M7499"/>
    </row>
    <row r="7500" spans="5:13" x14ac:dyDescent="0.25">
      <c r="E7500"/>
      <c r="M7500"/>
    </row>
    <row r="7501" spans="5:13" x14ac:dyDescent="0.25">
      <c r="E7501"/>
      <c r="M7501"/>
    </row>
    <row r="7502" spans="5:13" x14ac:dyDescent="0.25">
      <c r="E7502"/>
      <c r="M7502"/>
    </row>
    <row r="7503" spans="5:13" x14ac:dyDescent="0.25">
      <c r="E7503"/>
      <c r="M7503"/>
    </row>
    <row r="7504" spans="5:13" x14ac:dyDescent="0.25">
      <c r="E7504"/>
      <c r="M7504"/>
    </row>
    <row r="7505" spans="5:13" x14ac:dyDescent="0.25">
      <c r="E7505"/>
      <c r="M7505"/>
    </row>
    <row r="7506" spans="5:13" x14ac:dyDescent="0.25">
      <c r="E7506"/>
      <c r="M7506"/>
    </row>
    <row r="7507" spans="5:13" x14ac:dyDescent="0.25">
      <c r="E7507"/>
      <c r="M7507"/>
    </row>
    <row r="7508" spans="5:13" x14ac:dyDescent="0.25">
      <c r="E7508"/>
      <c r="M7508"/>
    </row>
    <row r="7509" spans="5:13" x14ac:dyDescent="0.25">
      <c r="E7509"/>
      <c r="M7509"/>
    </row>
    <row r="7510" spans="5:13" x14ac:dyDescent="0.25">
      <c r="E7510"/>
      <c r="M7510"/>
    </row>
    <row r="7511" spans="5:13" x14ac:dyDescent="0.25">
      <c r="E7511"/>
      <c r="M7511"/>
    </row>
    <row r="7512" spans="5:13" x14ac:dyDescent="0.25">
      <c r="E7512"/>
      <c r="M7512"/>
    </row>
    <row r="7513" spans="5:13" x14ac:dyDescent="0.25">
      <c r="E7513"/>
      <c r="M7513"/>
    </row>
    <row r="7514" spans="5:13" x14ac:dyDescent="0.25">
      <c r="E7514"/>
      <c r="M7514"/>
    </row>
    <row r="7515" spans="5:13" x14ac:dyDescent="0.25">
      <c r="E7515"/>
      <c r="M7515"/>
    </row>
    <row r="7516" spans="5:13" x14ac:dyDescent="0.25">
      <c r="E7516"/>
      <c r="M7516"/>
    </row>
    <row r="7517" spans="5:13" x14ac:dyDescent="0.25">
      <c r="E7517"/>
      <c r="M7517"/>
    </row>
    <row r="7518" spans="5:13" x14ac:dyDescent="0.25">
      <c r="E7518"/>
      <c r="M7518"/>
    </row>
    <row r="7519" spans="5:13" x14ac:dyDescent="0.25">
      <c r="E7519"/>
      <c r="M7519"/>
    </row>
    <row r="7520" spans="5:13" x14ac:dyDescent="0.25">
      <c r="E7520"/>
      <c r="M7520"/>
    </row>
    <row r="7521" spans="5:13" x14ac:dyDescent="0.25">
      <c r="E7521"/>
      <c r="M7521"/>
    </row>
    <row r="7522" spans="5:13" x14ac:dyDescent="0.25">
      <c r="E7522"/>
      <c r="M7522"/>
    </row>
    <row r="7523" spans="5:13" x14ac:dyDescent="0.25">
      <c r="E7523"/>
      <c r="M7523"/>
    </row>
    <row r="7524" spans="5:13" x14ac:dyDescent="0.25">
      <c r="E7524"/>
      <c r="M7524"/>
    </row>
    <row r="7525" spans="5:13" x14ac:dyDescent="0.25">
      <c r="E7525"/>
      <c r="M7525"/>
    </row>
    <row r="7526" spans="5:13" x14ac:dyDescent="0.25">
      <c r="E7526"/>
      <c r="M7526"/>
    </row>
    <row r="7527" spans="5:13" x14ac:dyDescent="0.25">
      <c r="E7527"/>
      <c r="M7527"/>
    </row>
    <row r="7528" spans="5:13" x14ac:dyDescent="0.25">
      <c r="E7528"/>
      <c r="M7528"/>
    </row>
    <row r="7529" spans="5:13" x14ac:dyDescent="0.25">
      <c r="E7529"/>
      <c r="M7529"/>
    </row>
    <row r="7530" spans="5:13" x14ac:dyDescent="0.25">
      <c r="E7530"/>
      <c r="M7530"/>
    </row>
    <row r="7531" spans="5:13" x14ac:dyDescent="0.25">
      <c r="E7531"/>
      <c r="M7531"/>
    </row>
    <row r="7532" spans="5:13" x14ac:dyDescent="0.25">
      <c r="E7532"/>
      <c r="M7532"/>
    </row>
    <row r="7533" spans="5:13" x14ac:dyDescent="0.25">
      <c r="E7533"/>
      <c r="M7533"/>
    </row>
    <row r="7534" spans="5:13" x14ac:dyDescent="0.25">
      <c r="E7534"/>
      <c r="M7534"/>
    </row>
    <row r="7535" spans="5:13" x14ac:dyDescent="0.25">
      <c r="E7535"/>
      <c r="M7535"/>
    </row>
    <row r="7536" spans="5:13" x14ac:dyDescent="0.25">
      <c r="E7536"/>
      <c r="M7536"/>
    </row>
    <row r="7537" spans="5:13" x14ac:dyDescent="0.25">
      <c r="E7537"/>
      <c r="M7537"/>
    </row>
    <row r="7538" spans="5:13" x14ac:dyDescent="0.25">
      <c r="E7538"/>
      <c r="M7538"/>
    </row>
    <row r="7539" spans="5:13" x14ac:dyDescent="0.25">
      <c r="E7539"/>
      <c r="M7539"/>
    </row>
    <row r="7540" spans="5:13" x14ac:dyDescent="0.25">
      <c r="E7540"/>
      <c r="M7540"/>
    </row>
    <row r="7541" spans="5:13" x14ac:dyDescent="0.25">
      <c r="E7541"/>
      <c r="M7541"/>
    </row>
    <row r="7542" spans="5:13" x14ac:dyDescent="0.25">
      <c r="E7542"/>
      <c r="M7542"/>
    </row>
    <row r="7543" spans="5:13" x14ac:dyDescent="0.25">
      <c r="E7543"/>
      <c r="M7543"/>
    </row>
    <row r="7544" spans="5:13" x14ac:dyDescent="0.25">
      <c r="E7544"/>
      <c r="M7544"/>
    </row>
    <row r="7545" spans="5:13" x14ac:dyDescent="0.25">
      <c r="E7545"/>
      <c r="M7545"/>
    </row>
    <row r="7546" spans="5:13" x14ac:dyDescent="0.25">
      <c r="E7546"/>
      <c r="M7546"/>
    </row>
    <row r="7547" spans="5:13" x14ac:dyDescent="0.25">
      <c r="E7547"/>
      <c r="M7547"/>
    </row>
    <row r="7548" spans="5:13" x14ac:dyDescent="0.25">
      <c r="E7548"/>
      <c r="M7548"/>
    </row>
    <row r="7549" spans="5:13" x14ac:dyDescent="0.25">
      <c r="E7549"/>
      <c r="M7549"/>
    </row>
    <row r="7550" spans="5:13" x14ac:dyDescent="0.25">
      <c r="E7550"/>
      <c r="M7550"/>
    </row>
    <row r="7551" spans="5:13" x14ac:dyDescent="0.25">
      <c r="E7551"/>
      <c r="M7551"/>
    </row>
    <row r="7552" spans="5:13" x14ac:dyDescent="0.25">
      <c r="E7552"/>
      <c r="M7552"/>
    </row>
    <row r="7553" spans="5:13" x14ac:dyDescent="0.25">
      <c r="E7553"/>
      <c r="M7553"/>
    </row>
    <row r="7554" spans="5:13" x14ac:dyDescent="0.25">
      <c r="E7554"/>
      <c r="M7554"/>
    </row>
    <row r="7555" spans="5:13" x14ac:dyDescent="0.25">
      <c r="E7555"/>
      <c r="M7555"/>
    </row>
    <row r="7556" spans="5:13" x14ac:dyDescent="0.25">
      <c r="E7556"/>
      <c r="M7556"/>
    </row>
    <row r="7557" spans="5:13" x14ac:dyDescent="0.25">
      <c r="E7557"/>
      <c r="M7557"/>
    </row>
    <row r="7558" spans="5:13" x14ac:dyDescent="0.25">
      <c r="E7558"/>
      <c r="M7558"/>
    </row>
    <row r="7559" spans="5:13" x14ac:dyDescent="0.25">
      <c r="E7559"/>
      <c r="M7559"/>
    </row>
    <row r="7560" spans="5:13" x14ac:dyDescent="0.25">
      <c r="E7560"/>
      <c r="M7560"/>
    </row>
    <row r="7561" spans="5:13" x14ac:dyDescent="0.25">
      <c r="E7561"/>
      <c r="M7561"/>
    </row>
    <row r="7562" spans="5:13" x14ac:dyDescent="0.25">
      <c r="E7562"/>
      <c r="M7562"/>
    </row>
    <row r="7563" spans="5:13" x14ac:dyDescent="0.25">
      <c r="E7563"/>
      <c r="M7563"/>
    </row>
    <row r="7564" spans="5:13" x14ac:dyDescent="0.25">
      <c r="E7564"/>
      <c r="M7564"/>
    </row>
    <row r="7565" spans="5:13" x14ac:dyDescent="0.25">
      <c r="E7565"/>
      <c r="M7565"/>
    </row>
    <row r="7566" spans="5:13" x14ac:dyDescent="0.25">
      <c r="E7566"/>
      <c r="M7566"/>
    </row>
    <row r="7567" spans="5:13" x14ac:dyDescent="0.25">
      <c r="E7567"/>
      <c r="M7567"/>
    </row>
    <row r="7568" spans="5:13" x14ac:dyDescent="0.25">
      <c r="E7568"/>
      <c r="M7568"/>
    </row>
    <row r="7569" spans="5:13" x14ac:dyDescent="0.25">
      <c r="E7569"/>
      <c r="M7569"/>
    </row>
    <row r="7570" spans="5:13" x14ac:dyDescent="0.25">
      <c r="E7570"/>
      <c r="M7570"/>
    </row>
    <row r="7571" spans="5:13" x14ac:dyDescent="0.25">
      <c r="E7571"/>
      <c r="M7571"/>
    </row>
    <row r="7572" spans="5:13" x14ac:dyDescent="0.25">
      <c r="E7572"/>
      <c r="M7572"/>
    </row>
    <row r="7573" spans="5:13" x14ac:dyDescent="0.25">
      <c r="E7573"/>
      <c r="M7573"/>
    </row>
    <row r="7574" spans="5:13" x14ac:dyDescent="0.25">
      <c r="E7574"/>
      <c r="M7574"/>
    </row>
    <row r="7575" spans="5:13" x14ac:dyDescent="0.25">
      <c r="E7575"/>
      <c r="M7575"/>
    </row>
    <row r="7576" spans="5:13" x14ac:dyDescent="0.25">
      <c r="E7576"/>
      <c r="M7576"/>
    </row>
    <row r="7577" spans="5:13" x14ac:dyDescent="0.25">
      <c r="E7577"/>
      <c r="M7577"/>
    </row>
    <row r="7578" spans="5:13" x14ac:dyDescent="0.25">
      <c r="E7578"/>
      <c r="M7578"/>
    </row>
    <row r="7579" spans="5:13" x14ac:dyDescent="0.25">
      <c r="E7579"/>
      <c r="M7579"/>
    </row>
    <row r="7580" spans="5:13" x14ac:dyDescent="0.25">
      <c r="E7580"/>
      <c r="M7580"/>
    </row>
    <row r="7581" spans="5:13" x14ac:dyDescent="0.25">
      <c r="E7581"/>
      <c r="M7581"/>
    </row>
    <row r="7582" spans="5:13" x14ac:dyDescent="0.25">
      <c r="E7582"/>
      <c r="M7582"/>
    </row>
    <row r="7583" spans="5:13" x14ac:dyDescent="0.25">
      <c r="E7583"/>
      <c r="M7583"/>
    </row>
    <row r="7584" spans="5:13" x14ac:dyDescent="0.25">
      <c r="E7584"/>
      <c r="M7584"/>
    </row>
    <row r="7585" spans="5:13" x14ac:dyDescent="0.25">
      <c r="E7585"/>
      <c r="M7585"/>
    </row>
    <row r="7586" spans="5:13" x14ac:dyDescent="0.25">
      <c r="E7586"/>
      <c r="M7586"/>
    </row>
    <row r="7587" spans="5:13" x14ac:dyDescent="0.25">
      <c r="E7587"/>
      <c r="M7587"/>
    </row>
    <row r="7588" spans="5:13" x14ac:dyDescent="0.25">
      <c r="E7588"/>
      <c r="M7588"/>
    </row>
    <row r="7589" spans="5:13" x14ac:dyDescent="0.25">
      <c r="E7589"/>
      <c r="M7589"/>
    </row>
    <row r="7590" spans="5:13" x14ac:dyDescent="0.25">
      <c r="E7590"/>
      <c r="M7590"/>
    </row>
    <row r="7591" spans="5:13" x14ac:dyDescent="0.25">
      <c r="E7591"/>
      <c r="M7591"/>
    </row>
    <row r="7592" spans="5:13" x14ac:dyDescent="0.25">
      <c r="E7592"/>
      <c r="M7592"/>
    </row>
    <row r="7593" spans="5:13" x14ac:dyDescent="0.25">
      <c r="E7593"/>
      <c r="M7593"/>
    </row>
    <row r="7594" spans="5:13" x14ac:dyDescent="0.25">
      <c r="E7594"/>
      <c r="M7594"/>
    </row>
    <row r="7595" spans="5:13" x14ac:dyDescent="0.25">
      <c r="E7595"/>
      <c r="M7595"/>
    </row>
    <row r="7596" spans="5:13" x14ac:dyDescent="0.25">
      <c r="E7596"/>
      <c r="M7596"/>
    </row>
    <row r="7597" spans="5:13" x14ac:dyDescent="0.25">
      <c r="E7597"/>
      <c r="M7597"/>
    </row>
    <row r="7598" spans="5:13" x14ac:dyDescent="0.25">
      <c r="E7598"/>
      <c r="M7598"/>
    </row>
    <row r="7599" spans="5:13" x14ac:dyDescent="0.25">
      <c r="E7599"/>
      <c r="M7599"/>
    </row>
    <row r="7600" spans="5:13" x14ac:dyDescent="0.25">
      <c r="E7600"/>
      <c r="M7600"/>
    </row>
    <row r="7601" spans="5:13" x14ac:dyDescent="0.25">
      <c r="E7601"/>
      <c r="M7601"/>
    </row>
    <row r="7602" spans="5:13" x14ac:dyDescent="0.25">
      <c r="E7602"/>
      <c r="M7602"/>
    </row>
    <row r="7603" spans="5:13" x14ac:dyDescent="0.25">
      <c r="E7603"/>
      <c r="M7603"/>
    </row>
    <row r="7604" spans="5:13" x14ac:dyDescent="0.25">
      <c r="E7604"/>
      <c r="M7604"/>
    </row>
    <row r="7605" spans="5:13" x14ac:dyDescent="0.25">
      <c r="E7605"/>
      <c r="M7605"/>
    </row>
    <row r="7606" spans="5:13" x14ac:dyDescent="0.25">
      <c r="E7606"/>
      <c r="M7606"/>
    </row>
    <row r="7607" spans="5:13" x14ac:dyDescent="0.25">
      <c r="E7607"/>
      <c r="M7607"/>
    </row>
    <row r="7608" spans="5:13" x14ac:dyDescent="0.25">
      <c r="E7608"/>
      <c r="M7608"/>
    </row>
    <row r="7609" spans="5:13" x14ac:dyDescent="0.25">
      <c r="E7609"/>
      <c r="M7609"/>
    </row>
    <row r="7610" spans="5:13" x14ac:dyDescent="0.25">
      <c r="E7610"/>
      <c r="M7610"/>
    </row>
    <row r="7611" spans="5:13" x14ac:dyDescent="0.25">
      <c r="E7611"/>
      <c r="M7611"/>
    </row>
    <row r="7612" spans="5:13" x14ac:dyDescent="0.25">
      <c r="E7612"/>
      <c r="M7612"/>
    </row>
    <row r="7613" spans="5:13" x14ac:dyDescent="0.25">
      <c r="E7613"/>
      <c r="M7613"/>
    </row>
    <row r="7614" spans="5:13" x14ac:dyDescent="0.25">
      <c r="E7614"/>
      <c r="M7614"/>
    </row>
    <row r="7615" spans="5:13" x14ac:dyDescent="0.25">
      <c r="E7615"/>
      <c r="M7615"/>
    </row>
    <row r="7616" spans="5:13" x14ac:dyDescent="0.25">
      <c r="E7616"/>
      <c r="M7616"/>
    </row>
    <row r="7617" spans="5:13" x14ac:dyDescent="0.25">
      <c r="E7617"/>
      <c r="M7617"/>
    </row>
    <row r="7618" spans="5:13" x14ac:dyDescent="0.25">
      <c r="E7618"/>
      <c r="M7618"/>
    </row>
    <row r="7619" spans="5:13" x14ac:dyDescent="0.25">
      <c r="E7619"/>
      <c r="M7619"/>
    </row>
    <row r="7620" spans="5:13" x14ac:dyDescent="0.25">
      <c r="E7620"/>
      <c r="M7620"/>
    </row>
    <row r="7621" spans="5:13" x14ac:dyDescent="0.25">
      <c r="E7621"/>
      <c r="M7621"/>
    </row>
    <row r="7622" spans="5:13" x14ac:dyDescent="0.25">
      <c r="E7622"/>
      <c r="M7622"/>
    </row>
    <row r="7623" spans="5:13" x14ac:dyDescent="0.25">
      <c r="E7623"/>
      <c r="M7623"/>
    </row>
    <row r="7624" spans="5:13" x14ac:dyDescent="0.25">
      <c r="E7624"/>
      <c r="M7624"/>
    </row>
    <row r="7625" spans="5:13" x14ac:dyDescent="0.25">
      <c r="E7625"/>
      <c r="M7625"/>
    </row>
    <row r="7626" spans="5:13" x14ac:dyDescent="0.25">
      <c r="E7626"/>
      <c r="M7626"/>
    </row>
    <row r="7627" spans="5:13" x14ac:dyDescent="0.25">
      <c r="E7627"/>
      <c r="M7627"/>
    </row>
    <row r="7628" spans="5:13" x14ac:dyDescent="0.25">
      <c r="E7628"/>
      <c r="M7628"/>
    </row>
    <row r="7629" spans="5:13" x14ac:dyDescent="0.25">
      <c r="E7629"/>
      <c r="M7629"/>
    </row>
    <row r="7630" spans="5:13" x14ac:dyDescent="0.25">
      <c r="E7630"/>
      <c r="M7630"/>
    </row>
    <row r="7631" spans="5:13" x14ac:dyDescent="0.25">
      <c r="E7631"/>
      <c r="M7631"/>
    </row>
    <row r="7632" spans="5:13" x14ac:dyDescent="0.25">
      <c r="E7632"/>
      <c r="M7632"/>
    </row>
    <row r="7633" spans="5:13" x14ac:dyDescent="0.25">
      <c r="E7633"/>
      <c r="M7633"/>
    </row>
    <row r="7634" spans="5:13" x14ac:dyDescent="0.25">
      <c r="E7634"/>
      <c r="M7634"/>
    </row>
    <row r="7635" spans="5:13" x14ac:dyDescent="0.25">
      <c r="E7635"/>
      <c r="M7635"/>
    </row>
    <row r="7636" spans="5:13" x14ac:dyDescent="0.25">
      <c r="E7636"/>
      <c r="M7636"/>
    </row>
    <row r="7637" spans="5:13" x14ac:dyDescent="0.25">
      <c r="E7637"/>
      <c r="M7637"/>
    </row>
    <row r="7638" spans="5:13" x14ac:dyDescent="0.25">
      <c r="E7638"/>
      <c r="M7638"/>
    </row>
    <row r="7639" spans="5:13" x14ac:dyDescent="0.25">
      <c r="E7639"/>
      <c r="M7639"/>
    </row>
    <row r="7640" spans="5:13" x14ac:dyDescent="0.25">
      <c r="E7640"/>
      <c r="M7640"/>
    </row>
    <row r="7641" spans="5:13" x14ac:dyDescent="0.25">
      <c r="E7641"/>
      <c r="M7641"/>
    </row>
    <row r="7642" spans="5:13" x14ac:dyDescent="0.25">
      <c r="E7642"/>
      <c r="M7642"/>
    </row>
    <row r="7643" spans="5:13" x14ac:dyDescent="0.25">
      <c r="E7643"/>
      <c r="M7643"/>
    </row>
    <row r="7644" spans="5:13" x14ac:dyDescent="0.25">
      <c r="E7644"/>
      <c r="M7644"/>
    </row>
    <row r="7645" spans="5:13" x14ac:dyDescent="0.25">
      <c r="E7645"/>
      <c r="M7645"/>
    </row>
    <row r="7646" spans="5:13" x14ac:dyDescent="0.25">
      <c r="E7646"/>
      <c r="M7646"/>
    </row>
    <row r="7647" spans="5:13" x14ac:dyDescent="0.25">
      <c r="E7647"/>
      <c r="M7647"/>
    </row>
    <row r="7648" spans="5:13" x14ac:dyDescent="0.25">
      <c r="E7648"/>
      <c r="M7648"/>
    </row>
    <row r="7649" spans="5:13" x14ac:dyDescent="0.25">
      <c r="E7649"/>
      <c r="M7649"/>
    </row>
    <row r="7650" spans="5:13" x14ac:dyDescent="0.25">
      <c r="E7650"/>
      <c r="M7650"/>
    </row>
    <row r="7651" spans="5:13" x14ac:dyDescent="0.25">
      <c r="E7651"/>
      <c r="M7651"/>
    </row>
    <row r="7652" spans="5:13" x14ac:dyDescent="0.25">
      <c r="E7652"/>
      <c r="M7652"/>
    </row>
    <row r="7653" spans="5:13" x14ac:dyDescent="0.25">
      <c r="E7653"/>
      <c r="M7653"/>
    </row>
    <row r="7654" spans="5:13" x14ac:dyDescent="0.25">
      <c r="E7654"/>
      <c r="M7654"/>
    </row>
    <row r="7655" spans="5:13" x14ac:dyDescent="0.25">
      <c r="E7655"/>
      <c r="M7655"/>
    </row>
    <row r="7656" spans="5:13" x14ac:dyDescent="0.25">
      <c r="E7656"/>
      <c r="M7656"/>
    </row>
    <row r="7657" spans="5:13" x14ac:dyDescent="0.25">
      <c r="E7657"/>
      <c r="M7657"/>
    </row>
    <row r="7658" spans="5:13" x14ac:dyDescent="0.25">
      <c r="E7658"/>
      <c r="M7658"/>
    </row>
    <row r="7659" spans="5:13" x14ac:dyDescent="0.25">
      <c r="E7659"/>
      <c r="M7659"/>
    </row>
    <row r="7660" spans="5:13" x14ac:dyDescent="0.25">
      <c r="E7660"/>
      <c r="M7660"/>
    </row>
    <row r="7661" spans="5:13" x14ac:dyDescent="0.25">
      <c r="E7661"/>
      <c r="M7661"/>
    </row>
    <row r="7662" spans="5:13" x14ac:dyDescent="0.25">
      <c r="E7662"/>
      <c r="M7662"/>
    </row>
    <row r="7663" spans="5:13" x14ac:dyDescent="0.25">
      <c r="E7663"/>
      <c r="M7663"/>
    </row>
    <row r="7664" spans="5:13" x14ac:dyDescent="0.25">
      <c r="E7664"/>
      <c r="M7664"/>
    </row>
    <row r="7665" spans="5:13" x14ac:dyDescent="0.25">
      <c r="E7665"/>
      <c r="M7665"/>
    </row>
    <row r="7666" spans="5:13" x14ac:dyDescent="0.25">
      <c r="E7666"/>
      <c r="M7666"/>
    </row>
    <row r="7667" spans="5:13" x14ac:dyDescent="0.25">
      <c r="E7667"/>
      <c r="M7667"/>
    </row>
    <row r="7668" spans="5:13" x14ac:dyDescent="0.25">
      <c r="E7668"/>
      <c r="M7668"/>
    </row>
    <row r="7669" spans="5:13" x14ac:dyDescent="0.25">
      <c r="E7669"/>
      <c r="M7669"/>
    </row>
    <row r="7670" spans="5:13" x14ac:dyDescent="0.25">
      <c r="E7670"/>
      <c r="M7670"/>
    </row>
    <row r="7671" spans="5:13" x14ac:dyDescent="0.25">
      <c r="E7671"/>
      <c r="M7671"/>
    </row>
    <row r="7672" spans="5:13" x14ac:dyDescent="0.25">
      <c r="E7672"/>
      <c r="M7672"/>
    </row>
    <row r="7673" spans="5:13" x14ac:dyDescent="0.25">
      <c r="E7673"/>
      <c r="M7673"/>
    </row>
    <row r="7674" spans="5:13" x14ac:dyDescent="0.25">
      <c r="E7674"/>
      <c r="M7674"/>
    </row>
    <row r="7675" spans="5:13" x14ac:dyDescent="0.25">
      <c r="E7675"/>
      <c r="M7675"/>
    </row>
    <row r="7676" spans="5:13" x14ac:dyDescent="0.25">
      <c r="E7676"/>
      <c r="M7676"/>
    </row>
    <row r="7677" spans="5:13" x14ac:dyDescent="0.25">
      <c r="E7677"/>
      <c r="M7677"/>
    </row>
    <row r="7678" spans="5:13" x14ac:dyDescent="0.25">
      <c r="E7678"/>
      <c r="M7678"/>
    </row>
    <row r="7679" spans="5:13" x14ac:dyDescent="0.25">
      <c r="E7679"/>
      <c r="M7679"/>
    </row>
    <row r="7680" spans="5:13" x14ac:dyDescent="0.25">
      <c r="E7680"/>
      <c r="M7680"/>
    </row>
    <row r="7681" spans="5:13" x14ac:dyDescent="0.25">
      <c r="E7681"/>
      <c r="M7681"/>
    </row>
    <row r="7682" spans="5:13" x14ac:dyDescent="0.25">
      <c r="E7682"/>
      <c r="M7682"/>
    </row>
    <row r="7683" spans="5:13" x14ac:dyDescent="0.25">
      <c r="E7683"/>
      <c r="M7683"/>
    </row>
    <row r="7684" spans="5:13" x14ac:dyDescent="0.25">
      <c r="E7684"/>
      <c r="M7684"/>
    </row>
    <row r="7685" spans="5:13" x14ac:dyDescent="0.25">
      <c r="E7685"/>
      <c r="M7685"/>
    </row>
    <row r="7686" spans="5:13" x14ac:dyDescent="0.25">
      <c r="E7686"/>
      <c r="M7686"/>
    </row>
    <row r="7687" spans="5:13" x14ac:dyDescent="0.25">
      <c r="E7687"/>
      <c r="M7687"/>
    </row>
    <row r="7688" spans="5:13" x14ac:dyDescent="0.25">
      <c r="E7688"/>
      <c r="M7688"/>
    </row>
    <row r="7689" spans="5:13" x14ac:dyDescent="0.25">
      <c r="E7689"/>
      <c r="M7689"/>
    </row>
    <row r="7690" spans="5:13" x14ac:dyDescent="0.25">
      <c r="E7690"/>
      <c r="M7690"/>
    </row>
    <row r="7691" spans="5:13" x14ac:dyDescent="0.25">
      <c r="E7691"/>
      <c r="M7691"/>
    </row>
    <row r="7692" spans="5:13" x14ac:dyDescent="0.25">
      <c r="E7692"/>
      <c r="M7692"/>
    </row>
    <row r="7693" spans="5:13" x14ac:dyDescent="0.25">
      <c r="E7693"/>
      <c r="M7693"/>
    </row>
    <row r="7694" spans="5:13" x14ac:dyDescent="0.25">
      <c r="E7694"/>
      <c r="M7694"/>
    </row>
    <row r="7695" spans="5:13" x14ac:dyDescent="0.25">
      <c r="E7695"/>
      <c r="M7695"/>
    </row>
    <row r="7696" spans="5:13" x14ac:dyDescent="0.25">
      <c r="E7696"/>
      <c r="M7696"/>
    </row>
    <row r="7697" spans="5:13" x14ac:dyDescent="0.25">
      <c r="E7697"/>
      <c r="M7697"/>
    </row>
    <row r="7698" spans="5:13" x14ac:dyDescent="0.25">
      <c r="E7698"/>
      <c r="M7698"/>
    </row>
    <row r="7699" spans="5:13" x14ac:dyDescent="0.25">
      <c r="E7699"/>
      <c r="M7699"/>
    </row>
    <row r="7700" spans="5:13" x14ac:dyDescent="0.25">
      <c r="E7700"/>
      <c r="M7700"/>
    </row>
    <row r="7701" spans="5:13" x14ac:dyDescent="0.25">
      <c r="E7701"/>
      <c r="M7701"/>
    </row>
    <row r="7702" spans="5:13" x14ac:dyDescent="0.25">
      <c r="E7702"/>
      <c r="M7702"/>
    </row>
    <row r="7703" spans="5:13" x14ac:dyDescent="0.25">
      <c r="E7703"/>
      <c r="M7703"/>
    </row>
    <row r="7704" spans="5:13" x14ac:dyDescent="0.25">
      <c r="E7704"/>
      <c r="M7704"/>
    </row>
    <row r="7705" spans="5:13" x14ac:dyDescent="0.25">
      <c r="E7705"/>
      <c r="M7705"/>
    </row>
    <row r="7706" spans="5:13" x14ac:dyDescent="0.25">
      <c r="E7706"/>
      <c r="M7706"/>
    </row>
    <row r="7707" spans="5:13" x14ac:dyDescent="0.25">
      <c r="E7707"/>
      <c r="M7707"/>
    </row>
    <row r="7708" spans="5:13" x14ac:dyDescent="0.25">
      <c r="E7708"/>
      <c r="M7708"/>
    </row>
    <row r="7709" spans="5:13" x14ac:dyDescent="0.25">
      <c r="E7709"/>
      <c r="M7709"/>
    </row>
    <row r="7710" spans="5:13" x14ac:dyDescent="0.25">
      <c r="E7710"/>
      <c r="M7710"/>
    </row>
    <row r="7711" spans="5:13" x14ac:dyDescent="0.25">
      <c r="E7711"/>
      <c r="M7711"/>
    </row>
    <row r="7712" spans="5:13" x14ac:dyDescent="0.25">
      <c r="E7712"/>
      <c r="M7712"/>
    </row>
    <row r="7713" spans="5:13" x14ac:dyDescent="0.25">
      <c r="E7713"/>
      <c r="M7713"/>
    </row>
    <row r="7714" spans="5:13" x14ac:dyDescent="0.25">
      <c r="E7714"/>
      <c r="M7714"/>
    </row>
    <row r="7715" spans="5:13" x14ac:dyDescent="0.25">
      <c r="E7715"/>
      <c r="M7715"/>
    </row>
    <row r="7716" spans="5:13" x14ac:dyDescent="0.25">
      <c r="E7716"/>
      <c r="M7716"/>
    </row>
    <row r="7717" spans="5:13" x14ac:dyDescent="0.25">
      <c r="E7717"/>
      <c r="M7717"/>
    </row>
    <row r="7718" spans="5:13" x14ac:dyDescent="0.25">
      <c r="E7718"/>
      <c r="M7718"/>
    </row>
    <row r="7719" spans="5:13" x14ac:dyDescent="0.25">
      <c r="E7719"/>
      <c r="M7719"/>
    </row>
    <row r="7720" spans="5:13" x14ac:dyDescent="0.25">
      <c r="E7720"/>
      <c r="M7720"/>
    </row>
    <row r="7721" spans="5:13" x14ac:dyDescent="0.25">
      <c r="E7721"/>
      <c r="M7721"/>
    </row>
    <row r="7722" spans="5:13" x14ac:dyDescent="0.25">
      <c r="E7722"/>
      <c r="M7722"/>
    </row>
    <row r="7723" spans="5:13" x14ac:dyDescent="0.25">
      <c r="E7723"/>
      <c r="M7723"/>
    </row>
    <row r="7724" spans="5:13" x14ac:dyDescent="0.25">
      <c r="E7724"/>
      <c r="M7724"/>
    </row>
    <row r="7725" spans="5:13" x14ac:dyDescent="0.25">
      <c r="E7725"/>
      <c r="M7725"/>
    </row>
    <row r="7726" spans="5:13" x14ac:dyDescent="0.25">
      <c r="E7726"/>
      <c r="M7726"/>
    </row>
    <row r="7727" spans="5:13" x14ac:dyDescent="0.25">
      <c r="E7727"/>
      <c r="M7727"/>
    </row>
    <row r="7728" spans="5:13" x14ac:dyDescent="0.25">
      <c r="E7728"/>
      <c r="M7728"/>
    </row>
    <row r="7729" spans="5:13" x14ac:dyDescent="0.25">
      <c r="E7729"/>
      <c r="M7729"/>
    </row>
    <row r="7730" spans="5:13" x14ac:dyDescent="0.25">
      <c r="E7730"/>
      <c r="M7730"/>
    </row>
    <row r="7731" spans="5:13" x14ac:dyDescent="0.25">
      <c r="E7731"/>
      <c r="M7731"/>
    </row>
    <row r="7732" spans="5:13" x14ac:dyDescent="0.25">
      <c r="E7732"/>
      <c r="M7732"/>
    </row>
    <row r="7733" spans="5:13" x14ac:dyDescent="0.25">
      <c r="E7733"/>
      <c r="M7733"/>
    </row>
    <row r="7734" spans="5:13" x14ac:dyDescent="0.25">
      <c r="E7734"/>
      <c r="M7734"/>
    </row>
    <row r="7735" spans="5:13" x14ac:dyDescent="0.25">
      <c r="E7735"/>
      <c r="M7735"/>
    </row>
    <row r="7736" spans="5:13" x14ac:dyDescent="0.25">
      <c r="E7736"/>
      <c r="M7736"/>
    </row>
    <row r="7737" spans="5:13" x14ac:dyDescent="0.25">
      <c r="E7737"/>
      <c r="M7737"/>
    </row>
    <row r="7738" spans="5:13" x14ac:dyDescent="0.25">
      <c r="E7738"/>
      <c r="M7738"/>
    </row>
    <row r="7739" spans="5:13" x14ac:dyDescent="0.25">
      <c r="E7739"/>
      <c r="M7739"/>
    </row>
    <row r="7740" spans="5:13" x14ac:dyDescent="0.25">
      <c r="E7740"/>
      <c r="M7740"/>
    </row>
    <row r="7741" spans="5:13" x14ac:dyDescent="0.25">
      <c r="E7741"/>
      <c r="M7741"/>
    </row>
    <row r="7742" spans="5:13" x14ac:dyDescent="0.25">
      <c r="E7742"/>
      <c r="M7742"/>
    </row>
    <row r="7743" spans="5:13" x14ac:dyDescent="0.25">
      <c r="E7743"/>
      <c r="M7743"/>
    </row>
    <row r="7744" spans="5:13" x14ac:dyDescent="0.25">
      <c r="E7744"/>
      <c r="M7744"/>
    </row>
    <row r="7745" spans="5:13" x14ac:dyDescent="0.25">
      <c r="E7745"/>
      <c r="M7745"/>
    </row>
    <row r="7746" spans="5:13" x14ac:dyDescent="0.25">
      <c r="E7746"/>
      <c r="M7746"/>
    </row>
    <row r="7747" spans="5:13" x14ac:dyDescent="0.25">
      <c r="E7747"/>
      <c r="M7747"/>
    </row>
    <row r="7748" spans="5:13" x14ac:dyDescent="0.25">
      <c r="E7748"/>
      <c r="M7748"/>
    </row>
    <row r="7749" spans="5:13" x14ac:dyDescent="0.25">
      <c r="E7749"/>
      <c r="M7749"/>
    </row>
    <row r="7750" spans="5:13" x14ac:dyDescent="0.25">
      <c r="E7750"/>
      <c r="M7750"/>
    </row>
    <row r="7751" spans="5:13" x14ac:dyDescent="0.25">
      <c r="E7751"/>
      <c r="M7751"/>
    </row>
    <row r="7752" spans="5:13" x14ac:dyDescent="0.25">
      <c r="E7752"/>
      <c r="M7752"/>
    </row>
    <row r="7753" spans="5:13" x14ac:dyDescent="0.25">
      <c r="E7753"/>
      <c r="M7753"/>
    </row>
    <row r="7754" spans="5:13" x14ac:dyDescent="0.25">
      <c r="E7754"/>
      <c r="M7754"/>
    </row>
    <row r="7755" spans="5:13" x14ac:dyDescent="0.25">
      <c r="E7755"/>
      <c r="M7755"/>
    </row>
    <row r="7756" spans="5:13" x14ac:dyDescent="0.25">
      <c r="E7756"/>
      <c r="M7756"/>
    </row>
    <row r="7757" spans="5:13" x14ac:dyDescent="0.25">
      <c r="E7757"/>
      <c r="M7757"/>
    </row>
    <row r="7758" spans="5:13" x14ac:dyDescent="0.25">
      <c r="E7758"/>
      <c r="M7758"/>
    </row>
    <row r="7759" spans="5:13" x14ac:dyDescent="0.25">
      <c r="E7759"/>
      <c r="M7759"/>
    </row>
    <row r="7760" spans="5:13" x14ac:dyDescent="0.25">
      <c r="E7760"/>
      <c r="M7760"/>
    </row>
    <row r="7761" spans="5:13" x14ac:dyDescent="0.25">
      <c r="E7761"/>
      <c r="M7761"/>
    </row>
    <row r="7762" spans="5:13" x14ac:dyDescent="0.25">
      <c r="E7762"/>
      <c r="M7762"/>
    </row>
    <row r="7763" spans="5:13" x14ac:dyDescent="0.25">
      <c r="E7763"/>
      <c r="M7763"/>
    </row>
    <row r="7764" spans="5:13" x14ac:dyDescent="0.25">
      <c r="E7764"/>
      <c r="M7764"/>
    </row>
    <row r="7765" spans="5:13" x14ac:dyDescent="0.25">
      <c r="E7765"/>
      <c r="M7765"/>
    </row>
    <row r="7766" spans="5:13" x14ac:dyDescent="0.25">
      <c r="E7766"/>
      <c r="M7766"/>
    </row>
    <row r="7767" spans="5:13" x14ac:dyDescent="0.25">
      <c r="E7767"/>
      <c r="M7767"/>
    </row>
    <row r="7768" spans="5:13" x14ac:dyDescent="0.25">
      <c r="E7768"/>
      <c r="M7768"/>
    </row>
    <row r="7769" spans="5:13" x14ac:dyDescent="0.25">
      <c r="E7769"/>
      <c r="M7769"/>
    </row>
    <row r="7770" spans="5:13" x14ac:dyDescent="0.25">
      <c r="E7770"/>
      <c r="M7770"/>
    </row>
    <row r="7771" spans="5:13" x14ac:dyDescent="0.25">
      <c r="E7771"/>
      <c r="M7771"/>
    </row>
    <row r="7772" spans="5:13" x14ac:dyDescent="0.25">
      <c r="E7772"/>
      <c r="M7772"/>
    </row>
    <row r="7773" spans="5:13" x14ac:dyDescent="0.25">
      <c r="E7773"/>
      <c r="M7773"/>
    </row>
    <row r="7774" spans="5:13" x14ac:dyDescent="0.25">
      <c r="E7774"/>
      <c r="M7774"/>
    </row>
    <row r="7775" spans="5:13" x14ac:dyDescent="0.25">
      <c r="E7775"/>
      <c r="M7775"/>
    </row>
    <row r="7776" spans="5:13" x14ac:dyDescent="0.25">
      <c r="E7776"/>
      <c r="M7776"/>
    </row>
    <row r="7777" spans="5:13" x14ac:dyDescent="0.25">
      <c r="E7777"/>
      <c r="M7777"/>
    </row>
    <row r="7778" spans="5:13" x14ac:dyDescent="0.25">
      <c r="E7778"/>
      <c r="M7778"/>
    </row>
    <row r="7779" spans="5:13" x14ac:dyDescent="0.25">
      <c r="E7779"/>
      <c r="M7779"/>
    </row>
    <row r="7780" spans="5:13" x14ac:dyDescent="0.25">
      <c r="E7780"/>
      <c r="M7780"/>
    </row>
    <row r="7781" spans="5:13" x14ac:dyDescent="0.25">
      <c r="E7781"/>
      <c r="M7781"/>
    </row>
    <row r="7782" spans="5:13" x14ac:dyDescent="0.25">
      <c r="E7782"/>
      <c r="M7782"/>
    </row>
    <row r="7783" spans="5:13" x14ac:dyDescent="0.25">
      <c r="E7783"/>
      <c r="M7783"/>
    </row>
    <row r="7784" spans="5:13" x14ac:dyDescent="0.25">
      <c r="E7784"/>
      <c r="M7784"/>
    </row>
    <row r="7785" spans="5:13" x14ac:dyDescent="0.25">
      <c r="E7785"/>
      <c r="M7785"/>
    </row>
    <row r="7786" spans="5:13" x14ac:dyDescent="0.25">
      <c r="E7786"/>
      <c r="M7786"/>
    </row>
    <row r="7787" spans="5:13" x14ac:dyDescent="0.25">
      <c r="E7787"/>
      <c r="M7787"/>
    </row>
    <row r="7788" spans="5:13" x14ac:dyDescent="0.25">
      <c r="E7788"/>
      <c r="M7788"/>
    </row>
    <row r="7789" spans="5:13" x14ac:dyDescent="0.25">
      <c r="E7789"/>
      <c r="M7789"/>
    </row>
    <row r="7790" spans="5:13" x14ac:dyDescent="0.25">
      <c r="E7790"/>
      <c r="M7790"/>
    </row>
    <row r="7791" spans="5:13" x14ac:dyDescent="0.25">
      <c r="E7791"/>
      <c r="M7791"/>
    </row>
    <row r="7792" spans="5:13" x14ac:dyDescent="0.25">
      <c r="E7792"/>
      <c r="M7792"/>
    </row>
    <row r="7793" spans="5:13" x14ac:dyDescent="0.25">
      <c r="E7793"/>
      <c r="M7793"/>
    </row>
    <row r="7794" spans="5:13" x14ac:dyDescent="0.25">
      <c r="E7794"/>
      <c r="M7794"/>
    </row>
    <row r="7795" spans="5:13" x14ac:dyDescent="0.25">
      <c r="E7795"/>
      <c r="M7795"/>
    </row>
    <row r="7796" spans="5:13" x14ac:dyDescent="0.25">
      <c r="E7796"/>
      <c r="M7796"/>
    </row>
    <row r="7797" spans="5:13" x14ac:dyDescent="0.25">
      <c r="E7797"/>
      <c r="M7797"/>
    </row>
    <row r="7798" spans="5:13" x14ac:dyDescent="0.25">
      <c r="E7798"/>
      <c r="M7798"/>
    </row>
    <row r="7799" spans="5:13" x14ac:dyDescent="0.25">
      <c r="E7799"/>
      <c r="M7799"/>
    </row>
    <row r="7800" spans="5:13" x14ac:dyDescent="0.25">
      <c r="E7800"/>
      <c r="M7800"/>
    </row>
    <row r="7801" spans="5:13" x14ac:dyDescent="0.25">
      <c r="E7801"/>
      <c r="M7801"/>
    </row>
    <row r="7802" spans="5:13" x14ac:dyDescent="0.25">
      <c r="E7802"/>
      <c r="M7802"/>
    </row>
    <row r="7803" spans="5:13" x14ac:dyDescent="0.25">
      <c r="E7803"/>
      <c r="M7803"/>
    </row>
    <row r="7804" spans="5:13" x14ac:dyDescent="0.25">
      <c r="E7804"/>
      <c r="M7804"/>
    </row>
    <row r="7805" spans="5:13" x14ac:dyDescent="0.25">
      <c r="E7805"/>
      <c r="M7805"/>
    </row>
    <row r="7806" spans="5:13" x14ac:dyDescent="0.25">
      <c r="E7806"/>
      <c r="M7806"/>
    </row>
    <row r="7807" spans="5:13" x14ac:dyDescent="0.25">
      <c r="E7807"/>
      <c r="M7807"/>
    </row>
    <row r="7808" spans="5:13" x14ac:dyDescent="0.25">
      <c r="E7808"/>
      <c r="M7808"/>
    </row>
    <row r="7809" spans="5:13" x14ac:dyDescent="0.25">
      <c r="E7809"/>
      <c r="M7809"/>
    </row>
    <row r="7810" spans="5:13" x14ac:dyDescent="0.25">
      <c r="E7810"/>
      <c r="M7810"/>
    </row>
    <row r="7811" spans="5:13" x14ac:dyDescent="0.25">
      <c r="E7811"/>
      <c r="M7811"/>
    </row>
    <row r="7812" spans="5:13" x14ac:dyDescent="0.25">
      <c r="E7812"/>
      <c r="M7812"/>
    </row>
    <row r="7813" spans="5:13" x14ac:dyDescent="0.25">
      <c r="E7813"/>
      <c r="M7813"/>
    </row>
    <row r="7814" spans="5:13" x14ac:dyDescent="0.25">
      <c r="E7814"/>
      <c r="M7814"/>
    </row>
    <row r="7815" spans="5:13" x14ac:dyDescent="0.25">
      <c r="E7815"/>
      <c r="M7815"/>
    </row>
    <row r="7816" spans="5:13" x14ac:dyDescent="0.25">
      <c r="E7816"/>
      <c r="M7816"/>
    </row>
    <row r="7817" spans="5:13" x14ac:dyDescent="0.25">
      <c r="E7817"/>
      <c r="M7817"/>
    </row>
    <row r="7818" spans="5:13" x14ac:dyDescent="0.25">
      <c r="E7818"/>
      <c r="M7818"/>
    </row>
    <row r="7819" spans="5:13" x14ac:dyDescent="0.25">
      <c r="E7819"/>
      <c r="M7819"/>
    </row>
    <row r="7820" spans="5:13" x14ac:dyDescent="0.25">
      <c r="E7820"/>
      <c r="M7820"/>
    </row>
    <row r="7821" spans="5:13" x14ac:dyDescent="0.25">
      <c r="E7821"/>
      <c r="M7821"/>
    </row>
    <row r="7822" spans="5:13" x14ac:dyDescent="0.25">
      <c r="E7822"/>
      <c r="M7822"/>
    </row>
    <row r="7823" spans="5:13" x14ac:dyDescent="0.25">
      <c r="E7823"/>
      <c r="M7823"/>
    </row>
    <row r="7824" spans="5:13" x14ac:dyDescent="0.25">
      <c r="E7824"/>
      <c r="M7824"/>
    </row>
    <row r="7825" spans="5:13" x14ac:dyDescent="0.25">
      <c r="E7825"/>
      <c r="M7825"/>
    </row>
    <row r="7826" spans="5:13" x14ac:dyDescent="0.25">
      <c r="E7826"/>
      <c r="M7826"/>
    </row>
    <row r="7827" spans="5:13" x14ac:dyDescent="0.25">
      <c r="E7827"/>
      <c r="M7827"/>
    </row>
    <row r="7828" spans="5:13" x14ac:dyDescent="0.25">
      <c r="E7828"/>
      <c r="M7828"/>
    </row>
    <row r="7829" spans="5:13" x14ac:dyDescent="0.25">
      <c r="E7829"/>
      <c r="M7829"/>
    </row>
    <row r="7830" spans="5:13" x14ac:dyDescent="0.25">
      <c r="E7830"/>
      <c r="M7830"/>
    </row>
    <row r="7831" spans="5:13" x14ac:dyDescent="0.25">
      <c r="E7831"/>
      <c r="M7831"/>
    </row>
    <row r="7832" spans="5:13" x14ac:dyDescent="0.25">
      <c r="E7832"/>
      <c r="M7832"/>
    </row>
    <row r="7833" spans="5:13" x14ac:dyDescent="0.25">
      <c r="E7833"/>
      <c r="M7833"/>
    </row>
    <row r="7834" spans="5:13" x14ac:dyDescent="0.25">
      <c r="E7834"/>
      <c r="M7834"/>
    </row>
    <row r="7835" spans="5:13" x14ac:dyDescent="0.25">
      <c r="E7835"/>
      <c r="M7835"/>
    </row>
    <row r="7836" spans="5:13" x14ac:dyDescent="0.25">
      <c r="E7836"/>
      <c r="M7836"/>
    </row>
    <row r="7837" spans="5:13" x14ac:dyDescent="0.25">
      <c r="E7837"/>
      <c r="M7837"/>
    </row>
    <row r="7838" spans="5:13" x14ac:dyDescent="0.25">
      <c r="E7838"/>
      <c r="M7838"/>
    </row>
    <row r="7839" spans="5:13" x14ac:dyDescent="0.25">
      <c r="E7839"/>
      <c r="M7839"/>
    </row>
    <row r="7840" spans="5:13" x14ac:dyDescent="0.25">
      <c r="E7840"/>
      <c r="M7840"/>
    </row>
    <row r="7841" spans="5:13" x14ac:dyDescent="0.25">
      <c r="E7841"/>
      <c r="M7841"/>
    </row>
    <row r="7842" spans="5:13" x14ac:dyDescent="0.25">
      <c r="E7842"/>
      <c r="M7842"/>
    </row>
    <row r="7843" spans="5:13" x14ac:dyDescent="0.25">
      <c r="E7843"/>
      <c r="M7843"/>
    </row>
    <row r="7844" spans="5:13" x14ac:dyDescent="0.25">
      <c r="E7844"/>
      <c r="M7844"/>
    </row>
    <row r="7845" spans="5:13" x14ac:dyDescent="0.25">
      <c r="E7845"/>
      <c r="M7845"/>
    </row>
    <row r="7846" spans="5:13" x14ac:dyDescent="0.25">
      <c r="E7846"/>
      <c r="M7846"/>
    </row>
    <row r="7847" spans="5:13" x14ac:dyDescent="0.25">
      <c r="E7847"/>
      <c r="M7847"/>
    </row>
    <row r="7848" spans="5:13" x14ac:dyDescent="0.25">
      <c r="E7848"/>
      <c r="M7848"/>
    </row>
    <row r="7849" spans="5:13" x14ac:dyDescent="0.25">
      <c r="E7849"/>
      <c r="M7849"/>
    </row>
    <row r="7850" spans="5:13" x14ac:dyDescent="0.25">
      <c r="E7850"/>
      <c r="M7850"/>
    </row>
    <row r="7851" spans="5:13" x14ac:dyDescent="0.25">
      <c r="E7851"/>
      <c r="M7851"/>
    </row>
    <row r="7852" spans="5:13" x14ac:dyDescent="0.25">
      <c r="E7852"/>
      <c r="M7852"/>
    </row>
    <row r="7853" spans="5:13" x14ac:dyDescent="0.25">
      <c r="E7853"/>
      <c r="M7853"/>
    </row>
    <row r="7854" spans="5:13" x14ac:dyDescent="0.25">
      <c r="E7854"/>
      <c r="M7854"/>
    </row>
    <row r="7855" spans="5:13" x14ac:dyDescent="0.25">
      <c r="E7855"/>
      <c r="M7855"/>
    </row>
    <row r="7856" spans="5:13" x14ac:dyDescent="0.25">
      <c r="E7856"/>
      <c r="M7856"/>
    </row>
    <row r="7857" spans="5:13" x14ac:dyDescent="0.25">
      <c r="E7857"/>
      <c r="M7857"/>
    </row>
    <row r="7858" spans="5:13" x14ac:dyDescent="0.25">
      <c r="E7858"/>
      <c r="M7858"/>
    </row>
    <row r="7859" spans="5:13" x14ac:dyDescent="0.25">
      <c r="E7859"/>
      <c r="M7859"/>
    </row>
    <row r="7860" spans="5:13" x14ac:dyDescent="0.25">
      <c r="E7860"/>
      <c r="M7860"/>
    </row>
    <row r="7861" spans="5:13" x14ac:dyDescent="0.25">
      <c r="E7861"/>
      <c r="M7861"/>
    </row>
    <row r="7862" spans="5:13" x14ac:dyDescent="0.25">
      <c r="E7862"/>
      <c r="M7862"/>
    </row>
    <row r="7863" spans="5:13" x14ac:dyDescent="0.25">
      <c r="E7863"/>
      <c r="M7863"/>
    </row>
    <row r="7864" spans="5:13" x14ac:dyDescent="0.25">
      <c r="E7864"/>
      <c r="M7864"/>
    </row>
    <row r="7865" spans="5:13" x14ac:dyDescent="0.25">
      <c r="E7865"/>
      <c r="M7865"/>
    </row>
    <row r="7866" spans="5:13" x14ac:dyDescent="0.25">
      <c r="E7866"/>
      <c r="M7866"/>
    </row>
    <row r="7867" spans="5:13" x14ac:dyDescent="0.25">
      <c r="E7867"/>
      <c r="M7867"/>
    </row>
    <row r="7868" spans="5:13" x14ac:dyDescent="0.25">
      <c r="E7868"/>
      <c r="M7868"/>
    </row>
    <row r="7869" spans="5:13" x14ac:dyDescent="0.25">
      <c r="E7869"/>
      <c r="M7869"/>
    </row>
    <row r="7870" spans="5:13" x14ac:dyDescent="0.25">
      <c r="E7870"/>
      <c r="M7870"/>
    </row>
    <row r="7871" spans="5:13" x14ac:dyDescent="0.25">
      <c r="E7871"/>
      <c r="M7871"/>
    </row>
    <row r="7872" spans="5:13" x14ac:dyDescent="0.25">
      <c r="E7872"/>
      <c r="M7872"/>
    </row>
    <row r="7873" spans="5:13" x14ac:dyDescent="0.25">
      <c r="E7873"/>
      <c r="M7873"/>
    </row>
    <row r="7874" spans="5:13" x14ac:dyDescent="0.25">
      <c r="E7874"/>
      <c r="M7874"/>
    </row>
    <row r="7875" spans="5:13" x14ac:dyDescent="0.25">
      <c r="E7875"/>
      <c r="M7875"/>
    </row>
    <row r="7876" spans="5:13" x14ac:dyDescent="0.25">
      <c r="E7876"/>
      <c r="M7876"/>
    </row>
    <row r="7877" spans="5:13" x14ac:dyDescent="0.25">
      <c r="E7877"/>
      <c r="M7877"/>
    </row>
    <row r="7878" spans="5:13" x14ac:dyDescent="0.25">
      <c r="E7878"/>
      <c r="M7878"/>
    </row>
    <row r="7879" spans="5:13" x14ac:dyDescent="0.25">
      <c r="E7879"/>
      <c r="M7879"/>
    </row>
    <row r="7880" spans="5:13" x14ac:dyDescent="0.25">
      <c r="E7880"/>
      <c r="M7880"/>
    </row>
    <row r="7881" spans="5:13" x14ac:dyDescent="0.25">
      <c r="E7881"/>
      <c r="M7881"/>
    </row>
    <row r="7882" spans="5:13" x14ac:dyDescent="0.25">
      <c r="E7882"/>
      <c r="M7882"/>
    </row>
    <row r="7883" spans="5:13" x14ac:dyDescent="0.25">
      <c r="E7883"/>
      <c r="M7883"/>
    </row>
    <row r="7884" spans="5:13" x14ac:dyDescent="0.25">
      <c r="E7884"/>
      <c r="M7884"/>
    </row>
    <row r="7885" spans="5:13" x14ac:dyDescent="0.25">
      <c r="E7885"/>
      <c r="M7885"/>
    </row>
    <row r="7886" spans="5:13" x14ac:dyDescent="0.25">
      <c r="E7886"/>
      <c r="M7886"/>
    </row>
    <row r="7887" spans="5:13" x14ac:dyDescent="0.25">
      <c r="E7887"/>
      <c r="M7887"/>
    </row>
    <row r="7888" spans="5:13" x14ac:dyDescent="0.25">
      <c r="E7888"/>
      <c r="M7888"/>
    </row>
    <row r="7889" spans="5:13" x14ac:dyDescent="0.25">
      <c r="E7889"/>
      <c r="M7889"/>
    </row>
    <row r="7890" spans="5:13" x14ac:dyDescent="0.25">
      <c r="E7890"/>
      <c r="M7890"/>
    </row>
    <row r="7891" spans="5:13" x14ac:dyDescent="0.25">
      <c r="E7891"/>
      <c r="M7891"/>
    </row>
    <row r="7892" spans="5:13" x14ac:dyDescent="0.25">
      <c r="E7892"/>
      <c r="M7892"/>
    </row>
    <row r="7893" spans="5:13" x14ac:dyDescent="0.25">
      <c r="E7893"/>
      <c r="M7893"/>
    </row>
    <row r="7894" spans="5:13" x14ac:dyDescent="0.25">
      <c r="E7894"/>
      <c r="M7894"/>
    </row>
    <row r="7895" spans="5:13" x14ac:dyDescent="0.25">
      <c r="E7895"/>
      <c r="M7895"/>
    </row>
    <row r="7896" spans="5:13" x14ac:dyDescent="0.25">
      <c r="E7896"/>
      <c r="M7896"/>
    </row>
    <row r="7897" spans="5:13" x14ac:dyDescent="0.25">
      <c r="E7897"/>
      <c r="M7897"/>
    </row>
    <row r="7898" spans="5:13" x14ac:dyDescent="0.25">
      <c r="E7898"/>
      <c r="M7898"/>
    </row>
    <row r="7899" spans="5:13" x14ac:dyDescent="0.25">
      <c r="E7899"/>
      <c r="M7899"/>
    </row>
    <row r="7900" spans="5:13" x14ac:dyDescent="0.25">
      <c r="E7900"/>
      <c r="M7900"/>
    </row>
    <row r="7901" spans="5:13" x14ac:dyDescent="0.25">
      <c r="E7901"/>
      <c r="M7901"/>
    </row>
    <row r="7902" spans="5:13" x14ac:dyDescent="0.25">
      <c r="E7902"/>
      <c r="M7902"/>
    </row>
    <row r="7903" spans="5:13" x14ac:dyDescent="0.25">
      <c r="E7903"/>
      <c r="M7903"/>
    </row>
    <row r="7904" spans="5:13" x14ac:dyDescent="0.25">
      <c r="E7904"/>
      <c r="M7904"/>
    </row>
    <row r="7905" spans="5:13" x14ac:dyDescent="0.25">
      <c r="E7905"/>
      <c r="M7905"/>
    </row>
    <row r="7906" spans="5:13" x14ac:dyDescent="0.25">
      <c r="E7906"/>
      <c r="M7906"/>
    </row>
    <row r="7907" spans="5:13" x14ac:dyDescent="0.25">
      <c r="E7907"/>
      <c r="M7907"/>
    </row>
    <row r="7908" spans="5:13" x14ac:dyDescent="0.25">
      <c r="E7908"/>
      <c r="M7908"/>
    </row>
    <row r="7909" spans="5:13" x14ac:dyDescent="0.25">
      <c r="E7909"/>
      <c r="M7909"/>
    </row>
    <row r="7910" spans="5:13" x14ac:dyDescent="0.25">
      <c r="E7910"/>
      <c r="M7910"/>
    </row>
    <row r="7911" spans="5:13" x14ac:dyDescent="0.25">
      <c r="E7911"/>
      <c r="M7911"/>
    </row>
    <row r="7912" spans="5:13" x14ac:dyDescent="0.25">
      <c r="E7912"/>
      <c r="M7912"/>
    </row>
    <row r="7913" spans="5:13" x14ac:dyDescent="0.25">
      <c r="E7913"/>
      <c r="M7913"/>
    </row>
    <row r="7914" spans="5:13" x14ac:dyDescent="0.25">
      <c r="E7914"/>
      <c r="M7914"/>
    </row>
    <row r="7915" spans="5:13" x14ac:dyDescent="0.25">
      <c r="E7915"/>
      <c r="M7915"/>
    </row>
    <row r="7916" spans="5:13" x14ac:dyDescent="0.25">
      <c r="E7916"/>
      <c r="M7916"/>
    </row>
    <row r="7917" spans="5:13" x14ac:dyDescent="0.25">
      <c r="E7917"/>
      <c r="M7917"/>
    </row>
    <row r="7918" spans="5:13" x14ac:dyDescent="0.25">
      <c r="E7918"/>
      <c r="M7918"/>
    </row>
    <row r="7919" spans="5:13" x14ac:dyDescent="0.25">
      <c r="E7919"/>
      <c r="M7919"/>
    </row>
    <row r="7920" spans="5:13" x14ac:dyDescent="0.25">
      <c r="E7920"/>
      <c r="M7920"/>
    </row>
    <row r="7921" spans="5:13" x14ac:dyDescent="0.25">
      <c r="E7921"/>
      <c r="M7921"/>
    </row>
    <row r="7922" spans="5:13" x14ac:dyDescent="0.25">
      <c r="E7922"/>
      <c r="M7922"/>
    </row>
    <row r="7923" spans="5:13" x14ac:dyDescent="0.25">
      <c r="E7923"/>
      <c r="M7923"/>
    </row>
    <row r="7924" spans="5:13" x14ac:dyDescent="0.25">
      <c r="E7924"/>
      <c r="M7924"/>
    </row>
    <row r="7925" spans="5:13" x14ac:dyDescent="0.25">
      <c r="E7925"/>
      <c r="M7925"/>
    </row>
    <row r="7926" spans="5:13" x14ac:dyDescent="0.25">
      <c r="E7926"/>
      <c r="M7926"/>
    </row>
    <row r="7927" spans="5:13" x14ac:dyDescent="0.25">
      <c r="E7927"/>
      <c r="M7927"/>
    </row>
    <row r="7928" spans="5:13" x14ac:dyDescent="0.25">
      <c r="E7928"/>
      <c r="M7928"/>
    </row>
    <row r="7929" spans="5:13" x14ac:dyDescent="0.25">
      <c r="E7929"/>
      <c r="M7929"/>
    </row>
    <row r="7930" spans="5:13" x14ac:dyDescent="0.25">
      <c r="E7930"/>
      <c r="M7930"/>
    </row>
    <row r="7931" spans="5:13" x14ac:dyDescent="0.25">
      <c r="E7931"/>
      <c r="M7931"/>
    </row>
    <row r="7932" spans="5:13" x14ac:dyDescent="0.25">
      <c r="E7932"/>
      <c r="M7932"/>
    </row>
    <row r="7933" spans="5:13" x14ac:dyDescent="0.25">
      <c r="E7933"/>
      <c r="M7933"/>
    </row>
    <row r="7934" spans="5:13" x14ac:dyDescent="0.25">
      <c r="E7934"/>
      <c r="M7934"/>
    </row>
    <row r="7935" spans="5:13" x14ac:dyDescent="0.25">
      <c r="E7935"/>
      <c r="M7935"/>
    </row>
    <row r="7936" spans="5:13" x14ac:dyDescent="0.25">
      <c r="E7936"/>
      <c r="M7936"/>
    </row>
    <row r="7937" spans="5:13" x14ac:dyDescent="0.25">
      <c r="E7937"/>
      <c r="M7937"/>
    </row>
    <row r="7938" spans="5:13" x14ac:dyDescent="0.25">
      <c r="E7938"/>
      <c r="M7938"/>
    </row>
    <row r="7939" spans="5:13" x14ac:dyDescent="0.25">
      <c r="E7939"/>
      <c r="M7939"/>
    </row>
    <row r="7940" spans="5:13" x14ac:dyDescent="0.25">
      <c r="E7940"/>
      <c r="M7940"/>
    </row>
    <row r="7941" spans="5:13" x14ac:dyDescent="0.25">
      <c r="E7941"/>
      <c r="M7941"/>
    </row>
    <row r="7942" spans="5:13" x14ac:dyDescent="0.25">
      <c r="E7942"/>
      <c r="M7942"/>
    </row>
    <row r="7943" spans="5:13" x14ac:dyDescent="0.25">
      <c r="E7943"/>
      <c r="M7943"/>
    </row>
    <row r="7944" spans="5:13" x14ac:dyDescent="0.25">
      <c r="E7944"/>
      <c r="M7944"/>
    </row>
    <row r="7945" spans="5:13" x14ac:dyDescent="0.25">
      <c r="E7945"/>
      <c r="M7945"/>
    </row>
    <row r="7946" spans="5:13" x14ac:dyDescent="0.25">
      <c r="E7946"/>
      <c r="M7946"/>
    </row>
    <row r="7947" spans="5:13" x14ac:dyDescent="0.25">
      <c r="E7947"/>
      <c r="M7947"/>
    </row>
    <row r="7948" spans="5:13" x14ac:dyDescent="0.25">
      <c r="E7948"/>
      <c r="M7948"/>
    </row>
    <row r="7949" spans="5:13" x14ac:dyDescent="0.25">
      <c r="E7949"/>
      <c r="M7949"/>
    </row>
    <row r="7950" spans="5:13" x14ac:dyDescent="0.25">
      <c r="E7950"/>
      <c r="M7950"/>
    </row>
    <row r="7951" spans="5:13" x14ac:dyDescent="0.25">
      <c r="E7951"/>
      <c r="M7951"/>
    </row>
    <row r="7952" spans="5:13" x14ac:dyDescent="0.25">
      <c r="E7952"/>
      <c r="M7952"/>
    </row>
    <row r="7953" spans="5:13" x14ac:dyDescent="0.25">
      <c r="E7953"/>
      <c r="M7953"/>
    </row>
    <row r="7954" spans="5:13" x14ac:dyDescent="0.25">
      <c r="E7954"/>
      <c r="M7954"/>
    </row>
    <row r="7955" spans="5:13" x14ac:dyDescent="0.25">
      <c r="E7955"/>
      <c r="M7955"/>
    </row>
    <row r="7956" spans="5:13" x14ac:dyDescent="0.25">
      <c r="E7956"/>
      <c r="M7956"/>
    </row>
    <row r="7957" spans="5:13" x14ac:dyDescent="0.25">
      <c r="E7957"/>
      <c r="M7957"/>
    </row>
    <row r="7958" spans="5:13" x14ac:dyDescent="0.25">
      <c r="E7958"/>
      <c r="M7958"/>
    </row>
    <row r="7959" spans="5:13" x14ac:dyDescent="0.25">
      <c r="E7959"/>
      <c r="M7959"/>
    </row>
    <row r="7960" spans="5:13" x14ac:dyDescent="0.25">
      <c r="E7960"/>
      <c r="M7960"/>
    </row>
    <row r="7961" spans="5:13" x14ac:dyDescent="0.25">
      <c r="E7961"/>
      <c r="M7961"/>
    </row>
    <row r="7962" spans="5:13" x14ac:dyDescent="0.25">
      <c r="E7962"/>
      <c r="M7962"/>
    </row>
    <row r="7963" spans="5:13" x14ac:dyDescent="0.25">
      <c r="E7963"/>
      <c r="M7963"/>
    </row>
    <row r="7964" spans="5:13" x14ac:dyDescent="0.25">
      <c r="E7964"/>
      <c r="M7964"/>
    </row>
    <row r="7965" spans="5:13" x14ac:dyDescent="0.25">
      <c r="E7965"/>
      <c r="M7965"/>
    </row>
    <row r="7966" spans="5:13" x14ac:dyDescent="0.25">
      <c r="E7966"/>
      <c r="M7966"/>
    </row>
    <row r="7967" spans="5:13" x14ac:dyDescent="0.25">
      <c r="E7967"/>
      <c r="M7967"/>
    </row>
    <row r="7968" spans="5:13" x14ac:dyDescent="0.25">
      <c r="E7968"/>
      <c r="M7968"/>
    </row>
    <row r="7969" spans="5:13" x14ac:dyDescent="0.25">
      <c r="E7969"/>
      <c r="M7969"/>
    </row>
    <row r="7970" spans="5:13" x14ac:dyDescent="0.25">
      <c r="E7970"/>
      <c r="M7970"/>
    </row>
    <row r="7971" spans="5:13" x14ac:dyDescent="0.25">
      <c r="E7971"/>
      <c r="M7971"/>
    </row>
    <row r="7972" spans="5:13" x14ac:dyDescent="0.25">
      <c r="E7972"/>
      <c r="M7972"/>
    </row>
    <row r="7973" spans="5:13" x14ac:dyDescent="0.25">
      <c r="E7973"/>
      <c r="M7973"/>
    </row>
    <row r="7974" spans="5:13" x14ac:dyDescent="0.25">
      <c r="E7974"/>
      <c r="M7974"/>
    </row>
    <row r="7975" spans="5:13" x14ac:dyDescent="0.25">
      <c r="E7975"/>
      <c r="M7975"/>
    </row>
    <row r="7976" spans="5:13" x14ac:dyDescent="0.25">
      <c r="E7976"/>
      <c r="M7976"/>
    </row>
    <row r="7977" spans="5:13" x14ac:dyDescent="0.25">
      <c r="E7977"/>
      <c r="M7977"/>
    </row>
    <row r="7978" spans="5:13" x14ac:dyDescent="0.25">
      <c r="E7978"/>
      <c r="M7978"/>
    </row>
    <row r="7979" spans="5:13" x14ac:dyDescent="0.25">
      <c r="E7979"/>
      <c r="M7979"/>
    </row>
    <row r="7980" spans="5:13" x14ac:dyDescent="0.25">
      <c r="E7980"/>
      <c r="M7980"/>
    </row>
    <row r="7981" spans="5:13" x14ac:dyDescent="0.25">
      <c r="E7981"/>
      <c r="M7981"/>
    </row>
    <row r="7982" spans="5:13" x14ac:dyDescent="0.25">
      <c r="E7982"/>
      <c r="M7982"/>
    </row>
    <row r="7983" spans="5:13" x14ac:dyDescent="0.25">
      <c r="E7983"/>
      <c r="M7983"/>
    </row>
    <row r="7984" spans="5:13" x14ac:dyDescent="0.25">
      <c r="E7984"/>
      <c r="M7984"/>
    </row>
    <row r="7985" spans="5:13" x14ac:dyDescent="0.25">
      <c r="E7985"/>
      <c r="M7985"/>
    </row>
    <row r="7986" spans="5:13" x14ac:dyDescent="0.25">
      <c r="E7986"/>
      <c r="M7986"/>
    </row>
    <row r="7987" spans="5:13" x14ac:dyDescent="0.25">
      <c r="E7987"/>
      <c r="M7987"/>
    </row>
    <row r="7988" spans="5:13" x14ac:dyDescent="0.25">
      <c r="E7988"/>
      <c r="M7988"/>
    </row>
    <row r="7989" spans="5:13" x14ac:dyDescent="0.25">
      <c r="E7989"/>
      <c r="M7989"/>
    </row>
    <row r="7990" spans="5:13" x14ac:dyDescent="0.25">
      <c r="E7990"/>
      <c r="M7990"/>
    </row>
    <row r="7991" spans="5:13" x14ac:dyDescent="0.25">
      <c r="E7991"/>
      <c r="M7991"/>
    </row>
    <row r="7992" spans="5:13" x14ac:dyDescent="0.25">
      <c r="E7992"/>
      <c r="M7992"/>
    </row>
    <row r="7993" spans="5:13" x14ac:dyDescent="0.25">
      <c r="E7993"/>
      <c r="M7993"/>
    </row>
    <row r="7994" spans="5:13" x14ac:dyDescent="0.25">
      <c r="E7994"/>
      <c r="M7994"/>
    </row>
    <row r="7995" spans="5:13" x14ac:dyDescent="0.25">
      <c r="E7995"/>
      <c r="M7995"/>
    </row>
    <row r="7996" spans="5:13" x14ac:dyDescent="0.25">
      <c r="E7996"/>
      <c r="M7996"/>
    </row>
    <row r="7997" spans="5:13" x14ac:dyDescent="0.25">
      <c r="E7997"/>
      <c r="M7997"/>
    </row>
    <row r="7998" spans="5:13" x14ac:dyDescent="0.25">
      <c r="E7998"/>
      <c r="M7998"/>
    </row>
    <row r="7999" spans="5:13" x14ac:dyDescent="0.25">
      <c r="E7999"/>
      <c r="M7999"/>
    </row>
    <row r="8000" spans="5:13" x14ac:dyDescent="0.25">
      <c r="E8000"/>
      <c r="M8000"/>
    </row>
    <row r="8001" spans="5:13" x14ac:dyDescent="0.25">
      <c r="E8001"/>
      <c r="M8001"/>
    </row>
    <row r="8002" spans="5:13" x14ac:dyDescent="0.25">
      <c r="E8002"/>
      <c r="M8002"/>
    </row>
    <row r="8003" spans="5:13" x14ac:dyDescent="0.25">
      <c r="E8003"/>
      <c r="M8003"/>
    </row>
    <row r="8004" spans="5:13" x14ac:dyDescent="0.25">
      <c r="E8004"/>
      <c r="M8004"/>
    </row>
    <row r="8005" spans="5:13" x14ac:dyDescent="0.25">
      <c r="E8005"/>
      <c r="M8005"/>
    </row>
    <row r="8006" spans="5:13" x14ac:dyDescent="0.25">
      <c r="E8006"/>
      <c r="M8006"/>
    </row>
    <row r="8007" spans="5:13" x14ac:dyDescent="0.25">
      <c r="E8007"/>
      <c r="M8007"/>
    </row>
    <row r="8008" spans="5:13" x14ac:dyDescent="0.25">
      <c r="E8008"/>
      <c r="M8008"/>
    </row>
    <row r="8009" spans="5:13" x14ac:dyDescent="0.25">
      <c r="E8009"/>
      <c r="M8009"/>
    </row>
    <row r="8010" spans="5:13" x14ac:dyDescent="0.25">
      <c r="E8010"/>
      <c r="M8010"/>
    </row>
    <row r="8011" spans="5:13" x14ac:dyDescent="0.25">
      <c r="E8011"/>
      <c r="M8011"/>
    </row>
    <row r="8012" spans="5:13" x14ac:dyDescent="0.25">
      <c r="E8012"/>
      <c r="M8012"/>
    </row>
    <row r="8013" spans="5:13" x14ac:dyDescent="0.25">
      <c r="E8013"/>
      <c r="M8013"/>
    </row>
    <row r="8014" spans="5:13" x14ac:dyDescent="0.25">
      <c r="E8014"/>
      <c r="M8014"/>
    </row>
    <row r="8015" spans="5:13" x14ac:dyDescent="0.25">
      <c r="E8015"/>
      <c r="M8015"/>
    </row>
    <row r="8016" spans="5:13" x14ac:dyDescent="0.25">
      <c r="E8016"/>
      <c r="M8016"/>
    </row>
    <row r="8017" spans="5:13" x14ac:dyDescent="0.25">
      <c r="E8017"/>
      <c r="M8017"/>
    </row>
    <row r="8018" spans="5:13" x14ac:dyDescent="0.25">
      <c r="E8018"/>
      <c r="M8018"/>
    </row>
    <row r="8019" spans="5:13" x14ac:dyDescent="0.25">
      <c r="E8019"/>
      <c r="M8019"/>
    </row>
    <row r="8020" spans="5:13" x14ac:dyDescent="0.25">
      <c r="E8020"/>
      <c r="M8020"/>
    </row>
    <row r="8021" spans="5:13" x14ac:dyDescent="0.25">
      <c r="E8021"/>
      <c r="M8021"/>
    </row>
    <row r="8022" spans="5:13" x14ac:dyDescent="0.25">
      <c r="E8022"/>
      <c r="M8022"/>
    </row>
    <row r="8023" spans="5:13" x14ac:dyDescent="0.25">
      <c r="E8023"/>
      <c r="M8023"/>
    </row>
    <row r="8024" spans="5:13" x14ac:dyDescent="0.25">
      <c r="E8024"/>
      <c r="M8024"/>
    </row>
    <row r="8025" spans="5:13" x14ac:dyDescent="0.25">
      <c r="E8025"/>
      <c r="M8025"/>
    </row>
    <row r="8026" spans="5:13" x14ac:dyDescent="0.25">
      <c r="E8026"/>
      <c r="M8026"/>
    </row>
    <row r="8027" spans="5:13" x14ac:dyDescent="0.25">
      <c r="E8027"/>
      <c r="M8027"/>
    </row>
    <row r="8028" spans="5:13" x14ac:dyDescent="0.25">
      <c r="E8028"/>
      <c r="M8028"/>
    </row>
    <row r="8029" spans="5:13" x14ac:dyDescent="0.25">
      <c r="E8029"/>
      <c r="M8029"/>
    </row>
    <row r="8030" spans="5:13" x14ac:dyDescent="0.25">
      <c r="E8030"/>
      <c r="M8030"/>
    </row>
    <row r="8031" spans="5:13" x14ac:dyDescent="0.25">
      <c r="E8031"/>
      <c r="M8031"/>
    </row>
    <row r="8032" spans="5:13" x14ac:dyDescent="0.25">
      <c r="E8032"/>
      <c r="M8032"/>
    </row>
    <row r="8033" spans="5:13" x14ac:dyDescent="0.25">
      <c r="E8033"/>
      <c r="M8033"/>
    </row>
    <row r="8034" spans="5:13" x14ac:dyDescent="0.25">
      <c r="E8034"/>
      <c r="M8034"/>
    </row>
    <row r="8035" spans="5:13" x14ac:dyDescent="0.25">
      <c r="E8035"/>
      <c r="M8035"/>
    </row>
    <row r="8036" spans="5:13" x14ac:dyDescent="0.25">
      <c r="E8036"/>
      <c r="M8036"/>
    </row>
    <row r="8037" spans="5:13" x14ac:dyDescent="0.25">
      <c r="E8037"/>
      <c r="M8037"/>
    </row>
    <row r="8038" spans="5:13" x14ac:dyDescent="0.25">
      <c r="E8038"/>
      <c r="M8038"/>
    </row>
    <row r="8039" spans="5:13" x14ac:dyDescent="0.25">
      <c r="E8039"/>
      <c r="M8039"/>
    </row>
    <row r="8040" spans="5:13" x14ac:dyDescent="0.25">
      <c r="E8040"/>
      <c r="M8040"/>
    </row>
    <row r="8041" spans="5:13" x14ac:dyDescent="0.25">
      <c r="E8041"/>
      <c r="M8041"/>
    </row>
    <row r="8042" spans="5:13" x14ac:dyDescent="0.25">
      <c r="E8042"/>
      <c r="M8042"/>
    </row>
    <row r="8043" spans="5:13" x14ac:dyDescent="0.25">
      <c r="E8043"/>
      <c r="M8043"/>
    </row>
    <row r="8044" spans="5:13" x14ac:dyDescent="0.25">
      <c r="E8044"/>
      <c r="M8044"/>
    </row>
    <row r="8045" spans="5:13" x14ac:dyDescent="0.25">
      <c r="E8045"/>
      <c r="M8045"/>
    </row>
    <row r="8046" spans="5:13" x14ac:dyDescent="0.25">
      <c r="E8046"/>
      <c r="M8046"/>
    </row>
    <row r="8047" spans="5:13" x14ac:dyDescent="0.25">
      <c r="E8047"/>
      <c r="M8047"/>
    </row>
    <row r="8048" spans="5:13" x14ac:dyDescent="0.25">
      <c r="E8048"/>
      <c r="M8048"/>
    </row>
    <row r="8049" spans="5:13" x14ac:dyDescent="0.25">
      <c r="E8049"/>
      <c r="M8049"/>
    </row>
    <row r="8050" spans="5:13" x14ac:dyDescent="0.25">
      <c r="E8050"/>
      <c r="M8050"/>
    </row>
    <row r="8051" spans="5:13" x14ac:dyDescent="0.25">
      <c r="E8051"/>
      <c r="M8051"/>
    </row>
    <row r="8052" spans="5:13" x14ac:dyDescent="0.25">
      <c r="E8052"/>
      <c r="M8052"/>
    </row>
    <row r="8053" spans="5:13" x14ac:dyDescent="0.25">
      <c r="E8053"/>
      <c r="M8053"/>
    </row>
    <row r="8054" spans="5:13" x14ac:dyDescent="0.25">
      <c r="E8054"/>
      <c r="M8054"/>
    </row>
    <row r="8055" spans="5:13" x14ac:dyDescent="0.25">
      <c r="E8055"/>
      <c r="M8055"/>
    </row>
    <row r="8056" spans="5:13" x14ac:dyDescent="0.25">
      <c r="E8056"/>
      <c r="M8056"/>
    </row>
    <row r="8057" spans="5:13" x14ac:dyDescent="0.25">
      <c r="E8057"/>
      <c r="M8057"/>
    </row>
    <row r="8058" spans="5:13" x14ac:dyDescent="0.25">
      <c r="E8058"/>
      <c r="M8058"/>
    </row>
    <row r="8059" spans="5:13" x14ac:dyDescent="0.25">
      <c r="E8059"/>
      <c r="M8059"/>
    </row>
    <row r="8060" spans="5:13" x14ac:dyDescent="0.25">
      <c r="E8060"/>
      <c r="M8060"/>
    </row>
    <row r="8061" spans="5:13" x14ac:dyDescent="0.25">
      <c r="E8061"/>
      <c r="M8061"/>
    </row>
    <row r="8062" spans="5:13" x14ac:dyDescent="0.25">
      <c r="E8062"/>
      <c r="M8062"/>
    </row>
    <row r="8063" spans="5:13" x14ac:dyDescent="0.25">
      <c r="E8063"/>
      <c r="M8063"/>
    </row>
    <row r="8064" spans="5:13" x14ac:dyDescent="0.25">
      <c r="E8064"/>
      <c r="M8064"/>
    </row>
    <row r="8065" spans="5:13" x14ac:dyDescent="0.25">
      <c r="E8065"/>
      <c r="M8065"/>
    </row>
    <row r="8066" spans="5:13" x14ac:dyDescent="0.25">
      <c r="E8066"/>
      <c r="M8066"/>
    </row>
    <row r="8067" spans="5:13" x14ac:dyDescent="0.25">
      <c r="E8067"/>
      <c r="M8067"/>
    </row>
    <row r="8068" spans="5:13" x14ac:dyDescent="0.25">
      <c r="E8068"/>
      <c r="M8068"/>
    </row>
    <row r="8069" spans="5:13" x14ac:dyDescent="0.25">
      <c r="E8069"/>
      <c r="M8069"/>
    </row>
    <row r="8070" spans="5:13" x14ac:dyDescent="0.25">
      <c r="E8070"/>
      <c r="M8070"/>
    </row>
    <row r="8071" spans="5:13" x14ac:dyDescent="0.25">
      <c r="E8071"/>
      <c r="M8071"/>
    </row>
    <row r="8072" spans="5:13" x14ac:dyDescent="0.25">
      <c r="E8072"/>
      <c r="M8072"/>
    </row>
    <row r="8073" spans="5:13" x14ac:dyDescent="0.25">
      <c r="E8073"/>
      <c r="M8073"/>
    </row>
    <row r="8074" spans="5:13" x14ac:dyDescent="0.25">
      <c r="E8074"/>
      <c r="M8074"/>
    </row>
    <row r="8075" spans="5:13" x14ac:dyDescent="0.25">
      <c r="E8075"/>
      <c r="M8075"/>
    </row>
    <row r="8076" spans="5:13" x14ac:dyDescent="0.25">
      <c r="E8076"/>
      <c r="M8076"/>
    </row>
    <row r="8077" spans="5:13" x14ac:dyDescent="0.25">
      <c r="E8077"/>
      <c r="M8077"/>
    </row>
    <row r="8078" spans="5:13" x14ac:dyDescent="0.25">
      <c r="E8078"/>
      <c r="M8078"/>
    </row>
    <row r="8079" spans="5:13" x14ac:dyDescent="0.25">
      <c r="E8079"/>
      <c r="M8079"/>
    </row>
    <row r="8080" spans="5:13" x14ac:dyDescent="0.25">
      <c r="E8080"/>
      <c r="M8080"/>
    </row>
    <row r="8081" spans="5:13" x14ac:dyDescent="0.25">
      <c r="E8081"/>
      <c r="M8081"/>
    </row>
    <row r="8082" spans="5:13" x14ac:dyDescent="0.25">
      <c r="E8082"/>
      <c r="M8082"/>
    </row>
    <row r="8083" spans="5:13" x14ac:dyDescent="0.25">
      <c r="E8083"/>
      <c r="M8083"/>
    </row>
    <row r="8084" spans="5:13" x14ac:dyDescent="0.25">
      <c r="E8084"/>
      <c r="M8084"/>
    </row>
    <row r="8085" spans="5:13" x14ac:dyDescent="0.25">
      <c r="E8085"/>
      <c r="M8085"/>
    </row>
    <row r="8086" spans="5:13" x14ac:dyDescent="0.25">
      <c r="E8086"/>
      <c r="M8086"/>
    </row>
    <row r="8087" spans="5:13" x14ac:dyDescent="0.25">
      <c r="E8087"/>
      <c r="M8087"/>
    </row>
    <row r="8088" spans="5:13" x14ac:dyDescent="0.25">
      <c r="E8088"/>
      <c r="M8088"/>
    </row>
    <row r="8089" spans="5:13" x14ac:dyDescent="0.25">
      <c r="E8089"/>
      <c r="M8089"/>
    </row>
    <row r="8090" spans="5:13" x14ac:dyDescent="0.25">
      <c r="E8090"/>
      <c r="M8090"/>
    </row>
    <row r="8091" spans="5:13" x14ac:dyDescent="0.25">
      <c r="E8091"/>
      <c r="M8091"/>
    </row>
    <row r="8092" spans="5:13" x14ac:dyDescent="0.25">
      <c r="E8092"/>
      <c r="M8092"/>
    </row>
    <row r="8093" spans="5:13" x14ac:dyDescent="0.25">
      <c r="E8093"/>
      <c r="M8093"/>
    </row>
    <row r="8094" spans="5:13" x14ac:dyDescent="0.25">
      <c r="E8094"/>
      <c r="M8094"/>
    </row>
    <row r="8095" spans="5:13" x14ac:dyDescent="0.25">
      <c r="E8095"/>
      <c r="M8095"/>
    </row>
    <row r="8096" spans="5:13" x14ac:dyDescent="0.25">
      <c r="E8096"/>
      <c r="M8096"/>
    </row>
    <row r="8097" spans="5:13" x14ac:dyDescent="0.25">
      <c r="E8097"/>
      <c r="M8097"/>
    </row>
    <row r="8098" spans="5:13" x14ac:dyDescent="0.25">
      <c r="E8098"/>
      <c r="M8098"/>
    </row>
    <row r="8099" spans="5:13" x14ac:dyDescent="0.25">
      <c r="E8099"/>
      <c r="M8099"/>
    </row>
    <row r="8100" spans="5:13" x14ac:dyDescent="0.25">
      <c r="E8100"/>
      <c r="M8100"/>
    </row>
    <row r="8101" spans="5:13" x14ac:dyDescent="0.25">
      <c r="E8101"/>
      <c r="M8101"/>
    </row>
    <row r="8102" spans="5:13" x14ac:dyDescent="0.25">
      <c r="E8102"/>
      <c r="M8102"/>
    </row>
    <row r="8103" spans="5:13" x14ac:dyDescent="0.25">
      <c r="E8103"/>
      <c r="M8103"/>
    </row>
    <row r="8104" spans="5:13" x14ac:dyDescent="0.25">
      <c r="E8104"/>
      <c r="M8104"/>
    </row>
    <row r="8105" spans="5:13" x14ac:dyDescent="0.25">
      <c r="E8105"/>
      <c r="M8105"/>
    </row>
    <row r="8106" spans="5:13" x14ac:dyDescent="0.25">
      <c r="E8106"/>
      <c r="M8106"/>
    </row>
    <row r="8107" spans="5:13" x14ac:dyDescent="0.25">
      <c r="E8107"/>
      <c r="M8107"/>
    </row>
    <row r="8108" spans="5:13" x14ac:dyDescent="0.25">
      <c r="E8108"/>
      <c r="M8108"/>
    </row>
    <row r="8109" spans="5:13" x14ac:dyDescent="0.25">
      <c r="E8109"/>
      <c r="M8109"/>
    </row>
    <row r="8110" spans="5:13" x14ac:dyDescent="0.25">
      <c r="E8110"/>
      <c r="M8110"/>
    </row>
    <row r="8111" spans="5:13" x14ac:dyDescent="0.25">
      <c r="E8111"/>
      <c r="M8111"/>
    </row>
    <row r="8112" spans="5:13" x14ac:dyDescent="0.25">
      <c r="E8112"/>
      <c r="M8112"/>
    </row>
    <row r="8113" spans="5:13" x14ac:dyDescent="0.25">
      <c r="E8113"/>
      <c r="M8113"/>
    </row>
    <row r="8114" spans="5:13" x14ac:dyDescent="0.25">
      <c r="E8114"/>
      <c r="M8114"/>
    </row>
    <row r="8115" spans="5:13" x14ac:dyDescent="0.25">
      <c r="E8115"/>
      <c r="M8115"/>
    </row>
    <row r="8116" spans="5:13" x14ac:dyDescent="0.25">
      <c r="E8116"/>
      <c r="M8116"/>
    </row>
    <row r="8117" spans="5:13" x14ac:dyDescent="0.25">
      <c r="E8117"/>
      <c r="M8117"/>
    </row>
    <row r="8118" spans="5:13" x14ac:dyDescent="0.25">
      <c r="E8118"/>
      <c r="M8118"/>
    </row>
    <row r="8119" spans="5:13" x14ac:dyDescent="0.25">
      <c r="E8119"/>
      <c r="M8119"/>
    </row>
    <row r="8120" spans="5:13" x14ac:dyDescent="0.25">
      <c r="E8120"/>
      <c r="M8120"/>
    </row>
    <row r="8121" spans="5:13" x14ac:dyDescent="0.25">
      <c r="E8121"/>
      <c r="M8121"/>
    </row>
    <row r="8122" spans="5:13" x14ac:dyDescent="0.25">
      <c r="E8122"/>
      <c r="M8122"/>
    </row>
    <row r="8123" spans="5:13" x14ac:dyDescent="0.25">
      <c r="E8123"/>
      <c r="M8123"/>
    </row>
    <row r="8124" spans="5:13" x14ac:dyDescent="0.25">
      <c r="E8124"/>
      <c r="M8124"/>
    </row>
    <row r="8125" spans="5:13" x14ac:dyDescent="0.25">
      <c r="E8125"/>
      <c r="M8125"/>
    </row>
    <row r="8126" spans="5:13" x14ac:dyDescent="0.25">
      <c r="E8126"/>
      <c r="M8126"/>
    </row>
    <row r="8127" spans="5:13" x14ac:dyDescent="0.25">
      <c r="E8127"/>
      <c r="M8127"/>
    </row>
    <row r="8128" spans="5:13" x14ac:dyDescent="0.25">
      <c r="E8128"/>
      <c r="M8128"/>
    </row>
    <row r="8129" spans="5:13" x14ac:dyDescent="0.25">
      <c r="E8129"/>
      <c r="M8129"/>
    </row>
    <row r="8130" spans="5:13" x14ac:dyDescent="0.25">
      <c r="E8130"/>
      <c r="M8130"/>
    </row>
    <row r="8131" spans="5:13" x14ac:dyDescent="0.25">
      <c r="E8131"/>
      <c r="M8131"/>
    </row>
    <row r="8132" spans="5:13" x14ac:dyDescent="0.25">
      <c r="E8132"/>
      <c r="M8132"/>
    </row>
    <row r="8133" spans="5:13" x14ac:dyDescent="0.25">
      <c r="E8133"/>
      <c r="M8133"/>
    </row>
    <row r="8134" spans="5:13" x14ac:dyDescent="0.25">
      <c r="E8134"/>
      <c r="M8134"/>
    </row>
    <row r="8135" spans="5:13" x14ac:dyDescent="0.25">
      <c r="E8135"/>
      <c r="M8135"/>
    </row>
    <row r="8136" spans="5:13" x14ac:dyDescent="0.25">
      <c r="E8136"/>
      <c r="M8136"/>
    </row>
    <row r="8137" spans="5:13" x14ac:dyDescent="0.25">
      <c r="E8137"/>
      <c r="M8137"/>
    </row>
    <row r="8138" spans="5:13" x14ac:dyDescent="0.25">
      <c r="E8138"/>
      <c r="M8138"/>
    </row>
    <row r="8139" spans="5:13" x14ac:dyDescent="0.25">
      <c r="E8139"/>
      <c r="M8139"/>
    </row>
    <row r="8140" spans="5:13" x14ac:dyDescent="0.25">
      <c r="E8140"/>
      <c r="M8140"/>
    </row>
    <row r="8141" spans="5:13" x14ac:dyDescent="0.25">
      <c r="E8141"/>
      <c r="M8141"/>
    </row>
    <row r="8142" spans="5:13" x14ac:dyDescent="0.25">
      <c r="E8142"/>
      <c r="M8142"/>
    </row>
    <row r="8143" spans="5:13" x14ac:dyDescent="0.25">
      <c r="E8143"/>
      <c r="M8143"/>
    </row>
    <row r="8144" spans="5:13" x14ac:dyDescent="0.25">
      <c r="E8144"/>
      <c r="M8144"/>
    </row>
    <row r="8145" spans="5:13" x14ac:dyDescent="0.25">
      <c r="E8145"/>
      <c r="M8145"/>
    </row>
    <row r="8146" spans="5:13" x14ac:dyDescent="0.25">
      <c r="E8146"/>
      <c r="M8146"/>
    </row>
    <row r="8147" spans="5:13" x14ac:dyDescent="0.25">
      <c r="E8147"/>
      <c r="M8147"/>
    </row>
    <row r="8148" spans="5:13" x14ac:dyDescent="0.25">
      <c r="E8148"/>
      <c r="M8148"/>
    </row>
    <row r="8149" spans="5:13" x14ac:dyDescent="0.25">
      <c r="E8149"/>
      <c r="M8149"/>
    </row>
    <row r="8150" spans="5:13" x14ac:dyDescent="0.25">
      <c r="E8150"/>
      <c r="M8150"/>
    </row>
    <row r="8151" spans="5:13" x14ac:dyDescent="0.25">
      <c r="E8151"/>
      <c r="M8151"/>
    </row>
    <row r="8152" spans="5:13" x14ac:dyDescent="0.25">
      <c r="E8152"/>
      <c r="M8152"/>
    </row>
    <row r="8153" spans="5:13" x14ac:dyDescent="0.25">
      <c r="E8153"/>
      <c r="M8153"/>
    </row>
    <row r="8154" spans="5:13" x14ac:dyDescent="0.25">
      <c r="E8154"/>
      <c r="M8154"/>
    </row>
    <row r="8155" spans="5:13" x14ac:dyDescent="0.25">
      <c r="E8155"/>
      <c r="M8155"/>
    </row>
    <row r="8156" spans="5:13" x14ac:dyDescent="0.25">
      <c r="E8156"/>
      <c r="M8156"/>
    </row>
    <row r="8157" spans="5:13" x14ac:dyDescent="0.25">
      <c r="E8157"/>
      <c r="M8157"/>
    </row>
    <row r="8158" spans="5:13" x14ac:dyDescent="0.25">
      <c r="E8158"/>
      <c r="M8158"/>
    </row>
    <row r="8159" spans="5:13" x14ac:dyDescent="0.25">
      <c r="E8159"/>
      <c r="M8159"/>
    </row>
    <row r="8160" spans="5:13" x14ac:dyDescent="0.25">
      <c r="E8160"/>
      <c r="M8160"/>
    </row>
    <row r="8161" spans="5:13" x14ac:dyDescent="0.25">
      <c r="E8161"/>
      <c r="M8161"/>
    </row>
    <row r="8162" spans="5:13" x14ac:dyDescent="0.25">
      <c r="E8162"/>
      <c r="M8162"/>
    </row>
    <row r="8163" spans="5:13" x14ac:dyDescent="0.25">
      <c r="E8163"/>
      <c r="M8163"/>
    </row>
    <row r="8164" spans="5:13" x14ac:dyDescent="0.25">
      <c r="E8164"/>
      <c r="M8164"/>
    </row>
    <row r="8165" spans="5:13" x14ac:dyDescent="0.25">
      <c r="E8165"/>
      <c r="M8165"/>
    </row>
    <row r="8166" spans="5:13" x14ac:dyDescent="0.25">
      <c r="E8166"/>
      <c r="M8166"/>
    </row>
    <row r="8167" spans="5:13" x14ac:dyDescent="0.25">
      <c r="E8167"/>
      <c r="M8167"/>
    </row>
    <row r="8168" spans="5:13" x14ac:dyDescent="0.25">
      <c r="E8168"/>
      <c r="M8168"/>
    </row>
    <row r="8169" spans="5:13" x14ac:dyDescent="0.25">
      <c r="E8169"/>
      <c r="M8169"/>
    </row>
    <row r="8170" spans="5:13" x14ac:dyDescent="0.25">
      <c r="E8170"/>
      <c r="M8170"/>
    </row>
    <row r="8171" spans="5:13" x14ac:dyDescent="0.25">
      <c r="E8171"/>
      <c r="M8171"/>
    </row>
    <row r="8172" spans="5:13" x14ac:dyDescent="0.25">
      <c r="E8172"/>
      <c r="M8172"/>
    </row>
    <row r="8173" spans="5:13" x14ac:dyDescent="0.25">
      <c r="E8173"/>
      <c r="M8173"/>
    </row>
    <row r="8174" spans="5:13" x14ac:dyDescent="0.25">
      <c r="E8174"/>
      <c r="M8174"/>
    </row>
    <row r="8175" spans="5:13" x14ac:dyDescent="0.25">
      <c r="E8175"/>
      <c r="M8175"/>
    </row>
    <row r="8176" spans="5:13" x14ac:dyDescent="0.25">
      <c r="E8176"/>
      <c r="M8176"/>
    </row>
    <row r="8177" spans="5:13" x14ac:dyDescent="0.25">
      <c r="E8177"/>
      <c r="M8177"/>
    </row>
    <row r="8178" spans="5:13" x14ac:dyDescent="0.25">
      <c r="E8178"/>
      <c r="M8178"/>
    </row>
    <row r="8179" spans="5:13" x14ac:dyDescent="0.25">
      <c r="E8179"/>
      <c r="M8179"/>
    </row>
    <row r="8180" spans="5:13" x14ac:dyDescent="0.25">
      <c r="E8180"/>
      <c r="M8180"/>
    </row>
    <row r="8181" spans="5:13" x14ac:dyDescent="0.25">
      <c r="E8181"/>
      <c r="M8181"/>
    </row>
    <row r="8182" spans="5:13" x14ac:dyDescent="0.25">
      <c r="E8182"/>
      <c r="M8182"/>
    </row>
    <row r="8183" spans="5:13" x14ac:dyDescent="0.25">
      <c r="E8183"/>
      <c r="M8183"/>
    </row>
    <row r="8184" spans="5:13" x14ac:dyDescent="0.25">
      <c r="E8184"/>
      <c r="M8184"/>
    </row>
    <row r="8185" spans="5:13" x14ac:dyDescent="0.25">
      <c r="E8185"/>
      <c r="M8185"/>
    </row>
    <row r="8186" spans="5:13" x14ac:dyDescent="0.25">
      <c r="E8186"/>
      <c r="M8186"/>
    </row>
    <row r="8187" spans="5:13" x14ac:dyDescent="0.25">
      <c r="E8187"/>
      <c r="M8187"/>
    </row>
    <row r="8188" spans="5:13" x14ac:dyDescent="0.25">
      <c r="E8188"/>
      <c r="M8188"/>
    </row>
    <row r="8189" spans="5:13" x14ac:dyDescent="0.25">
      <c r="E8189"/>
      <c r="M8189"/>
    </row>
    <row r="8190" spans="5:13" x14ac:dyDescent="0.25">
      <c r="E8190"/>
      <c r="M8190"/>
    </row>
    <row r="8191" spans="5:13" x14ac:dyDescent="0.25">
      <c r="E8191"/>
      <c r="M8191"/>
    </row>
    <row r="8192" spans="5:13" x14ac:dyDescent="0.25">
      <c r="E8192"/>
      <c r="M8192"/>
    </row>
    <row r="8193" spans="5:13" x14ac:dyDescent="0.25">
      <c r="E8193"/>
      <c r="M8193"/>
    </row>
    <row r="8194" spans="5:13" x14ac:dyDescent="0.25">
      <c r="E8194"/>
      <c r="M8194"/>
    </row>
    <row r="8195" spans="5:13" x14ac:dyDescent="0.25">
      <c r="E8195"/>
      <c r="M8195"/>
    </row>
    <row r="8196" spans="5:13" x14ac:dyDescent="0.25">
      <c r="E8196"/>
      <c r="M8196"/>
    </row>
    <row r="8197" spans="5:13" x14ac:dyDescent="0.25">
      <c r="E8197"/>
      <c r="M8197"/>
    </row>
    <row r="8198" spans="5:13" x14ac:dyDescent="0.25">
      <c r="E8198"/>
      <c r="M8198"/>
    </row>
    <row r="8199" spans="5:13" x14ac:dyDescent="0.25">
      <c r="E8199"/>
      <c r="M8199"/>
    </row>
    <row r="8200" spans="5:13" x14ac:dyDescent="0.25">
      <c r="E8200"/>
      <c r="M8200"/>
    </row>
    <row r="8201" spans="5:13" x14ac:dyDescent="0.25">
      <c r="E8201"/>
      <c r="M8201"/>
    </row>
    <row r="8202" spans="5:13" x14ac:dyDescent="0.25">
      <c r="E8202"/>
      <c r="M8202"/>
    </row>
    <row r="8203" spans="5:13" x14ac:dyDescent="0.25">
      <c r="E8203"/>
      <c r="M8203"/>
    </row>
    <row r="8204" spans="5:13" x14ac:dyDescent="0.25">
      <c r="E8204"/>
      <c r="M8204"/>
    </row>
    <row r="8205" spans="5:13" x14ac:dyDescent="0.25">
      <c r="E8205"/>
      <c r="M8205"/>
    </row>
    <row r="8206" spans="5:13" x14ac:dyDescent="0.25">
      <c r="E8206"/>
      <c r="M8206"/>
    </row>
    <row r="8207" spans="5:13" x14ac:dyDescent="0.25">
      <c r="E8207"/>
      <c r="M8207"/>
    </row>
    <row r="8208" spans="5:13" x14ac:dyDescent="0.25">
      <c r="E8208"/>
      <c r="M8208"/>
    </row>
    <row r="8209" spans="5:13" x14ac:dyDescent="0.25">
      <c r="E8209"/>
      <c r="M8209"/>
    </row>
    <row r="8210" spans="5:13" x14ac:dyDescent="0.25">
      <c r="E8210"/>
      <c r="M8210"/>
    </row>
    <row r="8211" spans="5:13" x14ac:dyDescent="0.25">
      <c r="E8211"/>
      <c r="M8211"/>
    </row>
    <row r="8212" spans="5:13" x14ac:dyDescent="0.25">
      <c r="E8212"/>
      <c r="M8212"/>
    </row>
    <row r="8213" spans="5:13" x14ac:dyDescent="0.25">
      <c r="E8213"/>
      <c r="M8213"/>
    </row>
    <row r="8214" spans="5:13" x14ac:dyDescent="0.25">
      <c r="E8214"/>
      <c r="M8214"/>
    </row>
    <row r="8215" spans="5:13" x14ac:dyDescent="0.25">
      <c r="E8215"/>
      <c r="M8215"/>
    </row>
    <row r="8216" spans="5:13" x14ac:dyDescent="0.25">
      <c r="E8216"/>
      <c r="M8216"/>
    </row>
    <row r="8217" spans="5:13" x14ac:dyDescent="0.25">
      <c r="E8217"/>
      <c r="M8217"/>
    </row>
    <row r="8218" spans="5:13" x14ac:dyDescent="0.25">
      <c r="E8218"/>
      <c r="M8218"/>
    </row>
    <row r="8219" spans="5:13" x14ac:dyDescent="0.25">
      <c r="E8219"/>
      <c r="M8219"/>
    </row>
    <row r="8220" spans="5:13" x14ac:dyDescent="0.25">
      <c r="E8220"/>
      <c r="M8220"/>
    </row>
    <row r="8221" spans="5:13" x14ac:dyDescent="0.25">
      <c r="E8221"/>
      <c r="M8221"/>
    </row>
    <row r="8222" spans="5:13" x14ac:dyDescent="0.25">
      <c r="E8222"/>
      <c r="M8222"/>
    </row>
    <row r="8223" spans="5:13" x14ac:dyDescent="0.25">
      <c r="E8223"/>
      <c r="M8223"/>
    </row>
    <row r="8224" spans="5:13" x14ac:dyDescent="0.25">
      <c r="E8224"/>
      <c r="M8224"/>
    </row>
    <row r="8225" spans="5:13" x14ac:dyDescent="0.25">
      <c r="E8225"/>
      <c r="M8225"/>
    </row>
    <row r="8226" spans="5:13" x14ac:dyDescent="0.25">
      <c r="E8226"/>
      <c r="M8226"/>
    </row>
    <row r="8227" spans="5:13" x14ac:dyDescent="0.25">
      <c r="E8227"/>
      <c r="M8227"/>
    </row>
    <row r="8228" spans="5:13" x14ac:dyDescent="0.25">
      <c r="E8228"/>
      <c r="M8228"/>
    </row>
    <row r="8229" spans="5:13" x14ac:dyDescent="0.25">
      <c r="E8229"/>
      <c r="M8229"/>
    </row>
    <row r="8230" spans="5:13" x14ac:dyDescent="0.25">
      <c r="E8230"/>
      <c r="M8230"/>
    </row>
    <row r="8231" spans="5:13" x14ac:dyDescent="0.25">
      <c r="E8231"/>
      <c r="M8231"/>
    </row>
    <row r="8232" spans="5:13" x14ac:dyDescent="0.25">
      <c r="E8232"/>
      <c r="M8232"/>
    </row>
    <row r="8233" spans="5:13" x14ac:dyDescent="0.25">
      <c r="E8233"/>
      <c r="M8233"/>
    </row>
    <row r="8234" spans="5:13" x14ac:dyDescent="0.25">
      <c r="E8234"/>
      <c r="M8234"/>
    </row>
    <row r="8235" spans="5:13" x14ac:dyDescent="0.25">
      <c r="E8235"/>
      <c r="M8235"/>
    </row>
    <row r="8236" spans="5:13" x14ac:dyDescent="0.25">
      <c r="E8236"/>
      <c r="M8236"/>
    </row>
    <row r="8237" spans="5:13" x14ac:dyDescent="0.25">
      <c r="E8237"/>
      <c r="M8237"/>
    </row>
    <row r="8238" spans="5:13" x14ac:dyDescent="0.25">
      <c r="E8238"/>
      <c r="M8238"/>
    </row>
    <row r="8239" spans="5:13" x14ac:dyDescent="0.25">
      <c r="E8239"/>
      <c r="M8239"/>
    </row>
    <row r="8240" spans="5:13" x14ac:dyDescent="0.25">
      <c r="E8240"/>
      <c r="M8240"/>
    </row>
    <row r="8241" spans="5:13" x14ac:dyDescent="0.25">
      <c r="E8241"/>
      <c r="M8241"/>
    </row>
    <row r="8242" spans="5:13" x14ac:dyDescent="0.25">
      <c r="E8242"/>
      <c r="M8242"/>
    </row>
    <row r="8243" spans="5:13" x14ac:dyDescent="0.25">
      <c r="E8243"/>
      <c r="M8243"/>
    </row>
    <row r="8244" spans="5:13" x14ac:dyDescent="0.25">
      <c r="E8244"/>
      <c r="M8244"/>
    </row>
    <row r="8245" spans="5:13" x14ac:dyDescent="0.25">
      <c r="E8245"/>
      <c r="M8245"/>
    </row>
    <row r="8246" spans="5:13" x14ac:dyDescent="0.25">
      <c r="E8246"/>
      <c r="M8246"/>
    </row>
    <row r="8247" spans="5:13" x14ac:dyDescent="0.25">
      <c r="E8247"/>
      <c r="M8247"/>
    </row>
    <row r="8248" spans="5:13" x14ac:dyDescent="0.25">
      <c r="E8248"/>
      <c r="M8248"/>
    </row>
    <row r="8249" spans="5:13" x14ac:dyDescent="0.25">
      <c r="E8249"/>
      <c r="M8249"/>
    </row>
    <row r="8250" spans="5:13" x14ac:dyDescent="0.25">
      <c r="E8250"/>
      <c r="M8250"/>
    </row>
    <row r="8251" spans="5:13" x14ac:dyDescent="0.25">
      <c r="E8251"/>
      <c r="M8251"/>
    </row>
    <row r="8252" spans="5:13" x14ac:dyDescent="0.25">
      <c r="E8252"/>
      <c r="M8252"/>
    </row>
    <row r="8253" spans="5:13" x14ac:dyDescent="0.25">
      <c r="E8253"/>
      <c r="M8253"/>
    </row>
    <row r="8254" spans="5:13" x14ac:dyDescent="0.25">
      <c r="E8254"/>
      <c r="M8254"/>
    </row>
    <row r="8255" spans="5:13" x14ac:dyDescent="0.25">
      <c r="E8255"/>
      <c r="M8255"/>
    </row>
    <row r="8256" spans="5:13" x14ac:dyDescent="0.25">
      <c r="E8256"/>
      <c r="M8256"/>
    </row>
    <row r="8257" spans="5:13" x14ac:dyDescent="0.25">
      <c r="E8257"/>
      <c r="M8257"/>
    </row>
    <row r="8258" spans="5:13" x14ac:dyDescent="0.25">
      <c r="E8258"/>
      <c r="M8258"/>
    </row>
    <row r="8259" spans="5:13" x14ac:dyDescent="0.25">
      <c r="E8259"/>
      <c r="M8259"/>
    </row>
    <row r="8260" spans="5:13" x14ac:dyDescent="0.25">
      <c r="E8260"/>
      <c r="M8260"/>
    </row>
    <row r="8261" spans="5:13" x14ac:dyDescent="0.25">
      <c r="E8261"/>
      <c r="M8261"/>
    </row>
    <row r="8262" spans="5:13" x14ac:dyDescent="0.25">
      <c r="E8262"/>
      <c r="M8262"/>
    </row>
    <row r="8263" spans="5:13" x14ac:dyDescent="0.25">
      <c r="E8263"/>
      <c r="M8263"/>
    </row>
    <row r="8264" spans="5:13" x14ac:dyDescent="0.25">
      <c r="E8264"/>
      <c r="M8264"/>
    </row>
    <row r="8265" spans="5:13" x14ac:dyDescent="0.25">
      <c r="E8265"/>
      <c r="M8265"/>
    </row>
    <row r="8266" spans="5:13" x14ac:dyDescent="0.25">
      <c r="E8266"/>
      <c r="M8266"/>
    </row>
    <row r="8267" spans="5:13" x14ac:dyDescent="0.25">
      <c r="E8267"/>
      <c r="M8267"/>
    </row>
    <row r="8268" spans="5:13" x14ac:dyDescent="0.25">
      <c r="E8268"/>
      <c r="M8268"/>
    </row>
    <row r="8269" spans="5:13" x14ac:dyDescent="0.25">
      <c r="E8269"/>
      <c r="M8269"/>
    </row>
    <row r="8270" spans="5:13" x14ac:dyDescent="0.25">
      <c r="E8270"/>
      <c r="M8270"/>
    </row>
    <row r="8271" spans="5:13" x14ac:dyDescent="0.25">
      <c r="E8271"/>
      <c r="M8271"/>
    </row>
    <row r="8272" spans="5:13" x14ac:dyDescent="0.25">
      <c r="E8272"/>
      <c r="M8272"/>
    </row>
    <row r="8273" spans="5:13" x14ac:dyDescent="0.25">
      <c r="E8273"/>
      <c r="M8273"/>
    </row>
    <row r="8274" spans="5:13" x14ac:dyDescent="0.25">
      <c r="E8274"/>
      <c r="M8274"/>
    </row>
    <row r="8275" spans="5:13" x14ac:dyDescent="0.25">
      <c r="E8275"/>
      <c r="M8275"/>
    </row>
    <row r="8276" spans="5:13" x14ac:dyDescent="0.25">
      <c r="E8276"/>
      <c r="M8276"/>
    </row>
    <row r="8277" spans="5:13" x14ac:dyDescent="0.25">
      <c r="E8277"/>
      <c r="M8277"/>
    </row>
    <row r="8278" spans="5:13" x14ac:dyDescent="0.25">
      <c r="E8278"/>
      <c r="M8278"/>
    </row>
    <row r="8279" spans="5:13" x14ac:dyDescent="0.25">
      <c r="E8279"/>
      <c r="M8279"/>
    </row>
    <row r="8280" spans="5:13" x14ac:dyDescent="0.25">
      <c r="E8280"/>
      <c r="M8280"/>
    </row>
    <row r="8281" spans="5:13" x14ac:dyDescent="0.25">
      <c r="E8281"/>
      <c r="M8281"/>
    </row>
    <row r="8282" spans="5:13" x14ac:dyDescent="0.25">
      <c r="E8282"/>
      <c r="M8282"/>
    </row>
    <row r="8283" spans="5:13" x14ac:dyDescent="0.25">
      <c r="E8283"/>
      <c r="M8283"/>
    </row>
    <row r="8284" spans="5:13" x14ac:dyDescent="0.25">
      <c r="E8284"/>
      <c r="M8284"/>
    </row>
    <row r="8285" spans="5:13" x14ac:dyDescent="0.25">
      <c r="E8285"/>
      <c r="M8285"/>
    </row>
    <row r="8286" spans="5:13" x14ac:dyDescent="0.25">
      <c r="E8286"/>
      <c r="M8286"/>
    </row>
    <row r="8287" spans="5:13" x14ac:dyDescent="0.25">
      <c r="E8287"/>
      <c r="M8287"/>
    </row>
    <row r="8288" spans="5:13" x14ac:dyDescent="0.25">
      <c r="E8288"/>
      <c r="M8288"/>
    </row>
    <row r="8289" spans="5:13" x14ac:dyDescent="0.25">
      <c r="E8289"/>
      <c r="M8289"/>
    </row>
    <row r="8290" spans="5:13" x14ac:dyDescent="0.25">
      <c r="E8290"/>
      <c r="M8290"/>
    </row>
    <row r="8291" spans="5:13" x14ac:dyDescent="0.25">
      <c r="E8291"/>
      <c r="M8291"/>
    </row>
    <row r="8292" spans="5:13" x14ac:dyDescent="0.25">
      <c r="E8292"/>
      <c r="M8292"/>
    </row>
    <row r="8293" spans="5:13" x14ac:dyDescent="0.25">
      <c r="E8293"/>
      <c r="M8293"/>
    </row>
    <row r="8294" spans="5:13" x14ac:dyDescent="0.25">
      <c r="E8294"/>
      <c r="M8294"/>
    </row>
    <row r="8295" spans="5:13" x14ac:dyDescent="0.25">
      <c r="E8295"/>
      <c r="M8295"/>
    </row>
    <row r="8296" spans="5:13" x14ac:dyDescent="0.25">
      <c r="E8296"/>
      <c r="M8296"/>
    </row>
    <row r="8297" spans="5:13" x14ac:dyDescent="0.25">
      <c r="E8297"/>
      <c r="M8297"/>
    </row>
    <row r="8298" spans="5:13" x14ac:dyDescent="0.25">
      <c r="E8298"/>
      <c r="M8298"/>
    </row>
    <row r="8299" spans="5:13" x14ac:dyDescent="0.25">
      <c r="E8299"/>
      <c r="M8299"/>
    </row>
    <row r="8300" spans="5:13" x14ac:dyDescent="0.25">
      <c r="E8300"/>
      <c r="M8300"/>
    </row>
    <row r="8301" spans="5:13" x14ac:dyDescent="0.25">
      <c r="E8301"/>
      <c r="M8301"/>
    </row>
    <row r="8302" spans="5:13" x14ac:dyDescent="0.25">
      <c r="E8302"/>
      <c r="M8302"/>
    </row>
    <row r="8303" spans="5:13" x14ac:dyDescent="0.25">
      <c r="E8303"/>
      <c r="M8303"/>
    </row>
    <row r="8304" spans="5:13" x14ac:dyDescent="0.25">
      <c r="E8304"/>
      <c r="M8304"/>
    </row>
    <row r="8305" spans="5:13" x14ac:dyDescent="0.25">
      <c r="E8305"/>
      <c r="M8305"/>
    </row>
    <row r="8306" spans="5:13" x14ac:dyDescent="0.25">
      <c r="E8306"/>
      <c r="M8306"/>
    </row>
    <row r="8307" spans="5:13" x14ac:dyDescent="0.25">
      <c r="E8307"/>
      <c r="M8307"/>
    </row>
    <row r="8308" spans="5:13" x14ac:dyDescent="0.25">
      <c r="E8308"/>
      <c r="M8308"/>
    </row>
    <row r="8309" spans="5:13" x14ac:dyDescent="0.25">
      <c r="E8309"/>
      <c r="M8309"/>
    </row>
    <row r="8310" spans="5:13" x14ac:dyDescent="0.25">
      <c r="E8310"/>
      <c r="M8310"/>
    </row>
    <row r="8311" spans="5:13" x14ac:dyDescent="0.25">
      <c r="E8311"/>
      <c r="M8311"/>
    </row>
    <row r="8312" spans="5:13" x14ac:dyDescent="0.25">
      <c r="E8312"/>
      <c r="M8312"/>
    </row>
    <row r="8313" spans="5:13" x14ac:dyDescent="0.25">
      <c r="E8313"/>
      <c r="M8313"/>
    </row>
    <row r="8314" spans="5:13" x14ac:dyDescent="0.25">
      <c r="E8314"/>
      <c r="M8314"/>
    </row>
    <row r="8315" spans="5:13" x14ac:dyDescent="0.25">
      <c r="E8315"/>
      <c r="M8315"/>
    </row>
    <row r="8316" spans="5:13" x14ac:dyDescent="0.25">
      <c r="E8316"/>
      <c r="M8316"/>
    </row>
    <row r="8317" spans="5:13" x14ac:dyDescent="0.25">
      <c r="E8317"/>
      <c r="M8317"/>
    </row>
    <row r="8318" spans="5:13" x14ac:dyDescent="0.25">
      <c r="E8318"/>
      <c r="M8318"/>
    </row>
    <row r="8319" spans="5:13" x14ac:dyDescent="0.25">
      <c r="E8319"/>
      <c r="M8319"/>
    </row>
    <row r="8320" spans="5:13" x14ac:dyDescent="0.25">
      <c r="E8320"/>
      <c r="M8320"/>
    </row>
    <row r="8321" spans="5:13" x14ac:dyDescent="0.25">
      <c r="E8321"/>
      <c r="M8321"/>
    </row>
    <row r="8322" spans="5:13" x14ac:dyDescent="0.25">
      <c r="E8322"/>
      <c r="M8322"/>
    </row>
    <row r="8323" spans="5:13" x14ac:dyDescent="0.25">
      <c r="E8323"/>
      <c r="M8323"/>
    </row>
    <row r="8324" spans="5:13" x14ac:dyDescent="0.25">
      <c r="E8324"/>
      <c r="M8324"/>
    </row>
    <row r="8325" spans="5:13" x14ac:dyDescent="0.25">
      <c r="E8325"/>
      <c r="M8325"/>
    </row>
    <row r="8326" spans="5:13" x14ac:dyDescent="0.25">
      <c r="E8326"/>
      <c r="M8326"/>
    </row>
    <row r="8327" spans="5:13" x14ac:dyDescent="0.25">
      <c r="E8327"/>
      <c r="M8327"/>
    </row>
    <row r="8328" spans="5:13" x14ac:dyDescent="0.25">
      <c r="E8328"/>
      <c r="M8328"/>
    </row>
    <row r="8329" spans="5:13" x14ac:dyDescent="0.25">
      <c r="E8329"/>
      <c r="M8329"/>
    </row>
    <row r="8330" spans="5:13" x14ac:dyDescent="0.25">
      <c r="E8330"/>
      <c r="M8330"/>
    </row>
    <row r="8331" spans="5:13" x14ac:dyDescent="0.25">
      <c r="E8331"/>
      <c r="M8331"/>
    </row>
    <row r="8332" spans="5:13" x14ac:dyDescent="0.25">
      <c r="E8332"/>
      <c r="M8332"/>
    </row>
    <row r="8333" spans="5:13" x14ac:dyDescent="0.25">
      <c r="E8333"/>
      <c r="M8333"/>
    </row>
    <row r="8334" spans="5:13" x14ac:dyDescent="0.25">
      <c r="E8334"/>
      <c r="M8334"/>
    </row>
    <row r="8335" spans="5:13" x14ac:dyDescent="0.25">
      <c r="E8335"/>
      <c r="M8335"/>
    </row>
    <row r="8336" spans="5:13" x14ac:dyDescent="0.25">
      <c r="E8336"/>
      <c r="M8336"/>
    </row>
    <row r="8337" spans="5:13" x14ac:dyDescent="0.25">
      <c r="E8337"/>
      <c r="M8337"/>
    </row>
    <row r="8338" spans="5:13" x14ac:dyDescent="0.25">
      <c r="E8338"/>
      <c r="M8338"/>
    </row>
    <row r="8339" spans="5:13" x14ac:dyDescent="0.25">
      <c r="E8339"/>
      <c r="M8339"/>
    </row>
    <row r="8340" spans="5:13" x14ac:dyDescent="0.25">
      <c r="E8340"/>
      <c r="M8340"/>
    </row>
    <row r="8341" spans="5:13" x14ac:dyDescent="0.25">
      <c r="E8341"/>
      <c r="M8341"/>
    </row>
    <row r="8342" spans="5:13" x14ac:dyDescent="0.25">
      <c r="E8342"/>
      <c r="M8342"/>
    </row>
    <row r="8343" spans="5:13" x14ac:dyDescent="0.25">
      <c r="E8343"/>
      <c r="M8343"/>
    </row>
    <row r="8344" spans="5:13" x14ac:dyDescent="0.25">
      <c r="E8344"/>
      <c r="M8344"/>
    </row>
    <row r="8345" spans="5:13" x14ac:dyDescent="0.25">
      <c r="E8345"/>
      <c r="M8345"/>
    </row>
    <row r="8346" spans="5:13" x14ac:dyDescent="0.25">
      <c r="E8346"/>
      <c r="M8346"/>
    </row>
    <row r="8347" spans="5:13" x14ac:dyDescent="0.25">
      <c r="E8347"/>
      <c r="M8347"/>
    </row>
    <row r="8348" spans="5:13" x14ac:dyDescent="0.25">
      <c r="E8348"/>
      <c r="M8348"/>
    </row>
    <row r="8349" spans="5:13" x14ac:dyDescent="0.25">
      <c r="E8349"/>
      <c r="M8349"/>
    </row>
    <row r="8350" spans="5:13" x14ac:dyDescent="0.25">
      <c r="E8350"/>
      <c r="M8350"/>
    </row>
    <row r="8351" spans="5:13" x14ac:dyDescent="0.25">
      <c r="E8351"/>
      <c r="M8351"/>
    </row>
    <row r="8352" spans="5:13" x14ac:dyDescent="0.25">
      <c r="E8352"/>
      <c r="M8352"/>
    </row>
    <row r="8353" spans="5:13" x14ac:dyDescent="0.25">
      <c r="E8353"/>
      <c r="M8353"/>
    </row>
    <row r="8354" spans="5:13" x14ac:dyDescent="0.25">
      <c r="E8354"/>
      <c r="M8354"/>
    </row>
    <row r="8355" spans="5:13" x14ac:dyDescent="0.25">
      <c r="E8355"/>
      <c r="M8355"/>
    </row>
    <row r="8356" spans="5:13" x14ac:dyDescent="0.25">
      <c r="E8356"/>
      <c r="M8356"/>
    </row>
    <row r="8357" spans="5:13" x14ac:dyDescent="0.25">
      <c r="E8357"/>
      <c r="M8357"/>
    </row>
    <row r="8358" spans="5:13" x14ac:dyDescent="0.25">
      <c r="E8358"/>
      <c r="M8358"/>
    </row>
    <row r="8359" spans="5:13" x14ac:dyDescent="0.25">
      <c r="E8359"/>
      <c r="M8359"/>
    </row>
    <row r="8360" spans="5:13" x14ac:dyDescent="0.25">
      <c r="E8360"/>
      <c r="M8360"/>
    </row>
    <row r="8361" spans="5:13" x14ac:dyDescent="0.25">
      <c r="E8361"/>
      <c r="M8361"/>
    </row>
    <row r="8362" spans="5:13" x14ac:dyDescent="0.25">
      <c r="E8362"/>
      <c r="M8362"/>
    </row>
    <row r="8363" spans="5:13" x14ac:dyDescent="0.25">
      <c r="E8363"/>
      <c r="M8363"/>
    </row>
    <row r="8364" spans="5:13" x14ac:dyDescent="0.25">
      <c r="E8364"/>
      <c r="M8364"/>
    </row>
    <row r="8365" spans="5:13" x14ac:dyDescent="0.25">
      <c r="E8365"/>
      <c r="M8365"/>
    </row>
    <row r="8366" spans="5:13" x14ac:dyDescent="0.25">
      <c r="E8366"/>
      <c r="M8366"/>
    </row>
    <row r="8367" spans="5:13" x14ac:dyDescent="0.25">
      <c r="E8367"/>
      <c r="M8367"/>
    </row>
    <row r="8368" spans="5:13" x14ac:dyDescent="0.25">
      <c r="E8368"/>
      <c r="M8368"/>
    </row>
    <row r="8369" spans="5:13" x14ac:dyDescent="0.25">
      <c r="E8369"/>
      <c r="M8369"/>
    </row>
    <row r="8370" spans="5:13" x14ac:dyDescent="0.25">
      <c r="E8370"/>
      <c r="M8370"/>
    </row>
    <row r="8371" spans="5:13" x14ac:dyDescent="0.25">
      <c r="E8371"/>
      <c r="M8371"/>
    </row>
    <row r="8372" spans="5:13" x14ac:dyDescent="0.25">
      <c r="E8372"/>
      <c r="M8372"/>
    </row>
    <row r="8373" spans="5:13" x14ac:dyDescent="0.25">
      <c r="E8373"/>
      <c r="M8373"/>
    </row>
    <row r="8374" spans="5:13" x14ac:dyDescent="0.25">
      <c r="E8374"/>
      <c r="M8374"/>
    </row>
    <row r="8375" spans="5:13" x14ac:dyDescent="0.25">
      <c r="E8375"/>
      <c r="M8375"/>
    </row>
    <row r="8376" spans="5:13" x14ac:dyDescent="0.25">
      <c r="E8376"/>
      <c r="M8376"/>
    </row>
    <row r="8377" spans="5:13" x14ac:dyDescent="0.25">
      <c r="E8377"/>
      <c r="M8377"/>
    </row>
    <row r="8378" spans="5:13" x14ac:dyDescent="0.25">
      <c r="E8378"/>
      <c r="M8378"/>
    </row>
    <row r="8379" spans="5:13" x14ac:dyDescent="0.25">
      <c r="E8379"/>
      <c r="M8379"/>
    </row>
    <row r="8380" spans="5:13" x14ac:dyDescent="0.25">
      <c r="E8380"/>
      <c r="M8380"/>
    </row>
    <row r="8381" spans="5:13" x14ac:dyDescent="0.25">
      <c r="E8381"/>
      <c r="M8381"/>
    </row>
    <row r="8382" spans="5:13" x14ac:dyDescent="0.25">
      <c r="E8382"/>
      <c r="M8382"/>
    </row>
    <row r="8383" spans="5:13" x14ac:dyDescent="0.25">
      <c r="E8383"/>
      <c r="M8383"/>
    </row>
    <row r="8384" spans="5:13" x14ac:dyDescent="0.25">
      <c r="E8384"/>
      <c r="M8384"/>
    </row>
    <row r="8385" spans="5:13" x14ac:dyDescent="0.25">
      <c r="E8385"/>
      <c r="M8385"/>
    </row>
    <row r="8386" spans="5:13" x14ac:dyDescent="0.25">
      <c r="E8386"/>
      <c r="M8386"/>
    </row>
    <row r="8387" spans="5:13" x14ac:dyDescent="0.25">
      <c r="E8387"/>
      <c r="M8387"/>
    </row>
    <row r="8388" spans="5:13" x14ac:dyDescent="0.25">
      <c r="E8388"/>
      <c r="M8388"/>
    </row>
    <row r="8389" spans="5:13" x14ac:dyDescent="0.25">
      <c r="E8389"/>
      <c r="M8389"/>
    </row>
    <row r="8390" spans="5:13" x14ac:dyDescent="0.25">
      <c r="E8390"/>
      <c r="M8390"/>
    </row>
    <row r="8391" spans="5:13" x14ac:dyDescent="0.25">
      <c r="E8391"/>
      <c r="M8391"/>
    </row>
    <row r="8392" spans="5:13" x14ac:dyDescent="0.25">
      <c r="E8392"/>
      <c r="M8392"/>
    </row>
    <row r="8393" spans="5:13" x14ac:dyDescent="0.25">
      <c r="E8393"/>
      <c r="M8393"/>
    </row>
    <row r="8394" spans="5:13" x14ac:dyDescent="0.25">
      <c r="E8394"/>
      <c r="M8394"/>
    </row>
    <row r="8395" spans="5:13" x14ac:dyDescent="0.25">
      <c r="E8395"/>
      <c r="M8395"/>
    </row>
    <row r="8396" spans="5:13" x14ac:dyDescent="0.25">
      <c r="E8396"/>
      <c r="M8396"/>
    </row>
    <row r="8397" spans="5:13" x14ac:dyDescent="0.25">
      <c r="E8397"/>
      <c r="M8397"/>
    </row>
    <row r="8398" spans="5:13" x14ac:dyDescent="0.25">
      <c r="E8398"/>
      <c r="M8398"/>
    </row>
    <row r="8399" spans="5:13" x14ac:dyDescent="0.25">
      <c r="E8399"/>
      <c r="M8399"/>
    </row>
    <row r="8400" spans="5:13" x14ac:dyDescent="0.25">
      <c r="E8400"/>
      <c r="M8400"/>
    </row>
    <row r="8401" spans="5:13" x14ac:dyDescent="0.25">
      <c r="E8401"/>
      <c r="M8401"/>
    </row>
    <row r="8402" spans="5:13" x14ac:dyDescent="0.25">
      <c r="E8402"/>
      <c r="M8402"/>
    </row>
    <row r="8403" spans="5:13" x14ac:dyDescent="0.25">
      <c r="E8403"/>
      <c r="M8403"/>
    </row>
    <row r="8404" spans="5:13" x14ac:dyDescent="0.25">
      <c r="E8404"/>
      <c r="M8404"/>
    </row>
    <row r="8405" spans="5:13" x14ac:dyDescent="0.25">
      <c r="E8405"/>
      <c r="M8405"/>
    </row>
    <row r="8406" spans="5:13" x14ac:dyDescent="0.25">
      <c r="E8406"/>
      <c r="M8406"/>
    </row>
    <row r="8407" spans="5:13" x14ac:dyDescent="0.25">
      <c r="E8407"/>
      <c r="M8407"/>
    </row>
    <row r="8408" spans="5:13" x14ac:dyDescent="0.25">
      <c r="E8408"/>
      <c r="M8408"/>
    </row>
    <row r="8409" spans="5:13" x14ac:dyDescent="0.25">
      <c r="E8409"/>
      <c r="M8409"/>
    </row>
    <row r="8410" spans="5:13" x14ac:dyDescent="0.25">
      <c r="E8410"/>
      <c r="M8410"/>
    </row>
    <row r="8411" spans="5:13" x14ac:dyDescent="0.25">
      <c r="E8411"/>
      <c r="M8411"/>
    </row>
    <row r="8412" spans="5:13" x14ac:dyDescent="0.25">
      <c r="E8412"/>
      <c r="M8412"/>
    </row>
    <row r="8413" spans="5:13" x14ac:dyDescent="0.25">
      <c r="E8413"/>
      <c r="M8413"/>
    </row>
    <row r="8414" spans="5:13" x14ac:dyDescent="0.25">
      <c r="E8414"/>
      <c r="M8414"/>
    </row>
    <row r="8415" spans="5:13" x14ac:dyDescent="0.25">
      <c r="E8415"/>
      <c r="M8415"/>
    </row>
    <row r="8416" spans="5:13" x14ac:dyDescent="0.25">
      <c r="E8416"/>
      <c r="M8416"/>
    </row>
    <row r="8417" spans="5:13" x14ac:dyDescent="0.25">
      <c r="E8417"/>
      <c r="M8417"/>
    </row>
    <row r="8418" spans="5:13" x14ac:dyDescent="0.25">
      <c r="E8418"/>
      <c r="M8418"/>
    </row>
    <row r="8419" spans="5:13" x14ac:dyDescent="0.25">
      <c r="E8419"/>
      <c r="M8419"/>
    </row>
    <row r="8420" spans="5:13" x14ac:dyDescent="0.25">
      <c r="E8420"/>
      <c r="M8420"/>
    </row>
    <row r="8421" spans="5:13" x14ac:dyDescent="0.25">
      <c r="E8421"/>
      <c r="M8421"/>
    </row>
    <row r="8422" spans="5:13" x14ac:dyDescent="0.25">
      <c r="E8422"/>
      <c r="M8422"/>
    </row>
    <row r="8423" spans="5:13" x14ac:dyDescent="0.25">
      <c r="E8423"/>
      <c r="M8423"/>
    </row>
    <row r="8424" spans="5:13" x14ac:dyDescent="0.25">
      <c r="E8424"/>
      <c r="M8424"/>
    </row>
    <row r="8425" spans="5:13" x14ac:dyDescent="0.25">
      <c r="E8425"/>
      <c r="M8425"/>
    </row>
    <row r="8426" spans="5:13" x14ac:dyDescent="0.25">
      <c r="E8426"/>
      <c r="M8426"/>
    </row>
    <row r="8427" spans="5:13" x14ac:dyDescent="0.25">
      <c r="E8427"/>
      <c r="M8427"/>
    </row>
    <row r="8428" spans="5:13" x14ac:dyDescent="0.25">
      <c r="E8428"/>
      <c r="M8428"/>
    </row>
    <row r="8429" spans="5:13" x14ac:dyDescent="0.25">
      <c r="E8429"/>
      <c r="M8429"/>
    </row>
    <row r="8430" spans="5:13" x14ac:dyDescent="0.25">
      <c r="E8430"/>
      <c r="M8430"/>
    </row>
    <row r="8431" spans="5:13" x14ac:dyDescent="0.25">
      <c r="E8431"/>
      <c r="M8431"/>
    </row>
    <row r="8432" spans="5:13" x14ac:dyDescent="0.25">
      <c r="E8432"/>
      <c r="M8432"/>
    </row>
    <row r="8433" spans="5:13" x14ac:dyDescent="0.25">
      <c r="E8433"/>
      <c r="M8433"/>
    </row>
    <row r="8434" spans="5:13" x14ac:dyDescent="0.25">
      <c r="E8434"/>
      <c r="M8434"/>
    </row>
    <row r="8435" spans="5:13" x14ac:dyDescent="0.25">
      <c r="E8435"/>
      <c r="M8435"/>
    </row>
    <row r="8436" spans="5:13" x14ac:dyDescent="0.25">
      <c r="E8436"/>
      <c r="M8436"/>
    </row>
    <row r="8437" spans="5:13" x14ac:dyDescent="0.25">
      <c r="E8437"/>
      <c r="M8437"/>
    </row>
    <row r="8438" spans="5:13" x14ac:dyDescent="0.25">
      <c r="E8438"/>
      <c r="M8438"/>
    </row>
    <row r="8439" spans="5:13" x14ac:dyDescent="0.25">
      <c r="E8439"/>
      <c r="M8439"/>
    </row>
    <row r="8440" spans="5:13" x14ac:dyDescent="0.25">
      <c r="E8440"/>
      <c r="M8440"/>
    </row>
    <row r="8441" spans="5:13" x14ac:dyDescent="0.25">
      <c r="E8441"/>
      <c r="M8441"/>
    </row>
    <row r="8442" spans="5:13" x14ac:dyDescent="0.25">
      <c r="E8442"/>
      <c r="M8442"/>
    </row>
    <row r="8443" spans="5:13" x14ac:dyDescent="0.25">
      <c r="E8443"/>
      <c r="M8443"/>
    </row>
    <row r="8444" spans="5:13" x14ac:dyDescent="0.25">
      <c r="E8444"/>
      <c r="M8444"/>
    </row>
    <row r="8445" spans="5:13" x14ac:dyDescent="0.25">
      <c r="E8445"/>
      <c r="M8445"/>
    </row>
    <row r="8446" spans="5:13" x14ac:dyDescent="0.25">
      <c r="E8446"/>
      <c r="M8446"/>
    </row>
    <row r="8447" spans="5:13" x14ac:dyDescent="0.25">
      <c r="E8447"/>
      <c r="M8447"/>
    </row>
    <row r="8448" spans="5:13" x14ac:dyDescent="0.25">
      <c r="E8448"/>
      <c r="M8448"/>
    </row>
    <row r="8449" spans="5:13" x14ac:dyDescent="0.25">
      <c r="E8449"/>
      <c r="M8449"/>
    </row>
    <row r="8450" spans="5:13" x14ac:dyDescent="0.25">
      <c r="E8450"/>
      <c r="M8450"/>
    </row>
    <row r="8451" spans="5:13" x14ac:dyDescent="0.25">
      <c r="E8451"/>
      <c r="M8451"/>
    </row>
    <row r="8452" spans="5:13" x14ac:dyDescent="0.25">
      <c r="E8452"/>
      <c r="M8452"/>
    </row>
    <row r="8453" spans="5:13" x14ac:dyDescent="0.25">
      <c r="E8453"/>
      <c r="M8453"/>
    </row>
    <row r="8454" spans="5:13" x14ac:dyDescent="0.25">
      <c r="E8454"/>
      <c r="M8454"/>
    </row>
    <row r="8455" spans="5:13" x14ac:dyDescent="0.25">
      <c r="E8455"/>
      <c r="M8455"/>
    </row>
    <row r="8456" spans="5:13" x14ac:dyDescent="0.25">
      <c r="E8456"/>
      <c r="M8456"/>
    </row>
    <row r="8457" spans="5:13" x14ac:dyDescent="0.25">
      <c r="E8457"/>
      <c r="M8457"/>
    </row>
    <row r="8458" spans="5:13" x14ac:dyDescent="0.25">
      <c r="E8458"/>
      <c r="M8458"/>
    </row>
    <row r="8459" spans="5:13" x14ac:dyDescent="0.25">
      <c r="E8459"/>
      <c r="M8459"/>
    </row>
    <row r="8460" spans="5:13" x14ac:dyDescent="0.25">
      <c r="E8460"/>
      <c r="M8460"/>
    </row>
    <row r="8461" spans="5:13" x14ac:dyDescent="0.25">
      <c r="E8461"/>
      <c r="M8461"/>
    </row>
    <row r="8462" spans="5:13" x14ac:dyDescent="0.25">
      <c r="E8462"/>
      <c r="M8462"/>
    </row>
    <row r="8463" spans="5:13" x14ac:dyDescent="0.25">
      <c r="E8463"/>
      <c r="M8463"/>
    </row>
    <row r="8464" spans="5:13" x14ac:dyDescent="0.25">
      <c r="E8464"/>
      <c r="M8464"/>
    </row>
    <row r="8465" spans="5:13" x14ac:dyDescent="0.25">
      <c r="E8465"/>
      <c r="M8465"/>
    </row>
    <row r="8466" spans="5:13" x14ac:dyDescent="0.25">
      <c r="E8466"/>
      <c r="M8466"/>
    </row>
    <row r="8467" spans="5:13" x14ac:dyDescent="0.25">
      <c r="E8467"/>
      <c r="M8467"/>
    </row>
    <row r="8468" spans="5:13" x14ac:dyDescent="0.25">
      <c r="E8468"/>
      <c r="M8468"/>
    </row>
    <row r="8469" spans="5:13" x14ac:dyDescent="0.25">
      <c r="E8469"/>
      <c r="M8469"/>
    </row>
    <row r="8470" spans="5:13" x14ac:dyDescent="0.25">
      <c r="E8470"/>
      <c r="M8470"/>
    </row>
    <row r="8471" spans="5:13" x14ac:dyDescent="0.25">
      <c r="E8471"/>
      <c r="M8471"/>
    </row>
    <row r="8472" spans="5:13" x14ac:dyDescent="0.25">
      <c r="E8472"/>
      <c r="M8472"/>
    </row>
    <row r="8473" spans="5:13" x14ac:dyDescent="0.25">
      <c r="E8473"/>
      <c r="M8473"/>
    </row>
    <row r="8474" spans="5:13" x14ac:dyDescent="0.25">
      <c r="E8474"/>
      <c r="M8474"/>
    </row>
    <row r="8475" spans="5:13" x14ac:dyDescent="0.25">
      <c r="E8475"/>
      <c r="M8475"/>
    </row>
    <row r="8476" spans="5:13" x14ac:dyDescent="0.25">
      <c r="E8476"/>
      <c r="M8476"/>
    </row>
    <row r="8477" spans="5:13" x14ac:dyDescent="0.25">
      <c r="E8477"/>
      <c r="M8477"/>
    </row>
    <row r="8478" spans="5:13" x14ac:dyDescent="0.25">
      <c r="E8478"/>
      <c r="M8478"/>
    </row>
    <row r="8479" spans="5:13" x14ac:dyDescent="0.25">
      <c r="E8479"/>
      <c r="M8479"/>
    </row>
    <row r="8480" spans="5:13" x14ac:dyDescent="0.25">
      <c r="E8480"/>
      <c r="M8480"/>
    </row>
    <row r="8481" spans="5:13" x14ac:dyDescent="0.25">
      <c r="E8481"/>
      <c r="M8481"/>
    </row>
    <row r="8482" spans="5:13" x14ac:dyDescent="0.25">
      <c r="E8482"/>
      <c r="M8482"/>
    </row>
    <row r="8483" spans="5:13" x14ac:dyDescent="0.25">
      <c r="E8483"/>
      <c r="M8483"/>
    </row>
    <row r="8484" spans="5:13" x14ac:dyDescent="0.25">
      <c r="E8484"/>
      <c r="M8484"/>
    </row>
    <row r="8485" spans="5:13" x14ac:dyDescent="0.25">
      <c r="E8485"/>
      <c r="M8485"/>
    </row>
    <row r="8486" spans="5:13" x14ac:dyDescent="0.25">
      <c r="E8486"/>
      <c r="M8486"/>
    </row>
    <row r="8487" spans="5:13" x14ac:dyDescent="0.25">
      <c r="E8487"/>
      <c r="M8487"/>
    </row>
    <row r="8488" spans="5:13" x14ac:dyDescent="0.25">
      <c r="E8488"/>
      <c r="M8488"/>
    </row>
    <row r="8489" spans="5:13" x14ac:dyDescent="0.25">
      <c r="E8489"/>
      <c r="M8489"/>
    </row>
    <row r="8490" spans="5:13" x14ac:dyDescent="0.25">
      <c r="E8490"/>
      <c r="M8490"/>
    </row>
    <row r="8491" spans="5:13" x14ac:dyDescent="0.25">
      <c r="E8491"/>
      <c r="M8491"/>
    </row>
    <row r="8492" spans="5:13" x14ac:dyDescent="0.25">
      <c r="E8492"/>
      <c r="M8492"/>
    </row>
    <row r="8493" spans="5:13" x14ac:dyDescent="0.25">
      <c r="E8493"/>
      <c r="M8493"/>
    </row>
    <row r="8494" spans="5:13" x14ac:dyDescent="0.25">
      <c r="E8494"/>
      <c r="M8494"/>
    </row>
    <row r="8495" spans="5:13" x14ac:dyDescent="0.25">
      <c r="E8495"/>
      <c r="M8495"/>
    </row>
    <row r="8496" spans="5:13" x14ac:dyDescent="0.25">
      <c r="E8496"/>
      <c r="M8496"/>
    </row>
    <row r="8497" spans="5:13" x14ac:dyDescent="0.25">
      <c r="E8497"/>
      <c r="M8497"/>
    </row>
    <row r="8498" spans="5:13" x14ac:dyDescent="0.25">
      <c r="E8498"/>
      <c r="M8498"/>
    </row>
    <row r="8499" spans="5:13" x14ac:dyDescent="0.25">
      <c r="E8499"/>
      <c r="M8499"/>
    </row>
    <row r="8500" spans="5:13" x14ac:dyDescent="0.25">
      <c r="E8500"/>
      <c r="M8500"/>
    </row>
    <row r="8501" spans="5:13" x14ac:dyDescent="0.25">
      <c r="E8501"/>
      <c r="M8501"/>
    </row>
    <row r="8502" spans="5:13" x14ac:dyDescent="0.25">
      <c r="E8502"/>
      <c r="M8502"/>
    </row>
    <row r="8503" spans="5:13" x14ac:dyDescent="0.25">
      <c r="E8503"/>
      <c r="M8503"/>
    </row>
    <row r="8504" spans="5:13" x14ac:dyDescent="0.25">
      <c r="E8504"/>
      <c r="M8504"/>
    </row>
    <row r="8505" spans="5:13" x14ac:dyDescent="0.25">
      <c r="E8505"/>
      <c r="M8505"/>
    </row>
    <row r="8506" spans="5:13" x14ac:dyDescent="0.25">
      <c r="E8506"/>
      <c r="M8506"/>
    </row>
    <row r="8507" spans="5:13" x14ac:dyDescent="0.25">
      <c r="E8507"/>
      <c r="M8507"/>
    </row>
    <row r="8508" spans="5:13" x14ac:dyDescent="0.25">
      <c r="E8508"/>
      <c r="M8508"/>
    </row>
    <row r="8509" spans="5:13" x14ac:dyDescent="0.25">
      <c r="E8509"/>
      <c r="M8509"/>
    </row>
    <row r="8510" spans="5:13" x14ac:dyDescent="0.25">
      <c r="E8510"/>
      <c r="M8510"/>
    </row>
    <row r="8511" spans="5:13" x14ac:dyDescent="0.25">
      <c r="E8511"/>
      <c r="M8511"/>
    </row>
    <row r="8512" spans="5:13" x14ac:dyDescent="0.25">
      <c r="E8512"/>
      <c r="M8512"/>
    </row>
    <row r="8513" spans="5:13" x14ac:dyDescent="0.25">
      <c r="E8513"/>
      <c r="M8513"/>
    </row>
    <row r="8514" spans="5:13" x14ac:dyDescent="0.25">
      <c r="E8514"/>
      <c r="M8514"/>
    </row>
    <row r="8515" spans="5:13" x14ac:dyDescent="0.25">
      <c r="E8515"/>
      <c r="M8515"/>
    </row>
    <row r="8516" spans="5:13" x14ac:dyDescent="0.25">
      <c r="E8516"/>
      <c r="M8516"/>
    </row>
    <row r="8517" spans="5:13" x14ac:dyDescent="0.25">
      <c r="E8517"/>
      <c r="M8517"/>
    </row>
    <row r="8518" spans="5:13" x14ac:dyDescent="0.25">
      <c r="E8518"/>
      <c r="M8518"/>
    </row>
    <row r="8519" spans="5:13" x14ac:dyDescent="0.25">
      <c r="E8519"/>
      <c r="M8519"/>
    </row>
    <row r="8520" spans="5:13" x14ac:dyDescent="0.25">
      <c r="E8520"/>
      <c r="M8520"/>
    </row>
    <row r="8521" spans="5:13" x14ac:dyDescent="0.25">
      <c r="E8521"/>
      <c r="M8521"/>
    </row>
    <row r="8522" spans="5:13" x14ac:dyDescent="0.25">
      <c r="E8522"/>
      <c r="M8522"/>
    </row>
    <row r="8523" spans="5:13" x14ac:dyDescent="0.25">
      <c r="E8523"/>
      <c r="M8523"/>
    </row>
    <row r="8524" spans="5:13" x14ac:dyDescent="0.25">
      <c r="E8524"/>
      <c r="M8524"/>
    </row>
    <row r="8525" spans="5:13" x14ac:dyDescent="0.25">
      <c r="E8525"/>
      <c r="M8525"/>
    </row>
    <row r="8526" spans="5:13" x14ac:dyDescent="0.25">
      <c r="E8526"/>
      <c r="M8526"/>
    </row>
    <row r="8527" spans="5:13" x14ac:dyDescent="0.25">
      <c r="E8527"/>
      <c r="M8527"/>
    </row>
    <row r="8528" spans="5:13" x14ac:dyDescent="0.25">
      <c r="E8528"/>
      <c r="M8528"/>
    </row>
    <row r="8529" spans="5:13" x14ac:dyDescent="0.25">
      <c r="E8529"/>
      <c r="M8529"/>
    </row>
    <row r="8530" spans="5:13" x14ac:dyDescent="0.25">
      <c r="E8530"/>
      <c r="M8530"/>
    </row>
    <row r="8531" spans="5:13" x14ac:dyDescent="0.25">
      <c r="E8531"/>
      <c r="M8531"/>
    </row>
    <row r="8532" spans="5:13" x14ac:dyDescent="0.25">
      <c r="E8532"/>
      <c r="M8532"/>
    </row>
    <row r="8533" spans="5:13" x14ac:dyDescent="0.25">
      <c r="E8533"/>
      <c r="M8533"/>
    </row>
    <row r="8534" spans="5:13" x14ac:dyDescent="0.25">
      <c r="E8534"/>
      <c r="M8534"/>
    </row>
    <row r="8535" spans="5:13" x14ac:dyDescent="0.25">
      <c r="E8535"/>
      <c r="M8535"/>
    </row>
    <row r="8536" spans="5:13" x14ac:dyDescent="0.25">
      <c r="E8536"/>
      <c r="M8536"/>
    </row>
    <row r="8537" spans="5:13" x14ac:dyDescent="0.25">
      <c r="E8537"/>
      <c r="M8537"/>
    </row>
    <row r="8538" spans="5:13" x14ac:dyDescent="0.25">
      <c r="E8538"/>
      <c r="M8538"/>
    </row>
    <row r="8539" spans="5:13" x14ac:dyDescent="0.25">
      <c r="E8539"/>
      <c r="M8539"/>
    </row>
    <row r="8540" spans="5:13" x14ac:dyDescent="0.25">
      <c r="E8540"/>
      <c r="M8540"/>
    </row>
    <row r="8541" spans="5:13" x14ac:dyDescent="0.25">
      <c r="E8541"/>
      <c r="M8541"/>
    </row>
    <row r="8542" spans="5:13" x14ac:dyDescent="0.25">
      <c r="E8542"/>
      <c r="M8542"/>
    </row>
    <row r="8543" spans="5:13" x14ac:dyDescent="0.25">
      <c r="E8543"/>
      <c r="M8543"/>
    </row>
    <row r="8544" spans="5:13" x14ac:dyDescent="0.25">
      <c r="E8544"/>
      <c r="M8544"/>
    </row>
    <row r="8545" spans="5:13" x14ac:dyDescent="0.25">
      <c r="E8545"/>
      <c r="M8545"/>
    </row>
    <row r="8546" spans="5:13" x14ac:dyDescent="0.25">
      <c r="E8546"/>
      <c r="M8546"/>
    </row>
    <row r="8547" spans="5:13" x14ac:dyDescent="0.25">
      <c r="E8547"/>
      <c r="M8547"/>
    </row>
    <row r="8548" spans="5:13" x14ac:dyDescent="0.25">
      <c r="E8548"/>
      <c r="M8548"/>
    </row>
    <row r="8549" spans="5:13" x14ac:dyDescent="0.25">
      <c r="E8549"/>
      <c r="M8549"/>
    </row>
    <row r="8550" spans="5:13" x14ac:dyDescent="0.25">
      <c r="E8550"/>
      <c r="M8550"/>
    </row>
    <row r="8551" spans="5:13" x14ac:dyDescent="0.25">
      <c r="E8551"/>
      <c r="M8551"/>
    </row>
    <row r="8552" spans="5:13" x14ac:dyDescent="0.25">
      <c r="E8552"/>
      <c r="M8552"/>
    </row>
    <row r="8553" spans="5:13" x14ac:dyDescent="0.25">
      <c r="E8553"/>
      <c r="M8553"/>
    </row>
    <row r="8554" spans="5:13" x14ac:dyDescent="0.25">
      <c r="E8554"/>
      <c r="M8554"/>
    </row>
    <row r="8555" spans="5:13" x14ac:dyDescent="0.25">
      <c r="E8555"/>
      <c r="M8555"/>
    </row>
    <row r="8556" spans="5:13" x14ac:dyDescent="0.25">
      <c r="E8556"/>
      <c r="M8556"/>
    </row>
    <row r="8557" spans="5:13" x14ac:dyDescent="0.25">
      <c r="E8557"/>
      <c r="M8557"/>
    </row>
    <row r="8558" spans="5:13" x14ac:dyDescent="0.25">
      <c r="E8558"/>
      <c r="M8558"/>
    </row>
    <row r="8559" spans="5:13" x14ac:dyDescent="0.25">
      <c r="E8559"/>
      <c r="M8559"/>
    </row>
    <row r="8560" spans="5:13" x14ac:dyDescent="0.25">
      <c r="E8560"/>
      <c r="M8560"/>
    </row>
    <row r="8561" spans="5:13" x14ac:dyDescent="0.25">
      <c r="E8561"/>
      <c r="M8561"/>
    </row>
    <row r="8562" spans="5:13" x14ac:dyDescent="0.25">
      <c r="E8562"/>
      <c r="M8562"/>
    </row>
    <row r="8563" spans="5:13" x14ac:dyDescent="0.25">
      <c r="E8563"/>
      <c r="M8563"/>
    </row>
    <row r="8564" spans="5:13" x14ac:dyDescent="0.25">
      <c r="E8564"/>
      <c r="M8564"/>
    </row>
    <row r="8565" spans="5:13" x14ac:dyDescent="0.25">
      <c r="E8565"/>
      <c r="M8565"/>
    </row>
    <row r="8566" spans="5:13" x14ac:dyDescent="0.25">
      <c r="E8566"/>
      <c r="M8566"/>
    </row>
    <row r="8567" spans="5:13" x14ac:dyDescent="0.25">
      <c r="E8567"/>
      <c r="M8567"/>
    </row>
    <row r="8568" spans="5:13" x14ac:dyDescent="0.25">
      <c r="E8568"/>
      <c r="M8568"/>
    </row>
    <row r="8569" spans="5:13" x14ac:dyDescent="0.25">
      <c r="E8569"/>
      <c r="M8569"/>
    </row>
    <row r="8570" spans="5:13" x14ac:dyDescent="0.25">
      <c r="E8570"/>
      <c r="M8570"/>
    </row>
    <row r="8571" spans="5:13" x14ac:dyDescent="0.25">
      <c r="E8571"/>
      <c r="M8571"/>
    </row>
    <row r="8572" spans="5:13" x14ac:dyDescent="0.25">
      <c r="E8572"/>
      <c r="M8572"/>
    </row>
    <row r="8573" spans="5:13" x14ac:dyDescent="0.25">
      <c r="E8573"/>
      <c r="M8573"/>
    </row>
    <row r="8574" spans="5:13" x14ac:dyDescent="0.25">
      <c r="E8574"/>
      <c r="M8574"/>
    </row>
    <row r="8575" spans="5:13" x14ac:dyDescent="0.25">
      <c r="E8575"/>
      <c r="M8575"/>
    </row>
    <row r="8576" spans="5:13" x14ac:dyDescent="0.25">
      <c r="E8576"/>
      <c r="M8576"/>
    </row>
    <row r="8577" spans="5:13" x14ac:dyDescent="0.25">
      <c r="E8577"/>
      <c r="M8577"/>
    </row>
    <row r="8578" spans="5:13" x14ac:dyDescent="0.25">
      <c r="E8578"/>
      <c r="M8578"/>
    </row>
    <row r="8579" spans="5:13" x14ac:dyDescent="0.25">
      <c r="E8579"/>
      <c r="M8579"/>
    </row>
    <row r="8580" spans="5:13" x14ac:dyDescent="0.25">
      <c r="E8580"/>
      <c r="M8580"/>
    </row>
    <row r="8581" spans="5:13" x14ac:dyDescent="0.25">
      <c r="E8581"/>
      <c r="M8581"/>
    </row>
    <row r="8582" spans="5:13" x14ac:dyDescent="0.25">
      <c r="E8582"/>
      <c r="M8582"/>
    </row>
    <row r="8583" spans="5:13" x14ac:dyDescent="0.25">
      <c r="E8583"/>
      <c r="M8583"/>
    </row>
    <row r="8584" spans="5:13" x14ac:dyDescent="0.25">
      <c r="E8584"/>
      <c r="M8584"/>
    </row>
    <row r="8585" spans="5:13" x14ac:dyDescent="0.25">
      <c r="E8585"/>
      <c r="M8585"/>
    </row>
    <row r="8586" spans="5:13" x14ac:dyDescent="0.25">
      <c r="E8586"/>
      <c r="M8586"/>
    </row>
    <row r="8587" spans="5:13" x14ac:dyDescent="0.25">
      <c r="E8587"/>
      <c r="M8587"/>
    </row>
    <row r="8588" spans="5:13" x14ac:dyDescent="0.25">
      <c r="E8588"/>
      <c r="M8588"/>
    </row>
    <row r="8589" spans="5:13" x14ac:dyDescent="0.25">
      <c r="E8589"/>
      <c r="M8589"/>
    </row>
    <row r="8590" spans="5:13" x14ac:dyDescent="0.25">
      <c r="E8590"/>
      <c r="M8590"/>
    </row>
    <row r="8591" spans="5:13" x14ac:dyDescent="0.25">
      <c r="E8591"/>
      <c r="M8591"/>
    </row>
    <row r="8592" spans="5:13" x14ac:dyDescent="0.25">
      <c r="E8592"/>
      <c r="M8592"/>
    </row>
    <row r="8593" spans="5:13" x14ac:dyDescent="0.25">
      <c r="E8593"/>
      <c r="M8593"/>
    </row>
    <row r="8594" spans="5:13" x14ac:dyDescent="0.25">
      <c r="E8594"/>
      <c r="M8594"/>
    </row>
    <row r="8595" spans="5:13" x14ac:dyDescent="0.25">
      <c r="E8595"/>
      <c r="M8595"/>
    </row>
    <row r="8596" spans="5:13" x14ac:dyDescent="0.25">
      <c r="E8596"/>
      <c r="M8596"/>
    </row>
    <row r="8597" spans="5:13" x14ac:dyDescent="0.25">
      <c r="E8597"/>
      <c r="M8597"/>
    </row>
    <row r="8598" spans="5:13" x14ac:dyDescent="0.25">
      <c r="E8598"/>
      <c r="M8598"/>
    </row>
    <row r="8599" spans="5:13" x14ac:dyDescent="0.25">
      <c r="E8599"/>
      <c r="M8599"/>
    </row>
    <row r="8600" spans="5:13" x14ac:dyDescent="0.25">
      <c r="E8600"/>
      <c r="M8600"/>
    </row>
    <row r="8601" spans="5:13" x14ac:dyDescent="0.25">
      <c r="E8601"/>
      <c r="M8601"/>
    </row>
    <row r="8602" spans="5:13" x14ac:dyDescent="0.25">
      <c r="E8602"/>
      <c r="M8602"/>
    </row>
    <row r="8603" spans="5:13" x14ac:dyDescent="0.25">
      <c r="E8603"/>
      <c r="M8603"/>
    </row>
    <row r="8604" spans="5:13" x14ac:dyDescent="0.25">
      <c r="E8604"/>
      <c r="M8604"/>
    </row>
    <row r="8605" spans="5:13" x14ac:dyDescent="0.25">
      <c r="E8605"/>
      <c r="M8605"/>
    </row>
    <row r="8606" spans="5:13" x14ac:dyDescent="0.25">
      <c r="E8606"/>
      <c r="M8606"/>
    </row>
    <row r="8607" spans="5:13" x14ac:dyDescent="0.25">
      <c r="E8607"/>
      <c r="M8607"/>
    </row>
    <row r="8608" spans="5:13" x14ac:dyDescent="0.25">
      <c r="E8608"/>
      <c r="M8608"/>
    </row>
    <row r="8609" spans="5:13" x14ac:dyDescent="0.25">
      <c r="E8609"/>
      <c r="M8609"/>
    </row>
    <row r="8610" spans="5:13" x14ac:dyDescent="0.25">
      <c r="E8610"/>
      <c r="M8610"/>
    </row>
    <row r="8611" spans="5:13" x14ac:dyDescent="0.25">
      <c r="E8611"/>
      <c r="M8611"/>
    </row>
    <row r="8612" spans="5:13" x14ac:dyDescent="0.25">
      <c r="E8612"/>
      <c r="M8612"/>
    </row>
    <row r="8613" spans="5:13" x14ac:dyDescent="0.25">
      <c r="E8613"/>
      <c r="M8613"/>
    </row>
    <row r="8614" spans="5:13" x14ac:dyDescent="0.25">
      <c r="E8614"/>
      <c r="M8614"/>
    </row>
    <row r="8615" spans="5:13" x14ac:dyDescent="0.25">
      <c r="E8615"/>
      <c r="M8615"/>
    </row>
    <row r="8616" spans="5:13" x14ac:dyDescent="0.25">
      <c r="E8616"/>
      <c r="M8616"/>
    </row>
    <row r="8617" spans="5:13" x14ac:dyDescent="0.25">
      <c r="E8617"/>
      <c r="M8617"/>
    </row>
    <row r="8618" spans="5:13" x14ac:dyDescent="0.25">
      <c r="E8618"/>
      <c r="M8618"/>
    </row>
    <row r="8619" spans="5:13" x14ac:dyDescent="0.25">
      <c r="E8619"/>
      <c r="M8619"/>
    </row>
    <row r="8620" spans="5:13" x14ac:dyDescent="0.25">
      <c r="E8620"/>
      <c r="M8620"/>
    </row>
    <row r="8621" spans="5:13" x14ac:dyDescent="0.25">
      <c r="E8621"/>
      <c r="M8621"/>
    </row>
    <row r="8622" spans="5:13" x14ac:dyDescent="0.25">
      <c r="E8622"/>
      <c r="M8622"/>
    </row>
    <row r="8623" spans="5:13" x14ac:dyDescent="0.25">
      <c r="E8623"/>
      <c r="M8623"/>
    </row>
    <row r="8624" spans="5:13" x14ac:dyDescent="0.25">
      <c r="E8624"/>
      <c r="M8624"/>
    </row>
    <row r="8625" spans="5:13" x14ac:dyDescent="0.25">
      <c r="E8625"/>
      <c r="M8625"/>
    </row>
    <row r="8626" spans="5:13" x14ac:dyDescent="0.25">
      <c r="E8626"/>
      <c r="M8626"/>
    </row>
    <row r="8627" spans="5:13" x14ac:dyDescent="0.25">
      <c r="E8627"/>
      <c r="M8627"/>
    </row>
    <row r="8628" spans="5:13" x14ac:dyDescent="0.25">
      <c r="E8628"/>
      <c r="M8628"/>
    </row>
    <row r="8629" spans="5:13" x14ac:dyDescent="0.25">
      <c r="E8629"/>
      <c r="M8629"/>
    </row>
    <row r="8630" spans="5:13" x14ac:dyDescent="0.25">
      <c r="E8630"/>
      <c r="M8630"/>
    </row>
    <row r="8631" spans="5:13" x14ac:dyDescent="0.25">
      <c r="E8631"/>
      <c r="M8631"/>
    </row>
    <row r="8632" spans="5:13" x14ac:dyDescent="0.25">
      <c r="E8632"/>
      <c r="M8632"/>
    </row>
    <row r="8633" spans="5:13" x14ac:dyDescent="0.25">
      <c r="E8633"/>
      <c r="M8633"/>
    </row>
    <row r="8634" spans="5:13" x14ac:dyDescent="0.25">
      <c r="E8634"/>
      <c r="M8634"/>
    </row>
    <row r="8635" spans="5:13" x14ac:dyDescent="0.25">
      <c r="E8635"/>
      <c r="M8635"/>
    </row>
    <row r="8636" spans="5:13" x14ac:dyDescent="0.25">
      <c r="E8636"/>
      <c r="M8636"/>
    </row>
    <row r="8637" spans="5:13" x14ac:dyDescent="0.25">
      <c r="E8637"/>
      <c r="M8637"/>
    </row>
    <row r="8638" spans="5:13" x14ac:dyDescent="0.25">
      <c r="E8638"/>
      <c r="M8638"/>
    </row>
    <row r="8639" spans="5:13" x14ac:dyDescent="0.25">
      <c r="E8639"/>
      <c r="M8639"/>
    </row>
    <row r="8640" spans="5:13" x14ac:dyDescent="0.25">
      <c r="E8640"/>
      <c r="M8640"/>
    </row>
    <row r="8641" spans="5:13" x14ac:dyDescent="0.25">
      <c r="E8641"/>
      <c r="M8641"/>
    </row>
    <row r="8642" spans="5:13" x14ac:dyDescent="0.25">
      <c r="E8642"/>
      <c r="M8642"/>
    </row>
    <row r="8643" spans="5:13" x14ac:dyDescent="0.25">
      <c r="E8643"/>
      <c r="M8643"/>
    </row>
    <row r="8644" spans="5:13" x14ac:dyDescent="0.25">
      <c r="E8644"/>
      <c r="M8644"/>
    </row>
    <row r="8645" spans="5:13" x14ac:dyDescent="0.25">
      <c r="E8645"/>
      <c r="M8645"/>
    </row>
    <row r="8646" spans="5:13" x14ac:dyDescent="0.25">
      <c r="E8646"/>
      <c r="M8646"/>
    </row>
    <row r="8647" spans="5:13" x14ac:dyDescent="0.25">
      <c r="E8647"/>
      <c r="M8647"/>
    </row>
    <row r="8648" spans="5:13" x14ac:dyDescent="0.25">
      <c r="E8648"/>
      <c r="M8648"/>
    </row>
    <row r="8649" spans="5:13" x14ac:dyDescent="0.25">
      <c r="E8649"/>
      <c r="M8649"/>
    </row>
    <row r="8650" spans="5:13" x14ac:dyDescent="0.25">
      <c r="E8650"/>
      <c r="M8650"/>
    </row>
    <row r="8651" spans="5:13" x14ac:dyDescent="0.25">
      <c r="E8651"/>
      <c r="M8651"/>
    </row>
    <row r="8652" spans="5:13" x14ac:dyDescent="0.25">
      <c r="E8652"/>
      <c r="M8652"/>
    </row>
    <row r="8653" spans="5:13" x14ac:dyDescent="0.25">
      <c r="E8653"/>
      <c r="M8653"/>
    </row>
    <row r="8654" spans="5:13" x14ac:dyDescent="0.25">
      <c r="E8654"/>
      <c r="M8654"/>
    </row>
    <row r="8655" spans="5:13" x14ac:dyDescent="0.25">
      <c r="E8655"/>
      <c r="M8655"/>
    </row>
    <row r="8656" spans="5:13" x14ac:dyDescent="0.25">
      <c r="E8656"/>
      <c r="M8656"/>
    </row>
    <row r="8657" spans="5:13" x14ac:dyDescent="0.25">
      <c r="E8657"/>
      <c r="M8657"/>
    </row>
    <row r="8658" spans="5:13" x14ac:dyDescent="0.25">
      <c r="E8658"/>
      <c r="M8658"/>
    </row>
    <row r="8659" spans="5:13" x14ac:dyDescent="0.25">
      <c r="E8659"/>
      <c r="M8659"/>
    </row>
    <row r="8660" spans="5:13" x14ac:dyDescent="0.25">
      <c r="E8660"/>
      <c r="M8660"/>
    </row>
    <row r="8661" spans="5:13" x14ac:dyDescent="0.25">
      <c r="E8661"/>
      <c r="M8661"/>
    </row>
    <row r="8662" spans="5:13" x14ac:dyDescent="0.25">
      <c r="E8662"/>
      <c r="M8662"/>
    </row>
    <row r="8663" spans="5:13" x14ac:dyDescent="0.25">
      <c r="E8663"/>
      <c r="M8663"/>
    </row>
    <row r="8664" spans="5:13" x14ac:dyDescent="0.25">
      <c r="E8664"/>
      <c r="M8664"/>
    </row>
    <row r="8665" spans="5:13" x14ac:dyDescent="0.25">
      <c r="E8665"/>
      <c r="M8665"/>
    </row>
    <row r="8666" spans="5:13" x14ac:dyDescent="0.25">
      <c r="E8666"/>
      <c r="M8666"/>
    </row>
    <row r="8667" spans="5:13" x14ac:dyDescent="0.25">
      <c r="E8667"/>
      <c r="M8667"/>
    </row>
    <row r="8668" spans="5:13" x14ac:dyDescent="0.25">
      <c r="E8668"/>
      <c r="M8668"/>
    </row>
    <row r="8669" spans="5:13" x14ac:dyDescent="0.25">
      <c r="E8669"/>
      <c r="M8669"/>
    </row>
    <row r="8670" spans="5:13" x14ac:dyDescent="0.25">
      <c r="E8670"/>
      <c r="M8670"/>
    </row>
    <row r="8671" spans="5:13" x14ac:dyDescent="0.25">
      <c r="E8671"/>
      <c r="M8671"/>
    </row>
    <row r="8672" spans="5:13" x14ac:dyDescent="0.25">
      <c r="E8672"/>
      <c r="M8672"/>
    </row>
    <row r="8673" spans="5:13" x14ac:dyDescent="0.25">
      <c r="E8673"/>
      <c r="M8673"/>
    </row>
    <row r="8674" spans="5:13" x14ac:dyDescent="0.25">
      <c r="E8674"/>
      <c r="M8674"/>
    </row>
    <row r="8675" spans="5:13" x14ac:dyDescent="0.25">
      <c r="E8675"/>
      <c r="M8675"/>
    </row>
    <row r="8676" spans="5:13" x14ac:dyDescent="0.25">
      <c r="E8676"/>
      <c r="M8676"/>
    </row>
    <row r="8677" spans="5:13" x14ac:dyDescent="0.25">
      <c r="E8677"/>
      <c r="M8677"/>
    </row>
    <row r="8678" spans="5:13" x14ac:dyDescent="0.25">
      <c r="E8678"/>
      <c r="M8678"/>
    </row>
    <row r="8679" spans="5:13" x14ac:dyDescent="0.25">
      <c r="E8679"/>
      <c r="M8679"/>
    </row>
    <row r="8680" spans="5:13" x14ac:dyDescent="0.25">
      <c r="E8680"/>
      <c r="M8680"/>
    </row>
    <row r="8681" spans="5:13" x14ac:dyDescent="0.25">
      <c r="E8681"/>
      <c r="M8681"/>
    </row>
    <row r="8682" spans="5:13" x14ac:dyDescent="0.25">
      <c r="E8682"/>
      <c r="M8682"/>
    </row>
    <row r="8683" spans="5:13" x14ac:dyDescent="0.25">
      <c r="E8683"/>
      <c r="M8683"/>
    </row>
    <row r="8684" spans="5:13" x14ac:dyDescent="0.25">
      <c r="E8684"/>
      <c r="M8684"/>
    </row>
    <row r="8685" spans="5:13" x14ac:dyDescent="0.25">
      <c r="E8685"/>
      <c r="M8685"/>
    </row>
    <row r="8686" spans="5:13" x14ac:dyDescent="0.25">
      <c r="E8686"/>
      <c r="M8686"/>
    </row>
    <row r="8687" spans="5:13" x14ac:dyDescent="0.25">
      <c r="E8687"/>
      <c r="M8687"/>
    </row>
    <row r="8688" spans="5:13" x14ac:dyDescent="0.25">
      <c r="E8688"/>
      <c r="M8688"/>
    </row>
    <row r="8689" spans="5:13" x14ac:dyDescent="0.25">
      <c r="E8689"/>
      <c r="M8689"/>
    </row>
    <row r="8690" spans="5:13" x14ac:dyDescent="0.25">
      <c r="E8690"/>
      <c r="M8690"/>
    </row>
    <row r="8691" spans="5:13" x14ac:dyDescent="0.25">
      <c r="E8691"/>
      <c r="M8691"/>
    </row>
    <row r="8692" spans="5:13" x14ac:dyDescent="0.25">
      <c r="E8692"/>
      <c r="M8692"/>
    </row>
    <row r="8693" spans="5:13" x14ac:dyDescent="0.25">
      <c r="E8693"/>
      <c r="M8693"/>
    </row>
    <row r="8694" spans="5:13" x14ac:dyDescent="0.25">
      <c r="E8694"/>
      <c r="M8694"/>
    </row>
    <row r="8695" spans="5:13" x14ac:dyDescent="0.25">
      <c r="E8695"/>
      <c r="M8695"/>
    </row>
    <row r="8696" spans="5:13" x14ac:dyDescent="0.25">
      <c r="E8696"/>
      <c r="M8696"/>
    </row>
    <row r="8697" spans="5:13" x14ac:dyDescent="0.25">
      <c r="E8697"/>
      <c r="M8697"/>
    </row>
    <row r="8698" spans="5:13" x14ac:dyDescent="0.25">
      <c r="E8698"/>
      <c r="M8698"/>
    </row>
    <row r="8699" spans="5:13" x14ac:dyDescent="0.25">
      <c r="E8699"/>
      <c r="M8699"/>
    </row>
    <row r="8700" spans="5:13" x14ac:dyDescent="0.25">
      <c r="E8700"/>
      <c r="M8700"/>
    </row>
    <row r="8701" spans="5:13" x14ac:dyDescent="0.25">
      <c r="E8701"/>
      <c r="M8701"/>
    </row>
    <row r="8702" spans="5:13" x14ac:dyDescent="0.25">
      <c r="E8702"/>
      <c r="M8702"/>
    </row>
    <row r="8703" spans="5:13" x14ac:dyDescent="0.25">
      <c r="E8703"/>
      <c r="M8703"/>
    </row>
    <row r="8704" spans="5:13" x14ac:dyDescent="0.25">
      <c r="E8704"/>
      <c r="M8704"/>
    </row>
    <row r="8705" spans="5:13" x14ac:dyDescent="0.25">
      <c r="E8705"/>
      <c r="M8705"/>
    </row>
    <row r="8706" spans="5:13" x14ac:dyDescent="0.25">
      <c r="E8706"/>
      <c r="M8706"/>
    </row>
    <row r="8707" spans="5:13" x14ac:dyDescent="0.25">
      <c r="E8707"/>
      <c r="M8707"/>
    </row>
    <row r="8708" spans="5:13" x14ac:dyDescent="0.25">
      <c r="E8708"/>
      <c r="M8708"/>
    </row>
    <row r="8709" spans="5:13" x14ac:dyDescent="0.25">
      <c r="E8709"/>
      <c r="M8709"/>
    </row>
    <row r="8710" spans="5:13" x14ac:dyDescent="0.25">
      <c r="E8710"/>
      <c r="M8710"/>
    </row>
    <row r="8711" spans="5:13" x14ac:dyDescent="0.25">
      <c r="E8711"/>
      <c r="M8711"/>
    </row>
    <row r="8712" spans="5:13" x14ac:dyDescent="0.25">
      <c r="E8712"/>
      <c r="M8712"/>
    </row>
    <row r="8713" spans="5:13" x14ac:dyDescent="0.25">
      <c r="E8713"/>
      <c r="M8713"/>
    </row>
    <row r="8714" spans="5:13" x14ac:dyDescent="0.25">
      <c r="E8714"/>
      <c r="M8714"/>
    </row>
    <row r="8715" spans="5:13" x14ac:dyDescent="0.25">
      <c r="E8715"/>
      <c r="M8715"/>
    </row>
    <row r="8716" spans="5:13" x14ac:dyDescent="0.25">
      <c r="E8716"/>
      <c r="M8716"/>
    </row>
    <row r="8717" spans="5:13" x14ac:dyDescent="0.25">
      <c r="E8717"/>
      <c r="M8717"/>
    </row>
    <row r="8718" spans="5:13" x14ac:dyDescent="0.25">
      <c r="E8718"/>
      <c r="M8718"/>
    </row>
    <row r="8719" spans="5:13" x14ac:dyDescent="0.25">
      <c r="E8719"/>
      <c r="M8719"/>
    </row>
    <row r="8720" spans="5:13" x14ac:dyDescent="0.25">
      <c r="E8720"/>
      <c r="M8720"/>
    </row>
    <row r="8721" spans="5:13" x14ac:dyDescent="0.25">
      <c r="E8721"/>
      <c r="M8721"/>
    </row>
    <row r="8722" spans="5:13" x14ac:dyDescent="0.25">
      <c r="E8722"/>
      <c r="M8722"/>
    </row>
    <row r="8723" spans="5:13" x14ac:dyDescent="0.25">
      <c r="E8723"/>
      <c r="M8723"/>
    </row>
    <row r="8724" spans="5:13" x14ac:dyDescent="0.25">
      <c r="E8724"/>
      <c r="M8724"/>
    </row>
    <row r="8725" spans="5:13" x14ac:dyDescent="0.25">
      <c r="E8725"/>
      <c r="M8725"/>
    </row>
    <row r="8726" spans="5:13" x14ac:dyDescent="0.25">
      <c r="E8726"/>
      <c r="M8726"/>
    </row>
    <row r="8727" spans="5:13" x14ac:dyDescent="0.25">
      <c r="E8727"/>
      <c r="M8727"/>
    </row>
    <row r="8728" spans="5:13" x14ac:dyDescent="0.25">
      <c r="E8728"/>
      <c r="M8728"/>
    </row>
    <row r="8729" spans="5:13" x14ac:dyDescent="0.25">
      <c r="E8729"/>
      <c r="M8729"/>
    </row>
    <row r="8730" spans="5:13" x14ac:dyDescent="0.25">
      <c r="E8730"/>
      <c r="M8730"/>
    </row>
    <row r="8731" spans="5:13" x14ac:dyDescent="0.25">
      <c r="E8731"/>
      <c r="M8731"/>
    </row>
    <row r="8732" spans="5:13" x14ac:dyDescent="0.25">
      <c r="E8732"/>
      <c r="M8732"/>
    </row>
    <row r="8733" spans="5:13" x14ac:dyDescent="0.25">
      <c r="E8733"/>
      <c r="M8733"/>
    </row>
    <row r="8734" spans="5:13" x14ac:dyDescent="0.25">
      <c r="E8734"/>
      <c r="M8734"/>
    </row>
    <row r="8735" spans="5:13" x14ac:dyDescent="0.25">
      <c r="E8735"/>
      <c r="M8735"/>
    </row>
    <row r="8736" spans="5:13" x14ac:dyDescent="0.25">
      <c r="E8736"/>
      <c r="M8736"/>
    </row>
    <row r="8737" spans="5:13" x14ac:dyDescent="0.25">
      <c r="E8737"/>
      <c r="M8737"/>
    </row>
    <row r="8738" spans="5:13" x14ac:dyDescent="0.25">
      <c r="E8738"/>
      <c r="M8738"/>
    </row>
    <row r="8739" spans="5:13" x14ac:dyDescent="0.25">
      <c r="E8739"/>
      <c r="M8739"/>
    </row>
    <row r="8740" spans="5:13" x14ac:dyDescent="0.25">
      <c r="E8740"/>
      <c r="M8740"/>
    </row>
    <row r="8741" spans="5:13" x14ac:dyDescent="0.25">
      <c r="E8741"/>
      <c r="M8741"/>
    </row>
    <row r="8742" spans="5:13" x14ac:dyDescent="0.25">
      <c r="E8742"/>
      <c r="M8742"/>
    </row>
    <row r="8743" spans="5:13" x14ac:dyDescent="0.25">
      <c r="E8743"/>
      <c r="M8743"/>
    </row>
    <row r="8744" spans="5:13" x14ac:dyDescent="0.25">
      <c r="E8744"/>
      <c r="M8744"/>
    </row>
    <row r="8745" spans="5:13" x14ac:dyDescent="0.25">
      <c r="E8745"/>
      <c r="M8745"/>
    </row>
    <row r="8746" spans="5:13" x14ac:dyDescent="0.25">
      <c r="E8746"/>
      <c r="M8746"/>
    </row>
    <row r="8747" spans="5:13" x14ac:dyDescent="0.25">
      <c r="E8747"/>
      <c r="M8747"/>
    </row>
    <row r="8748" spans="5:13" x14ac:dyDescent="0.25">
      <c r="E8748"/>
      <c r="M8748"/>
    </row>
    <row r="8749" spans="5:13" x14ac:dyDescent="0.25">
      <c r="E8749"/>
      <c r="M8749"/>
    </row>
    <row r="8750" spans="5:13" x14ac:dyDescent="0.25">
      <c r="E8750"/>
      <c r="M8750"/>
    </row>
    <row r="8751" spans="5:13" x14ac:dyDescent="0.25">
      <c r="E8751"/>
      <c r="M8751"/>
    </row>
    <row r="8752" spans="5:13" x14ac:dyDescent="0.25">
      <c r="E8752"/>
      <c r="M8752"/>
    </row>
    <row r="8753" spans="5:13" x14ac:dyDescent="0.25">
      <c r="E8753"/>
      <c r="M8753"/>
    </row>
    <row r="8754" spans="5:13" x14ac:dyDescent="0.25">
      <c r="E8754"/>
      <c r="M8754"/>
    </row>
    <row r="8755" spans="5:13" x14ac:dyDescent="0.25">
      <c r="E8755"/>
      <c r="M8755"/>
    </row>
    <row r="8756" spans="5:13" x14ac:dyDescent="0.25">
      <c r="E8756"/>
      <c r="M8756"/>
    </row>
    <row r="8757" spans="5:13" x14ac:dyDescent="0.25">
      <c r="E8757"/>
      <c r="M8757"/>
    </row>
    <row r="8758" spans="5:13" x14ac:dyDescent="0.25">
      <c r="E8758"/>
      <c r="M8758"/>
    </row>
    <row r="8759" spans="5:13" x14ac:dyDescent="0.25">
      <c r="E8759"/>
      <c r="M8759"/>
    </row>
    <row r="8760" spans="5:13" x14ac:dyDescent="0.25">
      <c r="E8760"/>
      <c r="M8760"/>
    </row>
    <row r="8761" spans="5:13" x14ac:dyDescent="0.25">
      <c r="E8761"/>
      <c r="M8761"/>
    </row>
    <row r="8762" spans="5:13" x14ac:dyDescent="0.25">
      <c r="E8762"/>
      <c r="M8762"/>
    </row>
    <row r="8763" spans="5:13" x14ac:dyDescent="0.25">
      <c r="E8763"/>
      <c r="M8763"/>
    </row>
    <row r="8764" spans="5:13" x14ac:dyDescent="0.25">
      <c r="E8764"/>
      <c r="M8764"/>
    </row>
    <row r="8765" spans="5:13" x14ac:dyDescent="0.25">
      <c r="E8765"/>
      <c r="M8765"/>
    </row>
    <row r="8766" spans="5:13" x14ac:dyDescent="0.25">
      <c r="E8766"/>
      <c r="M8766"/>
    </row>
    <row r="8767" spans="5:13" x14ac:dyDescent="0.25">
      <c r="E8767"/>
      <c r="M8767"/>
    </row>
    <row r="8768" spans="5:13" x14ac:dyDescent="0.25">
      <c r="E8768"/>
      <c r="M8768"/>
    </row>
    <row r="8769" spans="5:13" x14ac:dyDescent="0.25">
      <c r="E8769"/>
      <c r="M8769"/>
    </row>
    <row r="8770" spans="5:13" x14ac:dyDescent="0.25">
      <c r="E8770"/>
      <c r="M8770"/>
    </row>
    <row r="8771" spans="5:13" x14ac:dyDescent="0.25">
      <c r="E8771"/>
      <c r="M8771"/>
    </row>
    <row r="8772" spans="5:13" x14ac:dyDescent="0.25">
      <c r="E8772"/>
      <c r="M8772"/>
    </row>
    <row r="8773" spans="5:13" x14ac:dyDescent="0.25">
      <c r="E8773"/>
      <c r="M8773"/>
    </row>
    <row r="8774" spans="5:13" x14ac:dyDescent="0.25">
      <c r="E8774"/>
      <c r="M8774"/>
    </row>
    <row r="8775" spans="5:13" x14ac:dyDescent="0.25">
      <c r="E8775"/>
      <c r="M8775"/>
    </row>
    <row r="8776" spans="5:13" x14ac:dyDescent="0.25">
      <c r="E8776"/>
      <c r="M8776"/>
    </row>
    <row r="8777" spans="5:13" x14ac:dyDescent="0.25">
      <c r="E8777"/>
      <c r="M8777"/>
    </row>
    <row r="8778" spans="5:13" x14ac:dyDescent="0.25">
      <c r="E8778"/>
      <c r="M8778"/>
    </row>
    <row r="8779" spans="5:13" x14ac:dyDescent="0.25">
      <c r="E8779"/>
      <c r="M8779"/>
    </row>
    <row r="8780" spans="5:13" x14ac:dyDescent="0.25">
      <c r="E8780"/>
      <c r="M8780"/>
    </row>
    <row r="8781" spans="5:13" x14ac:dyDescent="0.25">
      <c r="E8781"/>
      <c r="M8781"/>
    </row>
    <row r="8782" spans="5:13" x14ac:dyDescent="0.25">
      <c r="E8782"/>
      <c r="M8782"/>
    </row>
    <row r="8783" spans="5:13" x14ac:dyDescent="0.25">
      <c r="E8783"/>
      <c r="M8783"/>
    </row>
    <row r="8784" spans="5:13" x14ac:dyDescent="0.25">
      <c r="E8784"/>
      <c r="M8784"/>
    </row>
    <row r="8785" spans="5:13" x14ac:dyDescent="0.25">
      <c r="E8785"/>
      <c r="M8785"/>
    </row>
    <row r="8786" spans="5:13" x14ac:dyDescent="0.25">
      <c r="E8786"/>
      <c r="M8786"/>
    </row>
    <row r="8787" spans="5:13" x14ac:dyDescent="0.25">
      <c r="E8787"/>
      <c r="M8787"/>
    </row>
    <row r="8788" spans="5:13" x14ac:dyDescent="0.25">
      <c r="E8788"/>
      <c r="M8788"/>
    </row>
    <row r="8789" spans="5:13" x14ac:dyDescent="0.25">
      <c r="E8789"/>
      <c r="M8789"/>
    </row>
    <row r="8790" spans="5:13" x14ac:dyDescent="0.25">
      <c r="E8790"/>
      <c r="M8790"/>
    </row>
    <row r="8791" spans="5:13" x14ac:dyDescent="0.25">
      <c r="E8791"/>
      <c r="M8791"/>
    </row>
    <row r="8792" spans="5:13" x14ac:dyDescent="0.25">
      <c r="E8792"/>
      <c r="M8792"/>
    </row>
    <row r="8793" spans="5:13" x14ac:dyDescent="0.25">
      <c r="E8793"/>
      <c r="M8793"/>
    </row>
    <row r="8794" spans="5:13" x14ac:dyDescent="0.25">
      <c r="E8794"/>
      <c r="M8794"/>
    </row>
    <row r="8795" spans="5:13" x14ac:dyDescent="0.25">
      <c r="E8795"/>
      <c r="M8795"/>
    </row>
    <row r="8796" spans="5:13" x14ac:dyDescent="0.25">
      <c r="E8796"/>
      <c r="M8796"/>
    </row>
    <row r="8797" spans="5:13" x14ac:dyDescent="0.25">
      <c r="E8797"/>
      <c r="M8797"/>
    </row>
    <row r="8798" spans="5:13" x14ac:dyDescent="0.25">
      <c r="E8798"/>
      <c r="M8798"/>
    </row>
    <row r="8799" spans="5:13" x14ac:dyDescent="0.25">
      <c r="E8799"/>
      <c r="M8799"/>
    </row>
    <row r="8800" spans="5:13" x14ac:dyDescent="0.25">
      <c r="E8800"/>
      <c r="M8800"/>
    </row>
    <row r="8801" spans="5:13" x14ac:dyDescent="0.25">
      <c r="E8801"/>
      <c r="M8801"/>
    </row>
    <row r="8802" spans="5:13" x14ac:dyDescent="0.25">
      <c r="E8802"/>
      <c r="M8802"/>
    </row>
    <row r="8803" spans="5:13" x14ac:dyDescent="0.25">
      <c r="E8803"/>
      <c r="M8803"/>
    </row>
    <row r="8804" spans="5:13" x14ac:dyDescent="0.25">
      <c r="E8804"/>
      <c r="M8804"/>
    </row>
    <row r="8805" spans="5:13" x14ac:dyDescent="0.25">
      <c r="E8805"/>
      <c r="M8805"/>
    </row>
    <row r="8806" spans="5:13" x14ac:dyDescent="0.25">
      <c r="E8806"/>
      <c r="M8806"/>
    </row>
    <row r="8807" spans="5:13" x14ac:dyDescent="0.25">
      <c r="E8807"/>
      <c r="M8807"/>
    </row>
    <row r="8808" spans="5:13" x14ac:dyDescent="0.25">
      <c r="E8808"/>
      <c r="M8808"/>
    </row>
    <row r="8809" spans="5:13" x14ac:dyDescent="0.25">
      <c r="E8809"/>
      <c r="M8809"/>
    </row>
    <row r="8810" spans="5:13" x14ac:dyDescent="0.25">
      <c r="E8810"/>
      <c r="M8810"/>
    </row>
    <row r="8811" spans="5:13" x14ac:dyDescent="0.25">
      <c r="E8811"/>
      <c r="M8811"/>
    </row>
    <row r="8812" spans="5:13" x14ac:dyDescent="0.25">
      <c r="E8812"/>
      <c r="M8812"/>
    </row>
    <row r="8813" spans="5:13" x14ac:dyDescent="0.25">
      <c r="E8813"/>
      <c r="M8813"/>
    </row>
    <row r="8814" spans="5:13" x14ac:dyDescent="0.25">
      <c r="E8814"/>
      <c r="M8814"/>
    </row>
    <row r="8815" spans="5:13" x14ac:dyDescent="0.25">
      <c r="E8815"/>
      <c r="M8815"/>
    </row>
    <row r="8816" spans="5:13" x14ac:dyDescent="0.25">
      <c r="E8816"/>
      <c r="M8816"/>
    </row>
    <row r="8817" spans="5:13" x14ac:dyDescent="0.25">
      <c r="E8817"/>
      <c r="M8817"/>
    </row>
    <row r="8818" spans="5:13" x14ac:dyDescent="0.25">
      <c r="E8818"/>
      <c r="M8818"/>
    </row>
    <row r="8819" spans="5:13" x14ac:dyDescent="0.25">
      <c r="E8819"/>
      <c r="M8819"/>
    </row>
    <row r="8820" spans="5:13" x14ac:dyDescent="0.25">
      <c r="E8820"/>
      <c r="M8820"/>
    </row>
    <row r="8821" spans="5:13" x14ac:dyDescent="0.25">
      <c r="E8821"/>
      <c r="M8821"/>
    </row>
    <row r="8822" spans="5:13" x14ac:dyDescent="0.25">
      <c r="E8822"/>
      <c r="M8822"/>
    </row>
    <row r="8823" spans="5:13" x14ac:dyDescent="0.25">
      <c r="E8823"/>
      <c r="M8823"/>
    </row>
    <row r="8824" spans="5:13" x14ac:dyDescent="0.25">
      <c r="E8824"/>
      <c r="M8824"/>
    </row>
    <row r="8825" spans="5:13" x14ac:dyDescent="0.25">
      <c r="E8825"/>
      <c r="M8825"/>
    </row>
    <row r="8826" spans="5:13" x14ac:dyDescent="0.25">
      <c r="E8826"/>
      <c r="M8826"/>
    </row>
    <row r="8827" spans="5:13" x14ac:dyDescent="0.25">
      <c r="E8827"/>
      <c r="M8827"/>
    </row>
    <row r="8828" spans="5:13" x14ac:dyDescent="0.25">
      <c r="E8828"/>
      <c r="M8828"/>
    </row>
    <row r="8829" spans="5:13" x14ac:dyDescent="0.25">
      <c r="E8829"/>
      <c r="M8829"/>
    </row>
    <row r="8830" spans="5:13" x14ac:dyDescent="0.25">
      <c r="E8830"/>
      <c r="M8830"/>
    </row>
    <row r="8831" spans="5:13" x14ac:dyDescent="0.25">
      <c r="E8831"/>
      <c r="M8831"/>
    </row>
    <row r="8832" spans="5:13" x14ac:dyDescent="0.25">
      <c r="E8832"/>
      <c r="M8832"/>
    </row>
    <row r="8833" spans="5:13" x14ac:dyDescent="0.25">
      <c r="E8833"/>
      <c r="M8833"/>
    </row>
    <row r="8834" spans="5:13" x14ac:dyDescent="0.25">
      <c r="E8834"/>
      <c r="M8834"/>
    </row>
    <row r="8835" spans="5:13" x14ac:dyDescent="0.25">
      <c r="E8835"/>
      <c r="M8835"/>
    </row>
    <row r="8836" spans="5:13" x14ac:dyDescent="0.25">
      <c r="E8836"/>
      <c r="M8836"/>
    </row>
    <row r="8837" spans="5:13" x14ac:dyDescent="0.25">
      <c r="E8837"/>
      <c r="M8837"/>
    </row>
    <row r="8838" spans="5:13" x14ac:dyDescent="0.25">
      <c r="E8838"/>
      <c r="M8838"/>
    </row>
    <row r="8839" spans="5:13" x14ac:dyDescent="0.25">
      <c r="E8839"/>
      <c r="M8839"/>
    </row>
    <row r="8840" spans="5:13" x14ac:dyDescent="0.25">
      <c r="E8840"/>
      <c r="M8840"/>
    </row>
    <row r="8841" spans="5:13" x14ac:dyDescent="0.25">
      <c r="E8841"/>
      <c r="M8841"/>
    </row>
    <row r="8842" spans="5:13" x14ac:dyDescent="0.25">
      <c r="E8842"/>
      <c r="M8842"/>
    </row>
    <row r="8843" spans="5:13" x14ac:dyDescent="0.25">
      <c r="E8843"/>
      <c r="M8843"/>
    </row>
    <row r="8844" spans="5:13" x14ac:dyDescent="0.25">
      <c r="E8844"/>
      <c r="M8844"/>
    </row>
    <row r="8845" spans="5:13" x14ac:dyDescent="0.25">
      <c r="E8845"/>
      <c r="M8845"/>
    </row>
    <row r="8846" spans="5:13" x14ac:dyDescent="0.25">
      <c r="E8846"/>
      <c r="M8846"/>
    </row>
    <row r="8847" spans="5:13" x14ac:dyDescent="0.25">
      <c r="E8847"/>
      <c r="M8847"/>
    </row>
    <row r="8848" spans="5:13" x14ac:dyDescent="0.25">
      <c r="E8848"/>
      <c r="M8848"/>
    </row>
    <row r="8849" spans="5:13" x14ac:dyDescent="0.25">
      <c r="E8849"/>
      <c r="M8849"/>
    </row>
    <row r="8850" spans="5:13" x14ac:dyDescent="0.25">
      <c r="E8850"/>
      <c r="M8850"/>
    </row>
    <row r="8851" spans="5:13" x14ac:dyDescent="0.25">
      <c r="E8851"/>
      <c r="M8851"/>
    </row>
    <row r="8852" spans="5:13" x14ac:dyDescent="0.25">
      <c r="E8852"/>
      <c r="M8852"/>
    </row>
    <row r="8853" spans="5:13" x14ac:dyDescent="0.25">
      <c r="E8853"/>
      <c r="M8853"/>
    </row>
    <row r="8854" spans="5:13" x14ac:dyDescent="0.25">
      <c r="E8854"/>
      <c r="M8854"/>
    </row>
    <row r="8855" spans="5:13" x14ac:dyDescent="0.25">
      <c r="E8855"/>
      <c r="M8855"/>
    </row>
    <row r="8856" spans="5:13" x14ac:dyDescent="0.25">
      <c r="E8856"/>
      <c r="M8856"/>
    </row>
    <row r="8857" spans="5:13" x14ac:dyDescent="0.25">
      <c r="E8857"/>
      <c r="M8857"/>
    </row>
    <row r="8858" spans="5:13" x14ac:dyDescent="0.25">
      <c r="E8858"/>
      <c r="M8858"/>
    </row>
    <row r="8859" spans="5:13" x14ac:dyDescent="0.25">
      <c r="E8859"/>
      <c r="M8859"/>
    </row>
    <row r="8860" spans="5:13" x14ac:dyDescent="0.25">
      <c r="E8860"/>
      <c r="M8860"/>
    </row>
    <row r="8861" spans="5:13" x14ac:dyDescent="0.25">
      <c r="E8861"/>
      <c r="M8861"/>
    </row>
    <row r="8862" spans="5:13" x14ac:dyDescent="0.25">
      <c r="E8862"/>
      <c r="M8862"/>
    </row>
    <row r="8863" spans="5:13" x14ac:dyDescent="0.25">
      <c r="E8863"/>
      <c r="M8863"/>
    </row>
    <row r="8864" spans="5:13" x14ac:dyDescent="0.25">
      <c r="E8864"/>
      <c r="M8864"/>
    </row>
    <row r="8865" spans="5:13" x14ac:dyDescent="0.25">
      <c r="E8865"/>
      <c r="M8865"/>
    </row>
    <row r="8866" spans="5:13" x14ac:dyDescent="0.25">
      <c r="E8866"/>
      <c r="M8866"/>
    </row>
    <row r="8867" spans="5:13" x14ac:dyDescent="0.25">
      <c r="E8867"/>
      <c r="M8867"/>
    </row>
    <row r="8868" spans="5:13" x14ac:dyDescent="0.25">
      <c r="E8868"/>
      <c r="M8868"/>
    </row>
    <row r="8869" spans="5:13" x14ac:dyDescent="0.25">
      <c r="E8869"/>
      <c r="M8869"/>
    </row>
    <row r="8870" spans="5:13" x14ac:dyDescent="0.25">
      <c r="E8870"/>
      <c r="M8870"/>
    </row>
    <row r="8871" spans="5:13" x14ac:dyDescent="0.25">
      <c r="E8871"/>
      <c r="M8871"/>
    </row>
    <row r="8872" spans="5:13" x14ac:dyDescent="0.25">
      <c r="E8872"/>
      <c r="M8872"/>
    </row>
    <row r="8873" spans="5:13" x14ac:dyDescent="0.25">
      <c r="E8873"/>
      <c r="M8873"/>
    </row>
    <row r="8874" spans="5:13" x14ac:dyDescent="0.25">
      <c r="E8874"/>
      <c r="M8874"/>
    </row>
    <row r="8875" spans="5:13" x14ac:dyDescent="0.25">
      <c r="E8875"/>
      <c r="M8875"/>
    </row>
    <row r="8876" spans="5:13" x14ac:dyDescent="0.25">
      <c r="E8876"/>
      <c r="M8876"/>
    </row>
    <row r="8877" spans="5:13" x14ac:dyDescent="0.25">
      <c r="E8877"/>
      <c r="M8877"/>
    </row>
    <row r="8878" spans="5:13" x14ac:dyDescent="0.25">
      <c r="E8878"/>
      <c r="M8878"/>
    </row>
    <row r="8879" spans="5:13" x14ac:dyDescent="0.25">
      <c r="E8879"/>
      <c r="M8879"/>
    </row>
    <row r="8880" spans="5:13" x14ac:dyDescent="0.25">
      <c r="E8880"/>
      <c r="M8880"/>
    </row>
    <row r="8881" spans="5:13" x14ac:dyDescent="0.25">
      <c r="E8881"/>
      <c r="M8881"/>
    </row>
    <row r="8882" spans="5:13" x14ac:dyDescent="0.25">
      <c r="E8882"/>
      <c r="M8882"/>
    </row>
    <row r="8883" spans="5:13" x14ac:dyDescent="0.25">
      <c r="E8883"/>
      <c r="M8883"/>
    </row>
    <row r="8884" spans="5:13" x14ac:dyDescent="0.25">
      <c r="E8884"/>
      <c r="M8884"/>
    </row>
    <row r="8885" spans="5:13" x14ac:dyDescent="0.25">
      <c r="E8885"/>
      <c r="M8885"/>
    </row>
    <row r="8886" spans="5:13" x14ac:dyDescent="0.25">
      <c r="E8886"/>
      <c r="M8886"/>
    </row>
    <row r="8887" spans="5:13" x14ac:dyDescent="0.25">
      <c r="E8887"/>
      <c r="M8887"/>
    </row>
    <row r="8888" spans="5:13" x14ac:dyDescent="0.25">
      <c r="E8888"/>
      <c r="M8888"/>
    </row>
    <row r="8889" spans="5:13" x14ac:dyDescent="0.25">
      <c r="E8889"/>
      <c r="M8889"/>
    </row>
    <row r="8890" spans="5:13" x14ac:dyDescent="0.25">
      <c r="E8890"/>
      <c r="M8890"/>
    </row>
    <row r="8891" spans="5:13" x14ac:dyDescent="0.25">
      <c r="E8891"/>
      <c r="M8891"/>
    </row>
    <row r="8892" spans="5:13" x14ac:dyDescent="0.25">
      <c r="E8892"/>
      <c r="M8892"/>
    </row>
    <row r="8893" spans="5:13" x14ac:dyDescent="0.25">
      <c r="E8893"/>
      <c r="M8893"/>
    </row>
    <row r="8894" spans="5:13" x14ac:dyDescent="0.25">
      <c r="E8894"/>
      <c r="M8894"/>
    </row>
    <row r="8895" spans="5:13" x14ac:dyDescent="0.25">
      <c r="E8895"/>
      <c r="M8895"/>
    </row>
    <row r="8896" spans="5:13" x14ac:dyDescent="0.25">
      <c r="E8896"/>
      <c r="M8896"/>
    </row>
    <row r="8897" spans="5:13" x14ac:dyDescent="0.25">
      <c r="E8897"/>
      <c r="M8897"/>
    </row>
    <row r="8898" spans="5:13" x14ac:dyDescent="0.25">
      <c r="E8898"/>
      <c r="M8898"/>
    </row>
    <row r="8899" spans="5:13" x14ac:dyDescent="0.25">
      <c r="E8899"/>
      <c r="M8899"/>
    </row>
    <row r="8900" spans="5:13" x14ac:dyDescent="0.25">
      <c r="E8900"/>
      <c r="M8900"/>
    </row>
    <row r="8901" spans="5:13" x14ac:dyDescent="0.25">
      <c r="E8901"/>
      <c r="M8901"/>
    </row>
    <row r="8902" spans="5:13" x14ac:dyDescent="0.25">
      <c r="E8902"/>
      <c r="M8902"/>
    </row>
    <row r="8903" spans="5:13" x14ac:dyDescent="0.25">
      <c r="E8903"/>
      <c r="M8903"/>
    </row>
    <row r="8904" spans="5:13" x14ac:dyDescent="0.25">
      <c r="E8904"/>
      <c r="M8904"/>
    </row>
    <row r="8905" spans="5:13" x14ac:dyDescent="0.25">
      <c r="E8905"/>
      <c r="M8905"/>
    </row>
    <row r="8906" spans="5:13" x14ac:dyDescent="0.25">
      <c r="E8906"/>
      <c r="M8906"/>
    </row>
    <row r="8907" spans="5:13" x14ac:dyDescent="0.25">
      <c r="E8907"/>
      <c r="M8907"/>
    </row>
    <row r="8908" spans="5:13" x14ac:dyDescent="0.25">
      <c r="E8908"/>
      <c r="M8908"/>
    </row>
    <row r="8909" spans="5:13" x14ac:dyDescent="0.25">
      <c r="E8909"/>
      <c r="M8909"/>
    </row>
    <row r="8910" spans="5:13" x14ac:dyDescent="0.25">
      <c r="E8910"/>
      <c r="M8910"/>
    </row>
    <row r="8911" spans="5:13" x14ac:dyDescent="0.25">
      <c r="E8911"/>
      <c r="M8911"/>
    </row>
    <row r="8912" spans="5:13" x14ac:dyDescent="0.25">
      <c r="E8912"/>
      <c r="M8912"/>
    </row>
    <row r="8913" spans="5:13" x14ac:dyDescent="0.25">
      <c r="E8913"/>
      <c r="M8913"/>
    </row>
    <row r="8914" spans="5:13" x14ac:dyDescent="0.25">
      <c r="E8914"/>
      <c r="M8914"/>
    </row>
    <row r="8915" spans="5:13" x14ac:dyDescent="0.25">
      <c r="E8915"/>
      <c r="M8915"/>
    </row>
    <row r="8916" spans="5:13" x14ac:dyDescent="0.25">
      <c r="E8916"/>
      <c r="M8916"/>
    </row>
    <row r="8917" spans="5:13" x14ac:dyDescent="0.25">
      <c r="E8917"/>
      <c r="M8917"/>
    </row>
    <row r="8918" spans="5:13" x14ac:dyDescent="0.25">
      <c r="E8918"/>
      <c r="M8918"/>
    </row>
    <row r="8919" spans="5:13" x14ac:dyDescent="0.25">
      <c r="E8919"/>
      <c r="M8919"/>
    </row>
    <row r="8920" spans="5:13" x14ac:dyDescent="0.25">
      <c r="E8920"/>
      <c r="M8920"/>
    </row>
    <row r="8921" spans="5:13" x14ac:dyDescent="0.25">
      <c r="E8921"/>
      <c r="M8921"/>
    </row>
    <row r="8922" spans="5:13" x14ac:dyDescent="0.25">
      <c r="E8922"/>
      <c r="M8922"/>
    </row>
    <row r="8923" spans="5:13" x14ac:dyDescent="0.25">
      <c r="E8923"/>
      <c r="M8923"/>
    </row>
    <row r="8924" spans="5:13" x14ac:dyDescent="0.25">
      <c r="E8924"/>
      <c r="M8924"/>
    </row>
    <row r="8925" spans="5:13" x14ac:dyDescent="0.25">
      <c r="E8925"/>
      <c r="M8925"/>
    </row>
    <row r="8926" spans="5:13" x14ac:dyDescent="0.25">
      <c r="E8926"/>
      <c r="M8926"/>
    </row>
    <row r="8927" spans="5:13" x14ac:dyDescent="0.25">
      <c r="E8927"/>
      <c r="M8927"/>
    </row>
    <row r="8928" spans="5:13" x14ac:dyDescent="0.25">
      <c r="E8928"/>
      <c r="M8928"/>
    </row>
    <row r="8929" spans="5:13" x14ac:dyDescent="0.25">
      <c r="E8929"/>
      <c r="M8929"/>
    </row>
    <row r="8930" spans="5:13" x14ac:dyDescent="0.25">
      <c r="E8930"/>
      <c r="M8930"/>
    </row>
    <row r="8931" spans="5:13" x14ac:dyDescent="0.25">
      <c r="E8931"/>
      <c r="M8931"/>
    </row>
    <row r="8932" spans="5:13" x14ac:dyDescent="0.25">
      <c r="E8932"/>
      <c r="M8932"/>
    </row>
    <row r="8933" spans="5:13" x14ac:dyDescent="0.25">
      <c r="E8933"/>
      <c r="M8933"/>
    </row>
    <row r="8934" spans="5:13" x14ac:dyDescent="0.25">
      <c r="E8934"/>
      <c r="M8934"/>
    </row>
    <row r="8935" spans="5:13" x14ac:dyDescent="0.25">
      <c r="E8935"/>
      <c r="M8935"/>
    </row>
    <row r="8936" spans="5:13" x14ac:dyDescent="0.25">
      <c r="E8936"/>
      <c r="M8936"/>
    </row>
    <row r="8937" spans="5:13" x14ac:dyDescent="0.25">
      <c r="E8937"/>
      <c r="M8937"/>
    </row>
    <row r="8938" spans="5:13" x14ac:dyDescent="0.25">
      <c r="E8938"/>
      <c r="M8938"/>
    </row>
    <row r="8939" spans="5:13" x14ac:dyDescent="0.25">
      <c r="E8939"/>
      <c r="M8939"/>
    </row>
    <row r="8940" spans="5:13" x14ac:dyDescent="0.25">
      <c r="E8940"/>
      <c r="M8940"/>
    </row>
    <row r="8941" spans="5:13" x14ac:dyDescent="0.25">
      <c r="E8941"/>
      <c r="M8941"/>
    </row>
    <row r="8942" spans="5:13" x14ac:dyDescent="0.25">
      <c r="E8942"/>
      <c r="M8942"/>
    </row>
    <row r="8943" spans="5:13" x14ac:dyDescent="0.25">
      <c r="E8943"/>
      <c r="M8943"/>
    </row>
    <row r="8944" spans="5:13" x14ac:dyDescent="0.25">
      <c r="E8944"/>
      <c r="M8944"/>
    </row>
    <row r="8945" spans="5:13" x14ac:dyDescent="0.25">
      <c r="E8945"/>
      <c r="M8945"/>
    </row>
    <row r="8946" spans="5:13" x14ac:dyDescent="0.25">
      <c r="E8946"/>
      <c r="M8946"/>
    </row>
    <row r="8947" spans="5:13" x14ac:dyDescent="0.25">
      <c r="E8947"/>
      <c r="M8947"/>
    </row>
    <row r="8948" spans="5:13" x14ac:dyDescent="0.25">
      <c r="E8948"/>
      <c r="M8948"/>
    </row>
    <row r="8949" spans="5:13" x14ac:dyDescent="0.25">
      <c r="E8949"/>
      <c r="M8949"/>
    </row>
    <row r="8950" spans="5:13" x14ac:dyDescent="0.25">
      <c r="E8950"/>
      <c r="M8950"/>
    </row>
    <row r="8951" spans="5:13" x14ac:dyDescent="0.25">
      <c r="E8951"/>
      <c r="M8951"/>
    </row>
    <row r="8952" spans="5:13" x14ac:dyDescent="0.25">
      <c r="E8952"/>
      <c r="M8952"/>
    </row>
    <row r="8953" spans="5:13" x14ac:dyDescent="0.25">
      <c r="E8953"/>
      <c r="M8953"/>
    </row>
    <row r="8954" spans="5:13" x14ac:dyDescent="0.25">
      <c r="E8954"/>
      <c r="M8954"/>
    </row>
    <row r="8955" spans="5:13" x14ac:dyDescent="0.25">
      <c r="E8955"/>
      <c r="M8955"/>
    </row>
    <row r="8956" spans="5:13" x14ac:dyDescent="0.25">
      <c r="E8956"/>
      <c r="M8956"/>
    </row>
    <row r="8957" spans="5:13" x14ac:dyDescent="0.25">
      <c r="E8957"/>
      <c r="M8957"/>
    </row>
    <row r="8958" spans="5:13" x14ac:dyDescent="0.25">
      <c r="E8958"/>
      <c r="M8958"/>
    </row>
    <row r="8959" spans="5:13" x14ac:dyDescent="0.25">
      <c r="E8959"/>
      <c r="M8959"/>
    </row>
    <row r="8960" spans="5:13" x14ac:dyDescent="0.25">
      <c r="E8960"/>
      <c r="M8960"/>
    </row>
    <row r="8961" spans="5:13" x14ac:dyDescent="0.25">
      <c r="E8961"/>
      <c r="M8961"/>
    </row>
    <row r="8962" spans="5:13" x14ac:dyDescent="0.25">
      <c r="E8962"/>
      <c r="M8962"/>
    </row>
    <row r="8963" spans="5:13" x14ac:dyDescent="0.25">
      <c r="E8963"/>
      <c r="M8963"/>
    </row>
    <row r="8964" spans="5:13" x14ac:dyDescent="0.25">
      <c r="E8964"/>
      <c r="M8964"/>
    </row>
    <row r="8965" spans="5:13" x14ac:dyDescent="0.25">
      <c r="E8965"/>
      <c r="M8965"/>
    </row>
    <row r="8966" spans="5:13" x14ac:dyDescent="0.25">
      <c r="E8966"/>
      <c r="M8966"/>
    </row>
    <row r="8967" spans="5:13" x14ac:dyDescent="0.25">
      <c r="E8967"/>
      <c r="M8967"/>
    </row>
    <row r="8968" spans="5:13" x14ac:dyDescent="0.25">
      <c r="E8968"/>
      <c r="M8968"/>
    </row>
    <row r="8969" spans="5:13" x14ac:dyDescent="0.25">
      <c r="E8969"/>
      <c r="M8969"/>
    </row>
    <row r="8970" spans="5:13" x14ac:dyDescent="0.25">
      <c r="E8970"/>
      <c r="M8970"/>
    </row>
    <row r="8971" spans="5:13" x14ac:dyDescent="0.25">
      <c r="E8971"/>
      <c r="M8971"/>
    </row>
    <row r="8972" spans="5:13" x14ac:dyDescent="0.25">
      <c r="E8972"/>
      <c r="M8972"/>
    </row>
    <row r="8973" spans="5:13" x14ac:dyDescent="0.25">
      <c r="E8973"/>
      <c r="M8973"/>
    </row>
    <row r="8974" spans="5:13" x14ac:dyDescent="0.25">
      <c r="E8974"/>
      <c r="M8974"/>
    </row>
    <row r="8975" spans="5:13" x14ac:dyDescent="0.25">
      <c r="E8975"/>
      <c r="M8975"/>
    </row>
    <row r="8976" spans="5:13" x14ac:dyDescent="0.25">
      <c r="E8976"/>
      <c r="M8976"/>
    </row>
    <row r="8977" spans="5:13" x14ac:dyDescent="0.25">
      <c r="E8977"/>
      <c r="M8977"/>
    </row>
    <row r="8978" spans="5:13" x14ac:dyDescent="0.25">
      <c r="E8978"/>
      <c r="M8978"/>
    </row>
    <row r="8979" spans="5:13" x14ac:dyDescent="0.25">
      <c r="E8979"/>
      <c r="M8979"/>
    </row>
    <row r="8980" spans="5:13" x14ac:dyDescent="0.25">
      <c r="E8980"/>
      <c r="M8980"/>
    </row>
    <row r="8981" spans="5:13" x14ac:dyDescent="0.25">
      <c r="E8981"/>
      <c r="M8981"/>
    </row>
    <row r="8982" spans="5:13" x14ac:dyDescent="0.25">
      <c r="E8982"/>
      <c r="M8982"/>
    </row>
    <row r="8983" spans="5:13" x14ac:dyDescent="0.25">
      <c r="E8983"/>
      <c r="M8983"/>
    </row>
    <row r="8984" spans="5:13" x14ac:dyDescent="0.25">
      <c r="E8984"/>
      <c r="M8984"/>
    </row>
    <row r="8985" spans="5:13" x14ac:dyDescent="0.25">
      <c r="E8985"/>
      <c r="M8985"/>
    </row>
    <row r="8986" spans="5:13" x14ac:dyDescent="0.25">
      <c r="E8986"/>
      <c r="M8986"/>
    </row>
    <row r="8987" spans="5:13" x14ac:dyDescent="0.25">
      <c r="E8987"/>
      <c r="M8987"/>
    </row>
    <row r="8988" spans="5:13" x14ac:dyDescent="0.25">
      <c r="E8988"/>
      <c r="M8988"/>
    </row>
    <row r="8989" spans="5:13" x14ac:dyDescent="0.25">
      <c r="E8989"/>
      <c r="M8989"/>
    </row>
    <row r="8990" spans="5:13" x14ac:dyDescent="0.25">
      <c r="E8990"/>
      <c r="M8990"/>
    </row>
    <row r="8991" spans="5:13" x14ac:dyDescent="0.25">
      <c r="E8991"/>
      <c r="M8991"/>
    </row>
    <row r="8992" spans="5:13" x14ac:dyDescent="0.25">
      <c r="E8992"/>
      <c r="M8992"/>
    </row>
    <row r="8993" spans="5:13" x14ac:dyDescent="0.25">
      <c r="E8993"/>
      <c r="M8993"/>
    </row>
    <row r="8994" spans="5:13" x14ac:dyDescent="0.25">
      <c r="E8994"/>
      <c r="M8994"/>
    </row>
    <row r="8995" spans="5:13" x14ac:dyDescent="0.25">
      <c r="E8995"/>
      <c r="M8995"/>
    </row>
    <row r="8996" spans="5:13" x14ac:dyDescent="0.25">
      <c r="E8996"/>
      <c r="M8996"/>
    </row>
    <row r="8997" spans="5:13" x14ac:dyDescent="0.25">
      <c r="E8997"/>
      <c r="M8997"/>
    </row>
    <row r="8998" spans="5:13" x14ac:dyDescent="0.25">
      <c r="E8998"/>
      <c r="M8998"/>
    </row>
    <row r="8999" spans="5:13" x14ac:dyDescent="0.25">
      <c r="E8999"/>
      <c r="M8999"/>
    </row>
    <row r="9000" spans="5:13" x14ac:dyDescent="0.25">
      <c r="E9000"/>
      <c r="M9000"/>
    </row>
    <row r="9001" spans="5:13" x14ac:dyDescent="0.25">
      <c r="E9001"/>
      <c r="M9001"/>
    </row>
    <row r="9002" spans="5:13" x14ac:dyDescent="0.25">
      <c r="E9002"/>
      <c r="M9002"/>
    </row>
    <row r="9003" spans="5:13" x14ac:dyDescent="0.25">
      <c r="E9003"/>
      <c r="M9003"/>
    </row>
    <row r="9004" spans="5:13" x14ac:dyDescent="0.25">
      <c r="E9004"/>
      <c r="M9004"/>
    </row>
    <row r="9005" spans="5:13" x14ac:dyDescent="0.25">
      <c r="E9005"/>
      <c r="M9005"/>
    </row>
    <row r="9006" spans="5:13" x14ac:dyDescent="0.25">
      <c r="E9006"/>
      <c r="M9006"/>
    </row>
    <row r="9007" spans="5:13" x14ac:dyDescent="0.25">
      <c r="E9007"/>
      <c r="M9007"/>
    </row>
    <row r="9008" spans="5:13" x14ac:dyDescent="0.25">
      <c r="E9008"/>
      <c r="M9008"/>
    </row>
    <row r="9009" spans="5:13" x14ac:dyDescent="0.25">
      <c r="E9009"/>
      <c r="M9009"/>
    </row>
    <row r="9010" spans="5:13" x14ac:dyDescent="0.25">
      <c r="E9010"/>
      <c r="M9010"/>
    </row>
    <row r="9011" spans="5:13" x14ac:dyDescent="0.25">
      <c r="E9011"/>
      <c r="M9011"/>
    </row>
    <row r="9012" spans="5:13" x14ac:dyDescent="0.25">
      <c r="E9012"/>
      <c r="M9012"/>
    </row>
    <row r="9013" spans="5:13" x14ac:dyDescent="0.25">
      <c r="E9013"/>
      <c r="M9013"/>
    </row>
    <row r="9014" spans="5:13" x14ac:dyDescent="0.25">
      <c r="E9014"/>
      <c r="M9014"/>
    </row>
    <row r="9015" spans="5:13" x14ac:dyDescent="0.25">
      <c r="E9015"/>
      <c r="M9015"/>
    </row>
    <row r="9016" spans="5:13" x14ac:dyDescent="0.25">
      <c r="E9016"/>
      <c r="M9016"/>
    </row>
    <row r="9017" spans="5:13" x14ac:dyDescent="0.25">
      <c r="E9017"/>
      <c r="M9017"/>
    </row>
    <row r="9018" spans="5:13" x14ac:dyDescent="0.25">
      <c r="E9018"/>
      <c r="M9018"/>
    </row>
    <row r="9019" spans="5:13" x14ac:dyDescent="0.25">
      <c r="E9019"/>
      <c r="M9019"/>
    </row>
    <row r="9020" spans="5:13" x14ac:dyDescent="0.25">
      <c r="E9020"/>
      <c r="M9020"/>
    </row>
    <row r="9021" spans="5:13" x14ac:dyDescent="0.25">
      <c r="E9021"/>
      <c r="M9021"/>
    </row>
    <row r="9022" spans="5:13" x14ac:dyDescent="0.25">
      <c r="E9022"/>
      <c r="M9022"/>
    </row>
    <row r="9023" spans="5:13" x14ac:dyDescent="0.25">
      <c r="E9023"/>
      <c r="M9023"/>
    </row>
    <row r="9024" spans="5:13" x14ac:dyDescent="0.25">
      <c r="E9024"/>
      <c r="M9024"/>
    </row>
    <row r="9025" spans="5:13" x14ac:dyDescent="0.25">
      <c r="E9025"/>
      <c r="M9025"/>
    </row>
    <row r="9026" spans="5:13" x14ac:dyDescent="0.25">
      <c r="E9026"/>
      <c r="M9026"/>
    </row>
    <row r="9027" spans="5:13" x14ac:dyDescent="0.25">
      <c r="E9027"/>
      <c r="M9027"/>
    </row>
    <row r="9028" spans="5:13" x14ac:dyDescent="0.25">
      <c r="E9028"/>
      <c r="M9028"/>
    </row>
    <row r="9029" spans="5:13" x14ac:dyDescent="0.25">
      <c r="E9029"/>
      <c r="M9029"/>
    </row>
    <row r="9030" spans="5:13" x14ac:dyDescent="0.25">
      <c r="E9030"/>
      <c r="M9030"/>
    </row>
    <row r="9031" spans="5:13" x14ac:dyDescent="0.25">
      <c r="E9031"/>
      <c r="M9031"/>
    </row>
    <row r="9032" spans="5:13" x14ac:dyDescent="0.25">
      <c r="E9032"/>
      <c r="M9032"/>
    </row>
    <row r="9033" spans="5:13" x14ac:dyDescent="0.25">
      <c r="E9033"/>
      <c r="M9033"/>
    </row>
    <row r="9034" spans="5:13" x14ac:dyDescent="0.25">
      <c r="E9034"/>
      <c r="M9034"/>
    </row>
    <row r="9035" spans="5:13" x14ac:dyDescent="0.25">
      <c r="E9035"/>
      <c r="M9035"/>
    </row>
    <row r="9036" spans="5:13" x14ac:dyDescent="0.25">
      <c r="E9036"/>
      <c r="M9036"/>
    </row>
    <row r="9037" spans="5:13" x14ac:dyDescent="0.25">
      <c r="E9037"/>
      <c r="M9037"/>
    </row>
    <row r="9038" spans="5:13" x14ac:dyDescent="0.25">
      <c r="E9038"/>
      <c r="M9038"/>
    </row>
    <row r="9039" spans="5:13" x14ac:dyDescent="0.25">
      <c r="E9039"/>
      <c r="M9039"/>
    </row>
    <row r="9040" spans="5:13" x14ac:dyDescent="0.25">
      <c r="E9040"/>
      <c r="M9040"/>
    </row>
    <row r="9041" spans="5:13" x14ac:dyDescent="0.25">
      <c r="E9041"/>
      <c r="M9041"/>
    </row>
    <row r="9042" spans="5:13" x14ac:dyDescent="0.25">
      <c r="E9042"/>
      <c r="M9042"/>
    </row>
    <row r="9043" spans="5:13" x14ac:dyDescent="0.25">
      <c r="E9043"/>
      <c r="M9043"/>
    </row>
    <row r="9044" spans="5:13" x14ac:dyDescent="0.25">
      <c r="E9044"/>
      <c r="M9044"/>
    </row>
    <row r="9045" spans="5:13" x14ac:dyDescent="0.25">
      <c r="E9045"/>
      <c r="M9045"/>
    </row>
    <row r="9046" spans="5:13" x14ac:dyDescent="0.25">
      <c r="E9046"/>
      <c r="M9046"/>
    </row>
    <row r="9047" spans="5:13" x14ac:dyDescent="0.25">
      <c r="E9047"/>
      <c r="M9047"/>
    </row>
    <row r="9048" spans="5:13" x14ac:dyDescent="0.25">
      <c r="E9048"/>
      <c r="M9048"/>
    </row>
    <row r="9049" spans="5:13" x14ac:dyDescent="0.25">
      <c r="E9049"/>
      <c r="M9049"/>
    </row>
    <row r="9050" spans="5:13" x14ac:dyDescent="0.25">
      <c r="E9050"/>
      <c r="M9050"/>
    </row>
    <row r="9051" spans="5:13" x14ac:dyDescent="0.25">
      <c r="E9051"/>
      <c r="M9051"/>
    </row>
    <row r="9052" spans="5:13" x14ac:dyDescent="0.25">
      <c r="E9052"/>
      <c r="M9052"/>
    </row>
    <row r="9053" spans="5:13" x14ac:dyDescent="0.25">
      <c r="E9053"/>
      <c r="M9053"/>
    </row>
    <row r="9054" spans="5:13" x14ac:dyDescent="0.25">
      <c r="E9054"/>
      <c r="M9054"/>
    </row>
    <row r="9055" spans="5:13" x14ac:dyDescent="0.25">
      <c r="E9055"/>
      <c r="M9055"/>
    </row>
    <row r="9056" spans="5:13" x14ac:dyDescent="0.25">
      <c r="E9056"/>
      <c r="M9056"/>
    </row>
    <row r="9057" spans="5:13" x14ac:dyDescent="0.25">
      <c r="E9057"/>
      <c r="M9057"/>
    </row>
    <row r="9058" spans="5:13" x14ac:dyDescent="0.25">
      <c r="E9058"/>
      <c r="M9058"/>
    </row>
    <row r="9059" spans="5:13" x14ac:dyDescent="0.25">
      <c r="E9059"/>
      <c r="M9059"/>
    </row>
    <row r="9060" spans="5:13" x14ac:dyDescent="0.25">
      <c r="E9060"/>
      <c r="M9060"/>
    </row>
    <row r="9061" spans="5:13" x14ac:dyDescent="0.25">
      <c r="E9061"/>
      <c r="M9061"/>
    </row>
    <row r="9062" spans="5:13" x14ac:dyDescent="0.25">
      <c r="E9062"/>
      <c r="M9062"/>
    </row>
    <row r="9063" spans="5:13" x14ac:dyDescent="0.25">
      <c r="E9063"/>
      <c r="M9063"/>
    </row>
    <row r="9064" spans="5:13" x14ac:dyDescent="0.25">
      <c r="E9064"/>
      <c r="M9064"/>
    </row>
    <row r="9065" spans="5:13" x14ac:dyDescent="0.25">
      <c r="E9065"/>
      <c r="M9065"/>
    </row>
    <row r="9066" spans="5:13" x14ac:dyDescent="0.25">
      <c r="E9066"/>
      <c r="M9066"/>
    </row>
    <row r="9067" spans="5:13" x14ac:dyDescent="0.25">
      <c r="E9067"/>
      <c r="M9067"/>
    </row>
    <row r="9068" spans="5:13" x14ac:dyDescent="0.25">
      <c r="E9068"/>
      <c r="M9068"/>
    </row>
    <row r="9069" spans="5:13" x14ac:dyDescent="0.25">
      <c r="E9069"/>
      <c r="M9069"/>
    </row>
    <row r="9070" spans="5:13" x14ac:dyDescent="0.25">
      <c r="E9070"/>
      <c r="M9070"/>
    </row>
    <row r="9071" spans="5:13" x14ac:dyDescent="0.25">
      <c r="E9071"/>
      <c r="M9071"/>
    </row>
    <row r="9072" spans="5:13" x14ac:dyDescent="0.25">
      <c r="E9072"/>
      <c r="M9072"/>
    </row>
    <row r="9073" spans="5:13" x14ac:dyDescent="0.25">
      <c r="E9073"/>
      <c r="M9073"/>
    </row>
    <row r="9074" spans="5:13" x14ac:dyDescent="0.25">
      <c r="E9074"/>
      <c r="M9074"/>
    </row>
    <row r="9075" spans="5:13" x14ac:dyDescent="0.25">
      <c r="E9075"/>
      <c r="M9075"/>
    </row>
    <row r="9076" spans="5:13" x14ac:dyDescent="0.25">
      <c r="E9076"/>
      <c r="M9076"/>
    </row>
    <row r="9077" spans="5:13" x14ac:dyDescent="0.25">
      <c r="E9077"/>
      <c r="M9077"/>
    </row>
    <row r="9078" spans="5:13" x14ac:dyDescent="0.25">
      <c r="E9078"/>
      <c r="M9078"/>
    </row>
    <row r="9079" spans="5:13" x14ac:dyDescent="0.25">
      <c r="E9079"/>
      <c r="M9079"/>
    </row>
    <row r="9080" spans="5:13" x14ac:dyDescent="0.25">
      <c r="E9080"/>
      <c r="M9080"/>
    </row>
    <row r="9081" spans="5:13" x14ac:dyDescent="0.25">
      <c r="E9081"/>
      <c r="M9081"/>
    </row>
    <row r="9082" spans="5:13" x14ac:dyDescent="0.25">
      <c r="E9082"/>
      <c r="M9082"/>
    </row>
    <row r="9083" spans="5:13" x14ac:dyDescent="0.25">
      <c r="E9083"/>
      <c r="M9083"/>
    </row>
    <row r="9084" spans="5:13" x14ac:dyDescent="0.25">
      <c r="E9084"/>
      <c r="M9084"/>
    </row>
    <row r="9085" spans="5:13" x14ac:dyDescent="0.25">
      <c r="E9085"/>
      <c r="M9085"/>
    </row>
    <row r="9086" spans="5:13" x14ac:dyDescent="0.25">
      <c r="E9086"/>
      <c r="M9086"/>
    </row>
    <row r="9087" spans="5:13" x14ac:dyDescent="0.25">
      <c r="E9087"/>
      <c r="M9087"/>
    </row>
    <row r="9088" spans="5:13" x14ac:dyDescent="0.25">
      <c r="E9088"/>
      <c r="M9088"/>
    </row>
    <row r="9089" spans="5:13" x14ac:dyDescent="0.25">
      <c r="E9089"/>
      <c r="M9089"/>
    </row>
    <row r="9090" spans="5:13" x14ac:dyDescent="0.25">
      <c r="E9090"/>
      <c r="M9090"/>
    </row>
    <row r="9091" spans="5:13" x14ac:dyDescent="0.25">
      <c r="E9091"/>
      <c r="M9091"/>
    </row>
    <row r="9092" spans="5:13" x14ac:dyDescent="0.25">
      <c r="E9092"/>
      <c r="M9092"/>
    </row>
    <row r="9093" spans="5:13" x14ac:dyDescent="0.25">
      <c r="E9093"/>
      <c r="M9093"/>
    </row>
    <row r="9094" spans="5:13" x14ac:dyDescent="0.25">
      <c r="E9094"/>
      <c r="M9094"/>
    </row>
    <row r="9095" spans="5:13" x14ac:dyDescent="0.25">
      <c r="E9095"/>
      <c r="M9095"/>
    </row>
    <row r="9096" spans="5:13" x14ac:dyDescent="0.25">
      <c r="E9096"/>
      <c r="M9096"/>
    </row>
    <row r="9097" spans="5:13" x14ac:dyDescent="0.25">
      <c r="E9097"/>
      <c r="M9097"/>
    </row>
    <row r="9098" spans="5:13" x14ac:dyDescent="0.25">
      <c r="E9098"/>
      <c r="M9098"/>
    </row>
    <row r="9099" spans="5:13" x14ac:dyDescent="0.25">
      <c r="E9099"/>
      <c r="M9099"/>
    </row>
    <row r="9100" spans="5:13" x14ac:dyDescent="0.25">
      <c r="E9100"/>
      <c r="M9100"/>
    </row>
    <row r="9101" spans="5:13" x14ac:dyDescent="0.25">
      <c r="E9101"/>
      <c r="M9101"/>
    </row>
    <row r="9102" spans="5:13" x14ac:dyDescent="0.25">
      <c r="E9102"/>
      <c r="M9102"/>
    </row>
    <row r="9103" spans="5:13" x14ac:dyDescent="0.25">
      <c r="E9103"/>
      <c r="M9103"/>
    </row>
    <row r="9104" spans="5:13" x14ac:dyDescent="0.25">
      <c r="E9104"/>
      <c r="M9104"/>
    </row>
    <row r="9105" spans="5:13" x14ac:dyDescent="0.25">
      <c r="E9105"/>
      <c r="M9105"/>
    </row>
    <row r="9106" spans="5:13" x14ac:dyDescent="0.25">
      <c r="E9106"/>
      <c r="M9106"/>
    </row>
    <row r="9107" spans="5:13" x14ac:dyDescent="0.25">
      <c r="E9107"/>
      <c r="M9107"/>
    </row>
    <row r="9108" spans="5:13" x14ac:dyDescent="0.25">
      <c r="E9108"/>
      <c r="M9108"/>
    </row>
    <row r="9109" spans="5:13" x14ac:dyDescent="0.25">
      <c r="E9109"/>
      <c r="M9109"/>
    </row>
    <row r="9110" spans="5:13" x14ac:dyDescent="0.25">
      <c r="E9110"/>
      <c r="M9110"/>
    </row>
    <row r="9111" spans="5:13" x14ac:dyDescent="0.25">
      <c r="E9111"/>
      <c r="M9111"/>
    </row>
    <row r="9112" spans="5:13" x14ac:dyDescent="0.25">
      <c r="E9112"/>
      <c r="M9112"/>
    </row>
    <row r="9113" spans="5:13" x14ac:dyDescent="0.25">
      <c r="E9113"/>
      <c r="M9113"/>
    </row>
    <row r="9114" spans="5:13" x14ac:dyDescent="0.25">
      <c r="E9114"/>
      <c r="M9114"/>
    </row>
    <row r="9115" spans="5:13" x14ac:dyDescent="0.25">
      <c r="E9115"/>
      <c r="M9115"/>
    </row>
    <row r="9116" spans="5:13" x14ac:dyDescent="0.25">
      <c r="E9116"/>
      <c r="M9116"/>
    </row>
    <row r="9117" spans="5:13" x14ac:dyDescent="0.25">
      <c r="E9117"/>
      <c r="M9117"/>
    </row>
    <row r="9118" spans="5:13" x14ac:dyDescent="0.25">
      <c r="E9118"/>
      <c r="M9118"/>
    </row>
    <row r="9119" spans="5:13" x14ac:dyDescent="0.25">
      <c r="E9119"/>
      <c r="M9119"/>
    </row>
    <row r="9120" spans="5:13" x14ac:dyDescent="0.25">
      <c r="E9120"/>
      <c r="M9120"/>
    </row>
    <row r="9121" spans="5:13" x14ac:dyDescent="0.25">
      <c r="E9121"/>
      <c r="M9121"/>
    </row>
    <row r="9122" spans="5:13" x14ac:dyDescent="0.25">
      <c r="E9122"/>
      <c r="M9122"/>
    </row>
    <row r="9123" spans="5:13" x14ac:dyDescent="0.25">
      <c r="E9123"/>
      <c r="M9123"/>
    </row>
    <row r="9124" spans="5:13" x14ac:dyDescent="0.25">
      <c r="E9124"/>
      <c r="M9124"/>
    </row>
    <row r="9125" spans="5:13" x14ac:dyDescent="0.25">
      <c r="E9125"/>
      <c r="M9125"/>
    </row>
    <row r="9126" spans="5:13" x14ac:dyDescent="0.25">
      <c r="E9126"/>
      <c r="M9126"/>
    </row>
    <row r="9127" spans="5:13" x14ac:dyDescent="0.25">
      <c r="E9127"/>
      <c r="M9127"/>
    </row>
    <row r="9128" spans="5:13" x14ac:dyDescent="0.25">
      <c r="E9128"/>
      <c r="M9128"/>
    </row>
    <row r="9129" spans="5:13" x14ac:dyDescent="0.25">
      <c r="E9129"/>
      <c r="M9129"/>
    </row>
    <row r="9130" spans="5:13" x14ac:dyDescent="0.25">
      <c r="E9130"/>
      <c r="M9130"/>
    </row>
    <row r="9131" spans="5:13" x14ac:dyDescent="0.25">
      <c r="E9131"/>
      <c r="M9131"/>
    </row>
    <row r="9132" spans="5:13" x14ac:dyDescent="0.25">
      <c r="E9132"/>
      <c r="M9132"/>
    </row>
    <row r="9133" spans="5:13" x14ac:dyDescent="0.25">
      <c r="E9133"/>
      <c r="M9133"/>
    </row>
    <row r="9134" spans="5:13" x14ac:dyDescent="0.25">
      <c r="E9134"/>
      <c r="M9134"/>
    </row>
    <row r="9135" spans="5:13" x14ac:dyDescent="0.25">
      <c r="E9135"/>
      <c r="M9135"/>
    </row>
    <row r="9136" spans="5:13" x14ac:dyDescent="0.25">
      <c r="E9136"/>
      <c r="M9136"/>
    </row>
    <row r="9137" spans="5:13" x14ac:dyDescent="0.25">
      <c r="E9137"/>
      <c r="M9137"/>
    </row>
    <row r="9138" spans="5:13" x14ac:dyDescent="0.25">
      <c r="E9138"/>
      <c r="M9138"/>
    </row>
    <row r="9139" spans="5:13" x14ac:dyDescent="0.25">
      <c r="E9139"/>
      <c r="M9139"/>
    </row>
    <row r="9140" spans="5:13" x14ac:dyDescent="0.25">
      <c r="E9140"/>
      <c r="M9140"/>
    </row>
    <row r="9141" spans="5:13" x14ac:dyDescent="0.25">
      <c r="E9141"/>
      <c r="M9141"/>
    </row>
    <row r="9142" spans="5:13" x14ac:dyDescent="0.25">
      <c r="E9142"/>
      <c r="M9142"/>
    </row>
    <row r="9143" spans="5:13" x14ac:dyDescent="0.25">
      <c r="E9143"/>
      <c r="M9143"/>
    </row>
    <row r="9144" spans="5:13" x14ac:dyDescent="0.25">
      <c r="E9144"/>
      <c r="M9144"/>
    </row>
    <row r="9145" spans="5:13" x14ac:dyDescent="0.25">
      <c r="E9145"/>
      <c r="M9145"/>
    </row>
    <row r="9146" spans="5:13" x14ac:dyDescent="0.25">
      <c r="E9146"/>
      <c r="M9146"/>
    </row>
    <row r="9147" spans="5:13" x14ac:dyDescent="0.25">
      <c r="E9147"/>
      <c r="M9147"/>
    </row>
    <row r="9148" spans="5:13" x14ac:dyDescent="0.25">
      <c r="E9148"/>
      <c r="M9148"/>
    </row>
    <row r="9149" spans="5:13" x14ac:dyDescent="0.25">
      <c r="E9149"/>
      <c r="M9149"/>
    </row>
    <row r="9150" spans="5:13" x14ac:dyDescent="0.25">
      <c r="E9150"/>
      <c r="M9150"/>
    </row>
    <row r="9151" spans="5:13" x14ac:dyDescent="0.25">
      <c r="E9151"/>
      <c r="M9151"/>
    </row>
    <row r="9152" spans="5:13" x14ac:dyDescent="0.25">
      <c r="E9152"/>
      <c r="M9152"/>
    </row>
    <row r="9153" spans="5:13" x14ac:dyDescent="0.25">
      <c r="E9153"/>
      <c r="M9153"/>
    </row>
    <row r="9154" spans="5:13" x14ac:dyDescent="0.25">
      <c r="E9154"/>
      <c r="M9154"/>
    </row>
    <row r="9155" spans="5:13" x14ac:dyDescent="0.25">
      <c r="E9155"/>
      <c r="M9155"/>
    </row>
    <row r="9156" spans="5:13" x14ac:dyDescent="0.25">
      <c r="E9156"/>
      <c r="M9156"/>
    </row>
    <row r="9157" spans="5:13" x14ac:dyDescent="0.25">
      <c r="E9157"/>
      <c r="M9157"/>
    </row>
    <row r="9158" spans="5:13" x14ac:dyDescent="0.25">
      <c r="E9158"/>
      <c r="M9158"/>
    </row>
    <row r="9159" spans="5:13" x14ac:dyDescent="0.25">
      <c r="E9159"/>
      <c r="M9159"/>
    </row>
    <row r="9160" spans="5:13" x14ac:dyDescent="0.25">
      <c r="E9160"/>
      <c r="M9160"/>
    </row>
    <row r="9161" spans="5:13" x14ac:dyDescent="0.25">
      <c r="E9161"/>
      <c r="M9161"/>
    </row>
    <row r="9162" spans="5:13" x14ac:dyDescent="0.25">
      <c r="E9162"/>
      <c r="M9162"/>
    </row>
    <row r="9163" spans="5:13" x14ac:dyDescent="0.25">
      <c r="E9163"/>
      <c r="M9163"/>
    </row>
    <row r="9164" spans="5:13" x14ac:dyDescent="0.25">
      <c r="E9164"/>
      <c r="M9164"/>
    </row>
    <row r="9165" spans="5:13" x14ac:dyDescent="0.25">
      <c r="E9165"/>
      <c r="M9165"/>
    </row>
    <row r="9166" spans="5:13" x14ac:dyDescent="0.25">
      <c r="E9166"/>
      <c r="M9166"/>
    </row>
    <row r="9167" spans="5:13" x14ac:dyDescent="0.25">
      <c r="E9167"/>
      <c r="M9167"/>
    </row>
    <row r="9168" spans="5:13" x14ac:dyDescent="0.25">
      <c r="E9168"/>
      <c r="M9168"/>
    </row>
    <row r="9169" spans="5:13" x14ac:dyDescent="0.25">
      <c r="E9169"/>
      <c r="M9169"/>
    </row>
    <row r="9170" spans="5:13" x14ac:dyDescent="0.25">
      <c r="E9170"/>
      <c r="M9170"/>
    </row>
    <row r="9171" spans="5:13" x14ac:dyDescent="0.25">
      <c r="E9171"/>
      <c r="M9171"/>
    </row>
    <row r="9172" spans="5:13" x14ac:dyDescent="0.25">
      <c r="E9172"/>
      <c r="M9172"/>
    </row>
    <row r="9173" spans="5:13" x14ac:dyDescent="0.25">
      <c r="E9173"/>
      <c r="M9173"/>
    </row>
    <row r="9174" spans="5:13" x14ac:dyDescent="0.25">
      <c r="E9174"/>
      <c r="M9174"/>
    </row>
    <row r="9175" spans="5:13" x14ac:dyDescent="0.25">
      <c r="E9175"/>
      <c r="M9175"/>
    </row>
    <row r="9176" spans="5:13" x14ac:dyDescent="0.25">
      <c r="E9176"/>
      <c r="M9176"/>
    </row>
    <row r="9177" spans="5:13" x14ac:dyDescent="0.25">
      <c r="E9177"/>
      <c r="M9177"/>
    </row>
    <row r="9178" spans="5:13" x14ac:dyDescent="0.25">
      <c r="E9178"/>
      <c r="M9178"/>
    </row>
    <row r="9179" spans="5:13" x14ac:dyDescent="0.25">
      <c r="E9179"/>
      <c r="M9179"/>
    </row>
    <row r="9180" spans="5:13" x14ac:dyDescent="0.25">
      <c r="E9180"/>
      <c r="M9180"/>
    </row>
    <row r="9181" spans="5:13" x14ac:dyDescent="0.25">
      <c r="E9181"/>
      <c r="M9181"/>
    </row>
    <row r="9182" spans="5:13" x14ac:dyDescent="0.25">
      <c r="E9182"/>
      <c r="M9182"/>
    </row>
    <row r="9183" spans="5:13" x14ac:dyDescent="0.25">
      <c r="E9183"/>
      <c r="M9183"/>
    </row>
    <row r="9184" spans="5:13" x14ac:dyDescent="0.25">
      <c r="E9184"/>
      <c r="M9184"/>
    </row>
    <row r="9185" spans="5:13" x14ac:dyDescent="0.25">
      <c r="E9185"/>
      <c r="M9185"/>
    </row>
    <row r="9186" spans="5:13" x14ac:dyDescent="0.25">
      <c r="E9186"/>
      <c r="M9186"/>
    </row>
    <row r="9187" spans="5:13" x14ac:dyDescent="0.25">
      <c r="E9187"/>
      <c r="M9187"/>
    </row>
    <row r="9188" spans="5:13" x14ac:dyDescent="0.25">
      <c r="E9188"/>
      <c r="M9188"/>
    </row>
    <row r="9189" spans="5:13" x14ac:dyDescent="0.25">
      <c r="E9189"/>
      <c r="M9189"/>
    </row>
    <row r="9190" spans="5:13" x14ac:dyDescent="0.25">
      <c r="E9190"/>
      <c r="M9190"/>
    </row>
    <row r="9191" spans="5:13" x14ac:dyDescent="0.25">
      <c r="E9191"/>
      <c r="M9191"/>
    </row>
    <row r="9192" spans="5:13" x14ac:dyDescent="0.25">
      <c r="E9192"/>
      <c r="M9192"/>
    </row>
    <row r="9193" spans="5:13" x14ac:dyDescent="0.25">
      <c r="E9193"/>
      <c r="M9193"/>
    </row>
    <row r="9194" spans="5:13" x14ac:dyDescent="0.25">
      <c r="E9194"/>
      <c r="M9194"/>
    </row>
    <row r="9195" spans="5:13" x14ac:dyDescent="0.25">
      <c r="E9195"/>
      <c r="M9195"/>
    </row>
    <row r="9196" spans="5:13" x14ac:dyDescent="0.25">
      <c r="E9196"/>
      <c r="M9196"/>
    </row>
    <row r="9197" spans="5:13" x14ac:dyDescent="0.25">
      <c r="E9197"/>
      <c r="M9197"/>
    </row>
    <row r="9198" spans="5:13" x14ac:dyDescent="0.25">
      <c r="E9198"/>
      <c r="M9198"/>
    </row>
    <row r="9199" spans="5:13" x14ac:dyDescent="0.25">
      <c r="E9199"/>
      <c r="M9199"/>
    </row>
    <row r="9200" spans="5:13" x14ac:dyDescent="0.25">
      <c r="E9200"/>
      <c r="M9200"/>
    </row>
    <row r="9201" spans="5:13" x14ac:dyDescent="0.25">
      <c r="E9201"/>
      <c r="M9201"/>
    </row>
    <row r="9202" spans="5:13" x14ac:dyDescent="0.25">
      <c r="E9202"/>
      <c r="M9202"/>
    </row>
    <row r="9203" spans="5:13" x14ac:dyDescent="0.25">
      <c r="E9203"/>
      <c r="M9203"/>
    </row>
    <row r="9204" spans="5:13" x14ac:dyDescent="0.25">
      <c r="E9204"/>
      <c r="M9204"/>
    </row>
    <row r="9205" spans="5:13" x14ac:dyDescent="0.25">
      <c r="E9205"/>
      <c r="M9205"/>
    </row>
    <row r="9206" spans="5:13" x14ac:dyDescent="0.25">
      <c r="E9206"/>
      <c r="M9206"/>
    </row>
    <row r="9207" spans="5:13" x14ac:dyDescent="0.25">
      <c r="E9207"/>
      <c r="M9207"/>
    </row>
    <row r="9208" spans="5:13" x14ac:dyDescent="0.25">
      <c r="E9208"/>
      <c r="M9208"/>
    </row>
    <row r="9209" spans="5:13" x14ac:dyDescent="0.25">
      <c r="E9209"/>
      <c r="M9209"/>
    </row>
    <row r="9210" spans="5:13" x14ac:dyDescent="0.25">
      <c r="E9210"/>
      <c r="M9210"/>
    </row>
    <row r="9211" spans="5:13" x14ac:dyDescent="0.25">
      <c r="E9211"/>
      <c r="M9211"/>
    </row>
    <row r="9212" spans="5:13" x14ac:dyDescent="0.25">
      <c r="E9212"/>
      <c r="M9212"/>
    </row>
    <row r="9213" spans="5:13" x14ac:dyDescent="0.25">
      <c r="E9213"/>
      <c r="M9213"/>
    </row>
    <row r="9214" spans="5:13" x14ac:dyDescent="0.25">
      <c r="E9214"/>
      <c r="M9214"/>
    </row>
    <row r="9215" spans="5:13" x14ac:dyDescent="0.25">
      <c r="E9215"/>
      <c r="M9215"/>
    </row>
    <row r="9216" spans="5:13" x14ac:dyDescent="0.25">
      <c r="E9216"/>
      <c r="M9216"/>
    </row>
    <row r="9217" spans="5:13" x14ac:dyDescent="0.25">
      <c r="E9217"/>
      <c r="M9217"/>
    </row>
    <row r="9218" spans="5:13" x14ac:dyDescent="0.25">
      <c r="E9218"/>
      <c r="M9218"/>
    </row>
    <row r="9219" spans="5:13" x14ac:dyDescent="0.25">
      <c r="E9219"/>
      <c r="M9219"/>
    </row>
    <row r="9220" spans="5:13" x14ac:dyDescent="0.25">
      <c r="E9220"/>
      <c r="M9220"/>
    </row>
    <row r="9221" spans="5:13" x14ac:dyDescent="0.25">
      <c r="E9221"/>
      <c r="M9221"/>
    </row>
    <row r="9222" spans="5:13" x14ac:dyDescent="0.25">
      <c r="E9222"/>
      <c r="M9222"/>
    </row>
    <row r="9223" spans="5:13" x14ac:dyDescent="0.25">
      <c r="E9223"/>
      <c r="M9223"/>
    </row>
    <row r="9224" spans="5:13" x14ac:dyDescent="0.25">
      <c r="E9224"/>
      <c r="M9224"/>
    </row>
    <row r="9225" spans="5:13" x14ac:dyDescent="0.25">
      <c r="E9225"/>
      <c r="M9225"/>
    </row>
    <row r="9226" spans="5:13" x14ac:dyDescent="0.25">
      <c r="E9226"/>
      <c r="M9226"/>
    </row>
    <row r="9227" spans="5:13" x14ac:dyDescent="0.25">
      <c r="E9227"/>
      <c r="M9227"/>
    </row>
    <row r="9228" spans="5:13" x14ac:dyDescent="0.25">
      <c r="E9228"/>
      <c r="M9228"/>
    </row>
    <row r="9229" spans="5:13" x14ac:dyDescent="0.25">
      <c r="E9229"/>
      <c r="M9229"/>
    </row>
    <row r="9230" spans="5:13" x14ac:dyDescent="0.25">
      <c r="E9230"/>
      <c r="M9230"/>
    </row>
    <row r="9231" spans="5:13" x14ac:dyDescent="0.25">
      <c r="E9231"/>
      <c r="M9231"/>
    </row>
    <row r="9232" spans="5:13" x14ac:dyDescent="0.25">
      <c r="E9232"/>
      <c r="M9232"/>
    </row>
    <row r="9233" spans="5:13" x14ac:dyDescent="0.25">
      <c r="E9233"/>
      <c r="M9233"/>
    </row>
    <row r="9234" spans="5:13" x14ac:dyDescent="0.25">
      <c r="E9234"/>
      <c r="M9234"/>
    </row>
    <row r="9235" spans="5:13" x14ac:dyDescent="0.25">
      <c r="E9235"/>
      <c r="M9235"/>
    </row>
    <row r="9236" spans="5:13" x14ac:dyDescent="0.25">
      <c r="E9236"/>
      <c r="M9236"/>
    </row>
    <row r="9237" spans="5:13" x14ac:dyDescent="0.25">
      <c r="E9237"/>
      <c r="M9237"/>
    </row>
    <row r="9238" spans="5:13" x14ac:dyDescent="0.25">
      <c r="E9238"/>
      <c r="M9238"/>
    </row>
    <row r="9239" spans="5:13" x14ac:dyDescent="0.25">
      <c r="E9239"/>
      <c r="M9239"/>
    </row>
    <row r="9240" spans="5:13" x14ac:dyDescent="0.25">
      <c r="E9240"/>
      <c r="M9240"/>
    </row>
    <row r="9241" spans="5:13" x14ac:dyDescent="0.25">
      <c r="E9241"/>
      <c r="M9241"/>
    </row>
    <row r="9242" spans="5:13" x14ac:dyDescent="0.25">
      <c r="E9242"/>
      <c r="M9242"/>
    </row>
    <row r="9243" spans="5:13" x14ac:dyDescent="0.25">
      <c r="E9243"/>
      <c r="M9243"/>
    </row>
    <row r="9244" spans="5:13" x14ac:dyDescent="0.25">
      <c r="E9244"/>
      <c r="M9244"/>
    </row>
    <row r="9245" spans="5:13" x14ac:dyDescent="0.25">
      <c r="E9245"/>
      <c r="M9245"/>
    </row>
    <row r="9246" spans="5:13" x14ac:dyDescent="0.25">
      <c r="E9246"/>
      <c r="M9246"/>
    </row>
    <row r="9247" spans="5:13" x14ac:dyDescent="0.25">
      <c r="E9247"/>
      <c r="M9247"/>
    </row>
    <row r="9248" spans="5:13" x14ac:dyDescent="0.25">
      <c r="E9248"/>
      <c r="M9248"/>
    </row>
    <row r="9249" spans="5:13" x14ac:dyDescent="0.25">
      <c r="E9249"/>
      <c r="M9249"/>
    </row>
    <row r="9250" spans="5:13" x14ac:dyDescent="0.25">
      <c r="E9250"/>
      <c r="M9250"/>
    </row>
    <row r="9251" spans="5:13" x14ac:dyDescent="0.25">
      <c r="E9251"/>
      <c r="M9251"/>
    </row>
    <row r="9252" spans="5:13" x14ac:dyDescent="0.25">
      <c r="E9252"/>
      <c r="M9252"/>
    </row>
    <row r="9253" spans="5:13" x14ac:dyDescent="0.25">
      <c r="E9253"/>
      <c r="M9253"/>
    </row>
    <row r="9254" spans="5:13" x14ac:dyDescent="0.25">
      <c r="E9254"/>
      <c r="M9254"/>
    </row>
    <row r="9255" spans="5:13" x14ac:dyDescent="0.25">
      <c r="E9255"/>
      <c r="M9255"/>
    </row>
    <row r="9256" spans="5:13" x14ac:dyDescent="0.25">
      <c r="E9256"/>
      <c r="M9256"/>
    </row>
    <row r="9257" spans="5:13" x14ac:dyDescent="0.25">
      <c r="E9257"/>
      <c r="M9257"/>
    </row>
    <row r="9258" spans="5:13" x14ac:dyDescent="0.25">
      <c r="E9258"/>
      <c r="M9258"/>
    </row>
    <row r="9259" spans="5:13" x14ac:dyDescent="0.25">
      <c r="E9259"/>
      <c r="M9259"/>
    </row>
    <row r="9260" spans="5:13" x14ac:dyDescent="0.25">
      <c r="E9260"/>
      <c r="M9260"/>
    </row>
    <row r="9261" spans="5:13" x14ac:dyDescent="0.25">
      <c r="E9261"/>
      <c r="M9261"/>
    </row>
    <row r="9262" spans="5:13" x14ac:dyDescent="0.25">
      <c r="E9262"/>
      <c r="M9262"/>
    </row>
    <row r="9263" spans="5:13" x14ac:dyDescent="0.25">
      <c r="E9263"/>
      <c r="M9263"/>
    </row>
    <row r="9264" spans="5:13" x14ac:dyDescent="0.25">
      <c r="E9264"/>
      <c r="M9264"/>
    </row>
    <row r="9265" spans="5:13" x14ac:dyDescent="0.25">
      <c r="E9265"/>
      <c r="M9265"/>
    </row>
    <row r="9266" spans="5:13" x14ac:dyDescent="0.25">
      <c r="E9266"/>
      <c r="M9266"/>
    </row>
    <row r="9267" spans="5:13" x14ac:dyDescent="0.25">
      <c r="E9267"/>
      <c r="M9267"/>
    </row>
    <row r="9268" spans="5:13" x14ac:dyDescent="0.25">
      <c r="E9268"/>
      <c r="M9268"/>
    </row>
    <row r="9269" spans="5:13" x14ac:dyDescent="0.25">
      <c r="E9269"/>
      <c r="M9269"/>
    </row>
    <row r="9270" spans="5:13" x14ac:dyDescent="0.25">
      <c r="E9270"/>
      <c r="M9270"/>
    </row>
    <row r="9271" spans="5:13" x14ac:dyDescent="0.25">
      <c r="E9271"/>
      <c r="M9271"/>
    </row>
    <row r="9272" spans="5:13" x14ac:dyDescent="0.25">
      <c r="E9272"/>
      <c r="M9272"/>
    </row>
    <row r="9273" spans="5:13" x14ac:dyDescent="0.25">
      <c r="E9273"/>
      <c r="M9273"/>
    </row>
    <row r="9274" spans="5:13" x14ac:dyDescent="0.25">
      <c r="E9274"/>
      <c r="M9274"/>
    </row>
    <row r="9275" spans="5:13" x14ac:dyDescent="0.25">
      <c r="E9275"/>
      <c r="M9275"/>
    </row>
    <row r="9276" spans="5:13" x14ac:dyDescent="0.25">
      <c r="E9276"/>
      <c r="M9276"/>
    </row>
    <row r="9277" spans="5:13" x14ac:dyDescent="0.25">
      <c r="E9277"/>
      <c r="M9277"/>
    </row>
    <row r="9278" spans="5:13" x14ac:dyDescent="0.25">
      <c r="E9278"/>
      <c r="M9278"/>
    </row>
    <row r="9279" spans="5:13" x14ac:dyDescent="0.25">
      <c r="E9279"/>
      <c r="M9279"/>
    </row>
    <row r="9280" spans="5:13" x14ac:dyDescent="0.25">
      <c r="E9280"/>
      <c r="M9280"/>
    </row>
    <row r="9281" spans="5:13" x14ac:dyDescent="0.25">
      <c r="E9281"/>
      <c r="M9281"/>
    </row>
    <row r="9282" spans="5:13" x14ac:dyDescent="0.25">
      <c r="E9282"/>
      <c r="M9282"/>
    </row>
    <row r="9283" spans="5:13" x14ac:dyDescent="0.25">
      <c r="E9283"/>
      <c r="M9283"/>
    </row>
    <row r="9284" spans="5:13" x14ac:dyDescent="0.25">
      <c r="E9284"/>
      <c r="M9284"/>
    </row>
    <row r="9285" spans="5:13" x14ac:dyDescent="0.25">
      <c r="E9285"/>
      <c r="M9285"/>
    </row>
    <row r="9286" spans="5:13" x14ac:dyDescent="0.25">
      <c r="E9286"/>
      <c r="M9286"/>
    </row>
    <row r="9287" spans="5:13" x14ac:dyDescent="0.25">
      <c r="E9287"/>
      <c r="M9287"/>
    </row>
    <row r="9288" spans="5:13" x14ac:dyDescent="0.25">
      <c r="E9288"/>
      <c r="M9288"/>
    </row>
    <row r="9289" spans="5:13" x14ac:dyDescent="0.25">
      <c r="E9289"/>
      <c r="M9289"/>
    </row>
    <row r="9290" spans="5:13" x14ac:dyDescent="0.25">
      <c r="E9290"/>
      <c r="M9290"/>
    </row>
    <row r="9291" spans="5:13" x14ac:dyDescent="0.25">
      <c r="E9291"/>
      <c r="M9291"/>
    </row>
    <row r="9292" spans="5:13" x14ac:dyDescent="0.25">
      <c r="E9292"/>
      <c r="M9292"/>
    </row>
    <row r="9293" spans="5:13" x14ac:dyDescent="0.25">
      <c r="E9293"/>
      <c r="M9293"/>
    </row>
    <row r="9294" spans="5:13" x14ac:dyDescent="0.25">
      <c r="E9294"/>
      <c r="M9294"/>
    </row>
    <row r="9295" spans="5:13" x14ac:dyDescent="0.25">
      <c r="E9295"/>
      <c r="M9295"/>
    </row>
    <row r="9296" spans="5:13" x14ac:dyDescent="0.25">
      <c r="E9296"/>
      <c r="M9296"/>
    </row>
    <row r="9297" spans="5:13" x14ac:dyDescent="0.25">
      <c r="E9297"/>
      <c r="M9297"/>
    </row>
    <row r="9298" spans="5:13" x14ac:dyDescent="0.25">
      <c r="E9298"/>
      <c r="M9298"/>
    </row>
    <row r="9299" spans="5:13" x14ac:dyDescent="0.25">
      <c r="E9299"/>
      <c r="M9299"/>
    </row>
    <row r="9300" spans="5:13" x14ac:dyDescent="0.25">
      <c r="E9300"/>
      <c r="M9300"/>
    </row>
    <row r="9301" spans="5:13" x14ac:dyDescent="0.25">
      <c r="E9301"/>
      <c r="M9301"/>
    </row>
    <row r="9302" spans="5:13" x14ac:dyDescent="0.25">
      <c r="E9302"/>
      <c r="M9302"/>
    </row>
    <row r="9303" spans="5:13" x14ac:dyDescent="0.25">
      <c r="E9303"/>
      <c r="M9303"/>
    </row>
    <row r="9304" spans="5:13" x14ac:dyDescent="0.25">
      <c r="E9304"/>
      <c r="M9304"/>
    </row>
    <row r="9305" spans="5:13" x14ac:dyDescent="0.25">
      <c r="E9305"/>
      <c r="M9305"/>
    </row>
    <row r="9306" spans="5:13" x14ac:dyDescent="0.25">
      <c r="E9306"/>
      <c r="M9306"/>
    </row>
    <row r="9307" spans="5:13" x14ac:dyDescent="0.25">
      <c r="E9307"/>
      <c r="M9307"/>
    </row>
    <row r="9308" spans="5:13" x14ac:dyDescent="0.25">
      <c r="E9308"/>
      <c r="M9308"/>
    </row>
    <row r="9309" spans="5:13" x14ac:dyDescent="0.25">
      <c r="E9309"/>
      <c r="M9309"/>
    </row>
    <row r="9310" spans="5:13" x14ac:dyDescent="0.25">
      <c r="E9310"/>
      <c r="M9310"/>
    </row>
    <row r="9311" spans="5:13" x14ac:dyDescent="0.25">
      <c r="E9311"/>
      <c r="M9311"/>
    </row>
    <row r="9312" spans="5:13" x14ac:dyDescent="0.25">
      <c r="E9312"/>
      <c r="M9312"/>
    </row>
    <row r="9313" spans="5:13" x14ac:dyDescent="0.25">
      <c r="E9313"/>
      <c r="M9313"/>
    </row>
    <row r="9314" spans="5:13" x14ac:dyDescent="0.25">
      <c r="E9314"/>
      <c r="M9314"/>
    </row>
    <row r="9315" spans="5:13" x14ac:dyDescent="0.25">
      <c r="E9315"/>
      <c r="M9315"/>
    </row>
    <row r="9316" spans="5:13" x14ac:dyDescent="0.25">
      <c r="E9316"/>
      <c r="M9316"/>
    </row>
    <row r="9317" spans="5:13" x14ac:dyDescent="0.25">
      <c r="E9317"/>
      <c r="M9317"/>
    </row>
    <row r="9318" spans="5:13" x14ac:dyDescent="0.25">
      <c r="E9318"/>
      <c r="M9318"/>
    </row>
    <row r="9319" spans="5:13" x14ac:dyDescent="0.25">
      <c r="E9319"/>
      <c r="M9319"/>
    </row>
    <row r="9320" spans="5:13" x14ac:dyDescent="0.25">
      <c r="E9320"/>
      <c r="M9320"/>
    </row>
    <row r="9321" spans="5:13" x14ac:dyDescent="0.25">
      <c r="E9321"/>
      <c r="M9321"/>
    </row>
    <row r="9322" spans="5:13" x14ac:dyDescent="0.25">
      <c r="E9322"/>
      <c r="M9322"/>
    </row>
    <row r="9323" spans="5:13" x14ac:dyDescent="0.25">
      <c r="E9323"/>
      <c r="M9323"/>
    </row>
    <row r="9324" spans="5:13" x14ac:dyDescent="0.25">
      <c r="E9324"/>
      <c r="M9324"/>
    </row>
    <row r="9325" spans="5:13" x14ac:dyDescent="0.25">
      <c r="E9325"/>
      <c r="M9325"/>
    </row>
    <row r="9326" spans="5:13" x14ac:dyDescent="0.25">
      <c r="E9326"/>
      <c r="M9326"/>
    </row>
    <row r="9327" spans="5:13" x14ac:dyDescent="0.25">
      <c r="E9327"/>
      <c r="M9327"/>
    </row>
    <row r="9328" spans="5:13" x14ac:dyDescent="0.25">
      <c r="E9328"/>
      <c r="M9328"/>
    </row>
    <row r="9329" spans="5:13" x14ac:dyDescent="0.25">
      <c r="E9329"/>
      <c r="M9329"/>
    </row>
    <row r="9330" spans="5:13" x14ac:dyDescent="0.25">
      <c r="E9330"/>
      <c r="M9330"/>
    </row>
    <row r="9331" spans="5:13" x14ac:dyDescent="0.25">
      <c r="E9331"/>
      <c r="M9331"/>
    </row>
    <row r="9332" spans="5:13" x14ac:dyDescent="0.25">
      <c r="E9332"/>
      <c r="M9332"/>
    </row>
    <row r="9333" spans="5:13" x14ac:dyDescent="0.25">
      <c r="E9333"/>
      <c r="M9333"/>
    </row>
    <row r="9334" spans="5:13" x14ac:dyDescent="0.25">
      <c r="E9334"/>
      <c r="M9334"/>
    </row>
    <row r="9335" spans="5:13" x14ac:dyDescent="0.25">
      <c r="E9335"/>
      <c r="M9335"/>
    </row>
    <row r="9336" spans="5:13" x14ac:dyDescent="0.25">
      <c r="E9336"/>
      <c r="M9336"/>
    </row>
    <row r="9337" spans="5:13" x14ac:dyDescent="0.25">
      <c r="E9337"/>
      <c r="M9337"/>
    </row>
    <row r="9338" spans="5:13" x14ac:dyDescent="0.25">
      <c r="E9338"/>
      <c r="M9338"/>
    </row>
    <row r="9339" spans="5:13" x14ac:dyDescent="0.25">
      <c r="E9339"/>
      <c r="M9339"/>
    </row>
    <row r="9340" spans="5:13" x14ac:dyDescent="0.25">
      <c r="E9340"/>
      <c r="M9340"/>
    </row>
    <row r="9341" spans="5:13" x14ac:dyDescent="0.25">
      <c r="E9341"/>
      <c r="M9341"/>
    </row>
    <row r="9342" spans="5:13" x14ac:dyDescent="0.25">
      <c r="E9342"/>
      <c r="M9342"/>
    </row>
    <row r="9343" spans="5:13" x14ac:dyDescent="0.25">
      <c r="E9343"/>
      <c r="M9343"/>
    </row>
    <row r="9344" spans="5:13" x14ac:dyDescent="0.25">
      <c r="E9344"/>
      <c r="M9344"/>
    </row>
    <row r="9345" spans="5:13" x14ac:dyDescent="0.25">
      <c r="E9345"/>
      <c r="M9345"/>
    </row>
    <row r="9346" spans="5:13" x14ac:dyDescent="0.25">
      <c r="E9346"/>
      <c r="M9346"/>
    </row>
    <row r="9347" spans="5:13" x14ac:dyDescent="0.25">
      <c r="E9347"/>
      <c r="M9347"/>
    </row>
    <row r="9348" spans="5:13" x14ac:dyDescent="0.25">
      <c r="E9348"/>
      <c r="M9348"/>
    </row>
    <row r="9349" spans="5:13" x14ac:dyDescent="0.25">
      <c r="E9349"/>
      <c r="M9349"/>
    </row>
    <row r="9350" spans="5:13" x14ac:dyDescent="0.25">
      <c r="E9350"/>
      <c r="M9350"/>
    </row>
    <row r="9351" spans="5:13" x14ac:dyDescent="0.25">
      <c r="E9351"/>
      <c r="M9351"/>
    </row>
    <row r="9352" spans="5:13" x14ac:dyDescent="0.25">
      <c r="E9352"/>
      <c r="M9352"/>
    </row>
    <row r="9353" spans="5:13" x14ac:dyDescent="0.25">
      <c r="E9353"/>
      <c r="M9353"/>
    </row>
    <row r="9354" spans="5:13" x14ac:dyDescent="0.25">
      <c r="E9354"/>
      <c r="M9354"/>
    </row>
    <row r="9355" spans="5:13" x14ac:dyDescent="0.25">
      <c r="E9355"/>
      <c r="M9355"/>
    </row>
    <row r="9356" spans="5:13" x14ac:dyDescent="0.25">
      <c r="E9356"/>
      <c r="M9356"/>
    </row>
    <row r="9357" spans="5:13" x14ac:dyDescent="0.25">
      <c r="E9357"/>
      <c r="M9357"/>
    </row>
    <row r="9358" spans="5:13" x14ac:dyDescent="0.25">
      <c r="E9358"/>
      <c r="M9358"/>
    </row>
    <row r="9359" spans="5:13" x14ac:dyDescent="0.25">
      <c r="E9359"/>
      <c r="M9359"/>
    </row>
    <row r="9360" spans="5:13" x14ac:dyDescent="0.25">
      <c r="E9360"/>
      <c r="M9360"/>
    </row>
    <row r="9361" spans="5:13" x14ac:dyDescent="0.25">
      <c r="E9361"/>
      <c r="M9361"/>
    </row>
    <row r="9362" spans="5:13" x14ac:dyDescent="0.25">
      <c r="E9362"/>
      <c r="M9362"/>
    </row>
    <row r="9363" spans="5:13" x14ac:dyDescent="0.25">
      <c r="E9363"/>
      <c r="M9363"/>
    </row>
    <row r="9364" spans="5:13" x14ac:dyDescent="0.25">
      <c r="E9364"/>
      <c r="M9364"/>
    </row>
    <row r="9365" spans="5:13" x14ac:dyDescent="0.25">
      <c r="E9365"/>
      <c r="M9365"/>
    </row>
    <row r="9366" spans="5:13" x14ac:dyDescent="0.25">
      <c r="E9366"/>
      <c r="M9366"/>
    </row>
    <row r="9367" spans="5:13" x14ac:dyDescent="0.25">
      <c r="E9367"/>
      <c r="M9367"/>
    </row>
    <row r="9368" spans="5:13" x14ac:dyDescent="0.25">
      <c r="E9368"/>
      <c r="M9368"/>
    </row>
    <row r="9369" spans="5:13" x14ac:dyDescent="0.25">
      <c r="E9369"/>
      <c r="M9369"/>
    </row>
    <row r="9370" spans="5:13" x14ac:dyDescent="0.25">
      <c r="E9370"/>
      <c r="M9370"/>
    </row>
    <row r="9371" spans="5:13" x14ac:dyDescent="0.25">
      <c r="E9371"/>
      <c r="M9371"/>
    </row>
    <row r="9372" spans="5:13" x14ac:dyDescent="0.25">
      <c r="E9372"/>
      <c r="M9372"/>
    </row>
    <row r="9373" spans="5:13" x14ac:dyDescent="0.25">
      <c r="E9373"/>
      <c r="M9373"/>
    </row>
    <row r="9374" spans="5:13" x14ac:dyDescent="0.25">
      <c r="E9374"/>
      <c r="M9374"/>
    </row>
    <row r="9375" spans="5:13" x14ac:dyDescent="0.25">
      <c r="E9375"/>
      <c r="M9375"/>
    </row>
    <row r="9376" spans="5:13" x14ac:dyDescent="0.25">
      <c r="E9376"/>
      <c r="M9376"/>
    </row>
    <row r="9377" spans="5:13" x14ac:dyDescent="0.25">
      <c r="E9377"/>
      <c r="M9377"/>
    </row>
    <row r="9378" spans="5:13" x14ac:dyDescent="0.25">
      <c r="E9378"/>
      <c r="M9378"/>
    </row>
    <row r="9379" spans="5:13" x14ac:dyDescent="0.25">
      <c r="E9379"/>
      <c r="M9379"/>
    </row>
    <row r="9380" spans="5:13" x14ac:dyDescent="0.25">
      <c r="E9380"/>
      <c r="M9380"/>
    </row>
    <row r="9381" spans="5:13" x14ac:dyDescent="0.25">
      <c r="E9381"/>
      <c r="M9381"/>
    </row>
    <row r="9382" spans="5:13" x14ac:dyDescent="0.25">
      <c r="E9382"/>
      <c r="M9382"/>
    </row>
    <row r="9383" spans="5:13" x14ac:dyDescent="0.25">
      <c r="E9383"/>
      <c r="M9383"/>
    </row>
    <row r="9384" spans="5:13" x14ac:dyDescent="0.25">
      <c r="E9384"/>
      <c r="M9384"/>
    </row>
    <row r="9385" spans="5:13" x14ac:dyDescent="0.25">
      <c r="E9385"/>
      <c r="M9385"/>
    </row>
    <row r="9386" spans="5:13" x14ac:dyDescent="0.25">
      <c r="E9386"/>
      <c r="M9386"/>
    </row>
    <row r="9387" spans="5:13" x14ac:dyDescent="0.25">
      <c r="E9387"/>
      <c r="M9387"/>
    </row>
    <row r="9388" spans="5:13" x14ac:dyDescent="0.25">
      <c r="E9388"/>
      <c r="M9388"/>
    </row>
    <row r="9389" spans="5:13" x14ac:dyDescent="0.25">
      <c r="E9389"/>
      <c r="M9389"/>
    </row>
    <row r="9390" spans="5:13" x14ac:dyDescent="0.25">
      <c r="E9390"/>
      <c r="M9390"/>
    </row>
    <row r="9391" spans="5:13" x14ac:dyDescent="0.25">
      <c r="E9391"/>
      <c r="M9391"/>
    </row>
    <row r="9392" spans="5:13" x14ac:dyDescent="0.25">
      <c r="E9392"/>
      <c r="M9392"/>
    </row>
    <row r="9393" spans="5:13" x14ac:dyDescent="0.25">
      <c r="E9393"/>
      <c r="M9393"/>
    </row>
    <row r="9394" spans="5:13" x14ac:dyDescent="0.25">
      <c r="E9394"/>
      <c r="M9394"/>
    </row>
    <row r="9395" spans="5:13" x14ac:dyDescent="0.25">
      <c r="E9395"/>
      <c r="M9395"/>
    </row>
    <row r="9396" spans="5:13" x14ac:dyDescent="0.25">
      <c r="E9396"/>
      <c r="M9396"/>
    </row>
    <row r="9397" spans="5:13" x14ac:dyDescent="0.25">
      <c r="E9397"/>
      <c r="M9397"/>
    </row>
    <row r="9398" spans="5:13" x14ac:dyDescent="0.25">
      <c r="E9398"/>
      <c r="M9398"/>
    </row>
    <row r="9399" spans="5:13" x14ac:dyDescent="0.25">
      <c r="E9399"/>
      <c r="M9399"/>
    </row>
    <row r="9400" spans="5:13" x14ac:dyDescent="0.25">
      <c r="E9400"/>
      <c r="M9400"/>
    </row>
    <row r="9401" spans="5:13" x14ac:dyDescent="0.25">
      <c r="E9401"/>
      <c r="M9401"/>
    </row>
    <row r="9402" spans="5:13" x14ac:dyDescent="0.25">
      <c r="E9402"/>
      <c r="M9402"/>
    </row>
    <row r="9403" spans="5:13" x14ac:dyDescent="0.25">
      <c r="E9403"/>
      <c r="M9403"/>
    </row>
    <row r="9404" spans="5:13" x14ac:dyDescent="0.25">
      <c r="E9404"/>
      <c r="M9404"/>
    </row>
    <row r="9405" spans="5:13" x14ac:dyDescent="0.25">
      <c r="E9405"/>
      <c r="M9405"/>
    </row>
    <row r="9406" spans="5:13" x14ac:dyDescent="0.25">
      <c r="E9406"/>
      <c r="M9406"/>
    </row>
    <row r="9407" spans="5:13" x14ac:dyDescent="0.25">
      <c r="E9407"/>
      <c r="M9407"/>
    </row>
    <row r="9408" spans="5:13" x14ac:dyDescent="0.25">
      <c r="E9408"/>
      <c r="M9408"/>
    </row>
    <row r="9409" spans="5:13" x14ac:dyDescent="0.25">
      <c r="E9409"/>
      <c r="M9409"/>
    </row>
    <row r="9410" spans="5:13" x14ac:dyDescent="0.25">
      <c r="E9410"/>
      <c r="M9410"/>
    </row>
    <row r="9411" spans="5:13" x14ac:dyDescent="0.25">
      <c r="E9411"/>
      <c r="M9411"/>
    </row>
    <row r="9412" spans="5:13" x14ac:dyDescent="0.25">
      <c r="E9412"/>
      <c r="M9412"/>
    </row>
    <row r="9413" spans="5:13" x14ac:dyDescent="0.25">
      <c r="E9413"/>
      <c r="M9413"/>
    </row>
    <row r="9414" spans="5:13" x14ac:dyDescent="0.25">
      <c r="E9414"/>
      <c r="M9414"/>
    </row>
    <row r="9415" spans="5:13" x14ac:dyDescent="0.25">
      <c r="E9415"/>
      <c r="M9415"/>
    </row>
    <row r="9416" spans="5:13" x14ac:dyDescent="0.25">
      <c r="E9416"/>
      <c r="M9416"/>
    </row>
    <row r="9417" spans="5:13" x14ac:dyDescent="0.25">
      <c r="E9417"/>
      <c r="M9417"/>
    </row>
    <row r="9418" spans="5:13" x14ac:dyDescent="0.25">
      <c r="E9418"/>
      <c r="M9418"/>
    </row>
    <row r="9419" spans="5:13" x14ac:dyDescent="0.25">
      <c r="E9419"/>
      <c r="M9419"/>
    </row>
    <row r="9420" spans="5:13" x14ac:dyDescent="0.25">
      <c r="E9420"/>
      <c r="M9420"/>
    </row>
    <row r="9421" spans="5:13" x14ac:dyDescent="0.25">
      <c r="E9421"/>
      <c r="M9421"/>
    </row>
    <row r="9422" spans="5:13" x14ac:dyDescent="0.25">
      <c r="E9422"/>
      <c r="M9422"/>
    </row>
    <row r="9423" spans="5:13" x14ac:dyDescent="0.25">
      <c r="E9423"/>
      <c r="M9423"/>
    </row>
    <row r="9424" spans="5:13" x14ac:dyDescent="0.25">
      <c r="E9424"/>
      <c r="M9424"/>
    </row>
    <row r="9425" spans="5:13" x14ac:dyDescent="0.25">
      <c r="E9425"/>
      <c r="M9425"/>
    </row>
    <row r="9426" spans="5:13" x14ac:dyDescent="0.25">
      <c r="E9426"/>
      <c r="M9426"/>
    </row>
    <row r="9427" spans="5:13" x14ac:dyDescent="0.25">
      <c r="E9427"/>
      <c r="M9427"/>
    </row>
    <row r="9428" spans="5:13" x14ac:dyDescent="0.25">
      <c r="E9428"/>
      <c r="M9428"/>
    </row>
    <row r="9429" spans="5:13" x14ac:dyDescent="0.25">
      <c r="E9429"/>
      <c r="M9429"/>
    </row>
    <row r="9430" spans="5:13" x14ac:dyDescent="0.25">
      <c r="E9430"/>
      <c r="M9430"/>
    </row>
    <row r="9431" spans="5:13" x14ac:dyDescent="0.25">
      <c r="E9431"/>
      <c r="M9431"/>
    </row>
    <row r="9432" spans="5:13" x14ac:dyDescent="0.25">
      <c r="E9432"/>
      <c r="M9432"/>
    </row>
    <row r="9433" spans="5:13" x14ac:dyDescent="0.25">
      <c r="E9433"/>
      <c r="M9433"/>
    </row>
    <row r="9434" spans="5:13" x14ac:dyDescent="0.25">
      <c r="E9434"/>
      <c r="M9434"/>
    </row>
    <row r="9435" spans="5:13" x14ac:dyDescent="0.25">
      <c r="E9435"/>
      <c r="M9435"/>
    </row>
    <row r="9436" spans="5:13" x14ac:dyDescent="0.25">
      <c r="E9436"/>
      <c r="M9436"/>
    </row>
    <row r="9437" spans="5:13" x14ac:dyDescent="0.25">
      <c r="E9437"/>
      <c r="M9437"/>
    </row>
    <row r="9438" spans="5:13" x14ac:dyDescent="0.25">
      <c r="E9438"/>
      <c r="M9438"/>
    </row>
    <row r="9439" spans="5:13" x14ac:dyDescent="0.25">
      <c r="E9439"/>
      <c r="M9439"/>
    </row>
    <row r="9440" spans="5:13" x14ac:dyDescent="0.25">
      <c r="E9440"/>
      <c r="M9440"/>
    </row>
    <row r="9441" spans="5:13" x14ac:dyDescent="0.25">
      <c r="E9441"/>
      <c r="M9441"/>
    </row>
    <row r="9442" spans="5:13" x14ac:dyDescent="0.25">
      <c r="E9442"/>
      <c r="M9442"/>
    </row>
    <row r="9443" spans="5:13" x14ac:dyDescent="0.25">
      <c r="E9443"/>
      <c r="M9443"/>
    </row>
    <row r="9444" spans="5:13" x14ac:dyDescent="0.25">
      <c r="E9444"/>
      <c r="M9444"/>
    </row>
    <row r="9445" spans="5:13" x14ac:dyDescent="0.25">
      <c r="E9445"/>
      <c r="M9445"/>
    </row>
    <row r="9446" spans="5:13" x14ac:dyDescent="0.25">
      <c r="E9446"/>
      <c r="M9446"/>
    </row>
    <row r="9447" spans="5:13" x14ac:dyDescent="0.25">
      <c r="E9447"/>
      <c r="M9447"/>
    </row>
    <row r="9448" spans="5:13" x14ac:dyDescent="0.25">
      <c r="E9448"/>
      <c r="M9448"/>
    </row>
    <row r="9449" spans="5:13" x14ac:dyDescent="0.25">
      <c r="E9449"/>
      <c r="M9449"/>
    </row>
    <row r="9450" spans="5:13" x14ac:dyDescent="0.25">
      <c r="E9450"/>
      <c r="M9450"/>
    </row>
    <row r="9451" spans="5:13" x14ac:dyDescent="0.25">
      <c r="E9451"/>
      <c r="M9451"/>
    </row>
    <row r="9452" spans="5:13" x14ac:dyDescent="0.25">
      <c r="E9452"/>
      <c r="M9452"/>
    </row>
    <row r="9453" spans="5:13" x14ac:dyDescent="0.25">
      <c r="E9453"/>
      <c r="M9453"/>
    </row>
    <row r="9454" spans="5:13" x14ac:dyDescent="0.25">
      <c r="E9454"/>
      <c r="M9454"/>
    </row>
    <row r="9455" spans="5:13" x14ac:dyDescent="0.25">
      <c r="E9455"/>
      <c r="M9455"/>
    </row>
    <row r="9456" spans="5:13" x14ac:dyDescent="0.25">
      <c r="E9456"/>
      <c r="M9456"/>
    </row>
    <row r="9457" spans="5:13" x14ac:dyDescent="0.25">
      <c r="E9457"/>
      <c r="M9457"/>
    </row>
    <row r="9458" spans="5:13" x14ac:dyDescent="0.25">
      <c r="E9458"/>
      <c r="M9458"/>
    </row>
    <row r="9459" spans="5:13" x14ac:dyDescent="0.25">
      <c r="E9459"/>
      <c r="M9459"/>
    </row>
    <row r="9460" spans="5:13" x14ac:dyDescent="0.25">
      <c r="E9460"/>
      <c r="M9460"/>
    </row>
    <row r="9461" spans="5:13" x14ac:dyDescent="0.25">
      <c r="E9461"/>
      <c r="M9461"/>
    </row>
    <row r="9462" spans="5:13" x14ac:dyDescent="0.25">
      <c r="E9462"/>
      <c r="M9462"/>
    </row>
    <row r="9463" spans="5:13" x14ac:dyDescent="0.25">
      <c r="E9463"/>
      <c r="M9463"/>
    </row>
    <row r="9464" spans="5:13" x14ac:dyDescent="0.25">
      <c r="E9464"/>
      <c r="M9464"/>
    </row>
    <row r="9465" spans="5:13" x14ac:dyDescent="0.25">
      <c r="E9465"/>
      <c r="M9465"/>
    </row>
    <row r="9466" spans="5:13" x14ac:dyDescent="0.25">
      <c r="E9466"/>
      <c r="M9466"/>
    </row>
    <row r="9467" spans="5:13" x14ac:dyDescent="0.25">
      <c r="E9467"/>
      <c r="M9467"/>
    </row>
    <row r="9468" spans="5:13" x14ac:dyDescent="0.25">
      <c r="E9468"/>
      <c r="M9468"/>
    </row>
    <row r="9469" spans="5:13" x14ac:dyDescent="0.25">
      <c r="E9469"/>
      <c r="M9469"/>
    </row>
    <row r="9470" spans="5:13" x14ac:dyDescent="0.25">
      <c r="E9470"/>
      <c r="M9470"/>
    </row>
    <row r="9471" spans="5:13" x14ac:dyDescent="0.25">
      <c r="E9471"/>
      <c r="M9471"/>
    </row>
    <row r="9472" spans="5:13" x14ac:dyDescent="0.25">
      <c r="E9472"/>
      <c r="M9472"/>
    </row>
    <row r="9473" spans="5:13" x14ac:dyDescent="0.25">
      <c r="E9473"/>
      <c r="M9473"/>
    </row>
    <row r="9474" spans="5:13" x14ac:dyDescent="0.25">
      <c r="E9474"/>
      <c r="M9474"/>
    </row>
    <row r="9475" spans="5:13" x14ac:dyDescent="0.25">
      <c r="E9475"/>
      <c r="M9475"/>
    </row>
    <row r="9476" spans="5:13" x14ac:dyDescent="0.25">
      <c r="E9476"/>
      <c r="M9476"/>
    </row>
    <row r="9477" spans="5:13" x14ac:dyDescent="0.25">
      <c r="E9477"/>
      <c r="M9477"/>
    </row>
    <row r="9478" spans="5:13" x14ac:dyDescent="0.25">
      <c r="E9478"/>
      <c r="M9478"/>
    </row>
    <row r="9479" spans="5:13" x14ac:dyDescent="0.25">
      <c r="E9479"/>
      <c r="M9479"/>
    </row>
    <row r="9480" spans="5:13" x14ac:dyDescent="0.25">
      <c r="E9480"/>
      <c r="M9480"/>
    </row>
    <row r="9481" spans="5:13" x14ac:dyDescent="0.25">
      <c r="E9481"/>
      <c r="M9481"/>
    </row>
    <row r="9482" spans="5:13" x14ac:dyDescent="0.25">
      <c r="E9482"/>
      <c r="M9482"/>
    </row>
    <row r="9483" spans="5:13" x14ac:dyDescent="0.25">
      <c r="E9483"/>
      <c r="M9483"/>
    </row>
    <row r="9484" spans="5:13" x14ac:dyDescent="0.25">
      <c r="E9484"/>
      <c r="M9484"/>
    </row>
    <row r="9485" spans="5:13" x14ac:dyDescent="0.25">
      <c r="E9485"/>
      <c r="M9485"/>
    </row>
    <row r="9486" spans="5:13" x14ac:dyDescent="0.25">
      <c r="E9486"/>
      <c r="M9486"/>
    </row>
    <row r="9487" spans="5:13" x14ac:dyDescent="0.25">
      <c r="E9487"/>
      <c r="M9487"/>
    </row>
    <row r="9488" spans="5:13" x14ac:dyDescent="0.25">
      <c r="E9488"/>
      <c r="M9488"/>
    </row>
    <row r="9489" spans="5:13" x14ac:dyDescent="0.25">
      <c r="E9489"/>
      <c r="M9489"/>
    </row>
    <row r="9490" spans="5:13" x14ac:dyDescent="0.25">
      <c r="E9490"/>
      <c r="M9490"/>
    </row>
    <row r="9491" spans="5:13" x14ac:dyDescent="0.25">
      <c r="E9491"/>
      <c r="M9491"/>
    </row>
    <row r="9492" spans="5:13" x14ac:dyDescent="0.25">
      <c r="E9492"/>
      <c r="M9492"/>
    </row>
    <row r="9493" spans="5:13" x14ac:dyDescent="0.25">
      <c r="E9493"/>
      <c r="M9493"/>
    </row>
    <row r="9494" spans="5:13" x14ac:dyDescent="0.25">
      <c r="E9494"/>
      <c r="M9494"/>
    </row>
    <row r="9495" spans="5:13" x14ac:dyDescent="0.25">
      <c r="E9495"/>
      <c r="M9495"/>
    </row>
    <row r="9496" spans="5:13" x14ac:dyDescent="0.25">
      <c r="E9496"/>
      <c r="M9496"/>
    </row>
    <row r="9497" spans="5:13" x14ac:dyDescent="0.25">
      <c r="E9497"/>
      <c r="M9497"/>
    </row>
    <row r="9498" spans="5:13" x14ac:dyDescent="0.25">
      <c r="E9498"/>
      <c r="M9498"/>
    </row>
    <row r="9499" spans="5:13" x14ac:dyDescent="0.25">
      <c r="E9499"/>
      <c r="M9499"/>
    </row>
    <row r="9500" spans="5:13" x14ac:dyDescent="0.25">
      <c r="E9500"/>
      <c r="M9500"/>
    </row>
    <row r="9501" spans="5:13" x14ac:dyDescent="0.25">
      <c r="E9501"/>
      <c r="M9501"/>
    </row>
    <row r="9502" spans="5:13" x14ac:dyDescent="0.25">
      <c r="E9502"/>
      <c r="M9502"/>
    </row>
    <row r="9503" spans="5:13" x14ac:dyDescent="0.25">
      <c r="E9503"/>
      <c r="M9503"/>
    </row>
    <row r="9504" spans="5:13" x14ac:dyDescent="0.25">
      <c r="E9504"/>
      <c r="M9504"/>
    </row>
    <row r="9505" spans="5:13" x14ac:dyDescent="0.25">
      <c r="E9505"/>
      <c r="M9505"/>
    </row>
    <row r="9506" spans="5:13" x14ac:dyDescent="0.25">
      <c r="E9506"/>
      <c r="M9506"/>
    </row>
    <row r="9507" spans="5:13" x14ac:dyDescent="0.25">
      <c r="E9507"/>
      <c r="M9507"/>
    </row>
    <row r="9508" spans="5:13" x14ac:dyDescent="0.25">
      <c r="E9508"/>
      <c r="M9508"/>
    </row>
    <row r="9509" spans="5:13" x14ac:dyDescent="0.25">
      <c r="E9509"/>
      <c r="M9509"/>
    </row>
    <row r="9510" spans="5:13" x14ac:dyDescent="0.25">
      <c r="E9510"/>
      <c r="M9510"/>
    </row>
    <row r="9511" spans="5:13" x14ac:dyDescent="0.25">
      <c r="E9511"/>
      <c r="M9511"/>
    </row>
    <row r="9512" spans="5:13" x14ac:dyDescent="0.25">
      <c r="E9512"/>
      <c r="M9512"/>
    </row>
    <row r="9513" spans="5:13" x14ac:dyDescent="0.25">
      <c r="E9513"/>
      <c r="M9513"/>
    </row>
    <row r="9514" spans="5:13" x14ac:dyDescent="0.25">
      <c r="E9514"/>
      <c r="M9514"/>
    </row>
    <row r="9515" spans="5:13" x14ac:dyDescent="0.25">
      <c r="E9515"/>
      <c r="M9515"/>
    </row>
    <row r="9516" spans="5:13" x14ac:dyDescent="0.25">
      <c r="E9516"/>
      <c r="M9516"/>
    </row>
    <row r="9517" spans="5:13" x14ac:dyDescent="0.25">
      <c r="E9517"/>
      <c r="M9517"/>
    </row>
    <row r="9518" spans="5:13" x14ac:dyDescent="0.25">
      <c r="E9518"/>
      <c r="M9518"/>
    </row>
    <row r="9519" spans="5:13" x14ac:dyDescent="0.25">
      <c r="E9519"/>
      <c r="M9519"/>
    </row>
    <row r="9520" spans="5:13" x14ac:dyDescent="0.25">
      <c r="E9520"/>
      <c r="M9520"/>
    </row>
    <row r="9521" spans="5:13" x14ac:dyDescent="0.25">
      <c r="E9521"/>
      <c r="M9521"/>
    </row>
    <row r="9522" spans="5:13" x14ac:dyDescent="0.25">
      <c r="E9522"/>
      <c r="M9522"/>
    </row>
    <row r="9523" spans="5:13" x14ac:dyDescent="0.25">
      <c r="E9523"/>
      <c r="M9523"/>
    </row>
    <row r="9524" spans="5:13" x14ac:dyDescent="0.25">
      <c r="E9524"/>
      <c r="M9524"/>
    </row>
    <row r="9525" spans="5:13" x14ac:dyDescent="0.25">
      <c r="E9525"/>
      <c r="M9525"/>
    </row>
    <row r="9526" spans="5:13" x14ac:dyDescent="0.25">
      <c r="E9526"/>
      <c r="M9526"/>
    </row>
    <row r="9527" spans="5:13" x14ac:dyDescent="0.25">
      <c r="E9527"/>
      <c r="M9527"/>
    </row>
    <row r="9528" spans="5:13" x14ac:dyDescent="0.25">
      <c r="E9528"/>
      <c r="M9528"/>
    </row>
    <row r="9529" spans="5:13" x14ac:dyDescent="0.25">
      <c r="E9529"/>
      <c r="M9529"/>
    </row>
    <row r="9530" spans="5:13" x14ac:dyDescent="0.25">
      <c r="E9530"/>
      <c r="M9530"/>
    </row>
    <row r="9531" spans="5:13" x14ac:dyDescent="0.25">
      <c r="E9531"/>
      <c r="M9531"/>
    </row>
    <row r="9532" spans="5:13" x14ac:dyDescent="0.25">
      <c r="E9532"/>
      <c r="M9532"/>
    </row>
    <row r="9533" spans="5:13" x14ac:dyDescent="0.25">
      <c r="E9533"/>
      <c r="M9533"/>
    </row>
    <row r="9534" spans="5:13" x14ac:dyDescent="0.25">
      <c r="E9534"/>
      <c r="M9534"/>
    </row>
    <row r="9535" spans="5:13" x14ac:dyDescent="0.25">
      <c r="E9535"/>
      <c r="M9535"/>
    </row>
    <row r="9536" spans="5:13" x14ac:dyDescent="0.25">
      <c r="E9536"/>
      <c r="M9536"/>
    </row>
    <row r="9537" spans="5:13" x14ac:dyDescent="0.25">
      <c r="E9537"/>
      <c r="M9537"/>
    </row>
    <row r="9538" spans="5:13" x14ac:dyDescent="0.25">
      <c r="E9538"/>
      <c r="M9538"/>
    </row>
    <row r="9539" spans="5:13" x14ac:dyDescent="0.25">
      <c r="E9539"/>
      <c r="M9539"/>
    </row>
    <row r="9540" spans="5:13" x14ac:dyDescent="0.25">
      <c r="E9540"/>
      <c r="M9540"/>
    </row>
    <row r="9541" spans="5:13" x14ac:dyDescent="0.25">
      <c r="E9541"/>
      <c r="M9541"/>
    </row>
    <row r="9542" spans="5:13" x14ac:dyDescent="0.25">
      <c r="E9542"/>
      <c r="M9542"/>
    </row>
    <row r="9543" spans="5:13" x14ac:dyDescent="0.25">
      <c r="E9543"/>
      <c r="M9543"/>
    </row>
    <row r="9544" spans="5:13" x14ac:dyDescent="0.25">
      <c r="E9544"/>
      <c r="M9544"/>
    </row>
    <row r="9545" spans="5:13" x14ac:dyDescent="0.25">
      <c r="E9545"/>
      <c r="M9545"/>
    </row>
    <row r="9546" spans="5:13" x14ac:dyDescent="0.25">
      <c r="E9546"/>
      <c r="M9546"/>
    </row>
    <row r="9547" spans="5:13" x14ac:dyDescent="0.25">
      <c r="E9547"/>
      <c r="M9547"/>
    </row>
    <row r="9548" spans="5:13" x14ac:dyDescent="0.25">
      <c r="E9548"/>
      <c r="M9548"/>
    </row>
    <row r="9549" spans="5:13" x14ac:dyDescent="0.25">
      <c r="E9549"/>
      <c r="M9549"/>
    </row>
    <row r="9550" spans="5:13" x14ac:dyDescent="0.25">
      <c r="E9550"/>
      <c r="M9550"/>
    </row>
    <row r="9551" spans="5:13" x14ac:dyDescent="0.25">
      <c r="E9551"/>
      <c r="M9551"/>
    </row>
    <row r="9552" spans="5:13" x14ac:dyDescent="0.25">
      <c r="E9552"/>
      <c r="M9552"/>
    </row>
    <row r="9553" spans="5:13" x14ac:dyDescent="0.25">
      <c r="E9553"/>
      <c r="M9553"/>
    </row>
    <row r="9554" spans="5:13" x14ac:dyDescent="0.25">
      <c r="E9554"/>
      <c r="M9554"/>
    </row>
    <row r="9555" spans="5:13" x14ac:dyDescent="0.25">
      <c r="E9555"/>
      <c r="M9555"/>
    </row>
    <row r="9556" spans="5:13" x14ac:dyDescent="0.25">
      <c r="E9556"/>
      <c r="M9556"/>
    </row>
    <row r="9557" spans="5:13" x14ac:dyDescent="0.25">
      <c r="E9557"/>
      <c r="M9557"/>
    </row>
    <row r="9558" spans="5:13" x14ac:dyDescent="0.25">
      <c r="E9558"/>
      <c r="M9558"/>
    </row>
    <row r="9559" spans="5:13" x14ac:dyDescent="0.25">
      <c r="E9559"/>
      <c r="M9559"/>
    </row>
    <row r="9560" spans="5:13" x14ac:dyDescent="0.25">
      <c r="E9560"/>
      <c r="M9560"/>
    </row>
    <row r="9561" spans="5:13" x14ac:dyDescent="0.25">
      <c r="E9561"/>
      <c r="M9561"/>
    </row>
    <row r="9562" spans="5:13" x14ac:dyDescent="0.25">
      <c r="E9562"/>
      <c r="M9562"/>
    </row>
    <row r="9563" spans="5:13" x14ac:dyDescent="0.25">
      <c r="E9563"/>
      <c r="M9563"/>
    </row>
    <row r="9564" spans="5:13" x14ac:dyDescent="0.25">
      <c r="E9564"/>
      <c r="M9564"/>
    </row>
    <row r="9565" spans="5:13" x14ac:dyDescent="0.25">
      <c r="E9565"/>
      <c r="M9565"/>
    </row>
    <row r="9566" spans="5:13" x14ac:dyDescent="0.25">
      <c r="E9566"/>
      <c r="M9566"/>
    </row>
    <row r="9567" spans="5:13" x14ac:dyDescent="0.25">
      <c r="E9567"/>
      <c r="M9567"/>
    </row>
    <row r="9568" spans="5:13" x14ac:dyDescent="0.25">
      <c r="E9568"/>
      <c r="M9568"/>
    </row>
    <row r="9569" spans="5:13" x14ac:dyDescent="0.25">
      <c r="E9569"/>
      <c r="M9569"/>
    </row>
    <row r="9570" spans="5:13" x14ac:dyDescent="0.25">
      <c r="E9570"/>
      <c r="M9570"/>
    </row>
    <row r="9571" spans="5:13" x14ac:dyDescent="0.25">
      <c r="E9571"/>
      <c r="M9571"/>
    </row>
    <row r="9572" spans="5:13" x14ac:dyDescent="0.25">
      <c r="E9572"/>
      <c r="M9572"/>
    </row>
    <row r="9573" spans="5:13" x14ac:dyDescent="0.25">
      <c r="E9573"/>
      <c r="M9573"/>
    </row>
    <row r="9574" spans="5:13" x14ac:dyDescent="0.25">
      <c r="E9574"/>
      <c r="M9574"/>
    </row>
    <row r="9575" spans="5:13" x14ac:dyDescent="0.25">
      <c r="E9575"/>
      <c r="M9575"/>
    </row>
    <row r="9576" spans="5:13" x14ac:dyDescent="0.25">
      <c r="E9576"/>
      <c r="M9576"/>
    </row>
    <row r="9577" spans="5:13" x14ac:dyDescent="0.25">
      <c r="E9577"/>
      <c r="M9577"/>
    </row>
    <row r="9578" spans="5:13" x14ac:dyDescent="0.25">
      <c r="E9578"/>
      <c r="M9578"/>
    </row>
    <row r="9579" spans="5:13" x14ac:dyDescent="0.25">
      <c r="E9579"/>
      <c r="M9579"/>
    </row>
    <row r="9580" spans="5:13" x14ac:dyDescent="0.25">
      <c r="E9580"/>
      <c r="M9580"/>
    </row>
    <row r="9581" spans="5:13" x14ac:dyDescent="0.25">
      <c r="E9581"/>
      <c r="M9581"/>
    </row>
    <row r="9582" spans="5:13" x14ac:dyDescent="0.25">
      <c r="E9582"/>
      <c r="M9582"/>
    </row>
    <row r="9583" spans="5:13" x14ac:dyDescent="0.25">
      <c r="E9583"/>
      <c r="M9583"/>
    </row>
    <row r="9584" spans="5:13" x14ac:dyDescent="0.25">
      <c r="E9584"/>
      <c r="M9584"/>
    </row>
    <row r="9585" spans="5:13" x14ac:dyDescent="0.25">
      <c r="E9585"/>
      <c r="M9585"/>
    </row>
    <row r="9586" spans="5:13" x14ac:dyDescent="0.25">
      <c r="E9586"/>
      <c r="M9586"/>
    </row>
    <row r="9587" spans="5:13" x14ac:dyDescent="0.25">
      <c r="E9587"/>
      <c r="M9587"/>
    </row>
    <row r="9588" spans="5:13" x14ac:dyDescent="0.25">
      <c r="E9588"/>
      <c r="M9588"/>
    </row>
    <row r="9589" spans="5:13" x14ac:dyDescent="0.25">
      <c r="E9589"/>
      <c r="M9589"/>
    </row>
    <row r="9590" spans="5:13" x14ac:dyDescent="0.25">
      <c r="E9590"/>
      <c r="M9590"/>
    </row>
    <row r="9591" spans="5:13" x14ac:dyDescent="0.25">
      <c r="E9591"/>
      <c r="M9591"/>
    </row>
    <row r="9592" spans="5:13" x14ac:dyDescent="0.25">
      <c r="E9592"/>
      <c r="M9592"/>
    </row>
    <row r="9593" spans="5:13" x14ac:dyDescent="0.25">
      <c r="E9593"/>
      <c r="M9593"/>
    </row>
    <row r="9594" spans="5:13" x14ac:dyDescent="0.25">
      <c r="E9594"/>
      <c r="M9594"/>
    </row>
    <row r="9595" spans="5:13" x14ac:dyDescent="0.25">
      <c r="E9595"/>
      <c r="M9595"/>
    </row>
    <row r="9596" spans="5:13" x14ac:dyDescent="0.25">
      <c r="E9596"/>
      <c r="M9596"/>
    </row>
    <row r="9597" spans="5:13" x14ac:dyDescent="0.25">
      <c r="E9597"/>
      <c r="M9597"/>
    </row>
    <row r="9598" spans="5:13" x14ac:dyDescent="0.25">
      <c r="E9598"/>
      <c r="M9598"/>
    </row>
    <row r="9599" spans="5:13" x14ac:dyDescent="0.25">
      <c r="E9599"/>
      <c r="M9599"/>
    </row>
    <row r="9600" spans="5:13" x14ac:dyDescent="0.25">
      <c r="E9600"/>
      <c r="M9600"/>
    </row>
    <row r="9601" spans="5:13" x14ac:dyDescent="0.25">
      <c r="E9601"/>
      <c r="M9601"/>
    </row>
    <row r="9602" spans="5:13" x14ac:dyDescent="0.25">
      <c r="E9602"/>
      <c r="M9602"/>
    </row>
    <row r="9603" spans="5:13" x14ac:dyDescent="0.25">
      <c r="E9603"/>
      <c r="M9603"/>
    </row>
    <row r="9604" spans="5:13" x14ac:dyDescent="0.25">
      <c r="E9604"/>
      <c r="M9604"/>
    </row>
    <row r="9605" spans="5:13" x14ac:dyDescent="0.25">
      <c r="E9605"/>
      <c r="M9605"/>
    </row>
    <row r="9606" spans="5:13" x14ac:dyDescent="0.25">
      <c r="E9606"/>
      <c r="M9606"/>
    </row>
    <row r="9607" spans="5:13" x14ac:dyDescent="0.25">
      <c r="E9607"/>
      <c r="M9607"/>
    </row>
    <row r="9608" spans="5:13" x14ac:dyDescent="0.25">
      <c r="E9608"/>
      <c r="M9608"/>
    </row>
    <row r="9609" spans="5:13" x14ac:dyDescent="0.25">
      <c r="E9609"/>
      <c r="M9609"/>
    </row>
    <row r="9610" spans="5:13" x14ac:dyDescent="0.25">
      <c r="E9610"/>
      <c r="M9610"/>
    </row>
    <row r="9611" spans="5:13" x14ac:dyDescent="0.25">
      <c r="E9611"/>
      <c r="M9611"/>
    </row>
    <row r="9612" spans="5:13" x14ac:dyDescent="0.25">
      <c r="E9612"/>
      <c r="M9612"/>
    </row>
    <row r="9613" spans="5:13" x14ac:dyDescent="0.25">
      <c r="E9613"/>
      <c r="M9613"/>
    </row>
    <row r="9614" spans="5:13" x14ac:dyDescent="0.25">
      <c r="E9614"/>
      <c r="M9614"/>
    </row>
    <row r="9615" spans="5:13" x14ac:dyDescent="0.25">
      <c r="E9615"/>
      <c r="M9615"/>
    </row>
    <row r="9616" spans="5:13" x14ac:dyDescent="0.25">
      <c r="E9616"/>
      <c r="M9616"/>
    </row>
    <row r="9617" spans="5:13" x14ac:dyDescent="0.25">
      <c r="E9617"/>
      <c r="M9617"/>
    </row>
    <row r="9618" spans="5:13" x14ac:dyDescent="0.25">
      <c r="E9618"/>
      <c r="M9618"/>
    </row>
    <row r="9619" spans="5:13" x14ac:dyDescent="0.25">
      <c r="E9619"/>
      <c r="M9619"/>
    </row>
    <row r="9620" spans="5:13" x14ac:dyDescent="0.25">
      <c r="E9620"/>
      <c r="M9620"/>
    </row>
    <row r="9621" spans="5:13" x14ac:dyDescent="0.25">
      <c r="E9621"/>
      <c r="M9621"/>
    </row>
    <row r="9622" spans="5:13" x14ac:dyDescent="0.25">
      <c r="E9622"/>
      <c r="M9622"/>
    </row>
    <row r="9623" spans="5:13" x14ac:dyDescent="0.25">
      <c r="E9623"/>
      <c r="M9623"/>
    </row>
    <row r="9624" spans="5:13" x14ac:dyDescent="0.25">
      <c r="E9624"/>
      <c r="M9624"/>
    </row>
    <row r="9625" spans="5:13" x14ac:dyDescent="0.25">
      <c r="E9625"/>
      <c r="M9625"/>
    </row>
    <row r="9626" spans="5:13" x14ac:dyDescent="0.25">
      <c r="E9626"/>
      <c r="M9626"/>
    </row>
    <row r="9627" spans="5:13" x14ac:dyDescent="0.25">
      <c r="E9627"/>
      <c r="M9627"/>
    </row>
    <row r="9628" spans="5:13" x14ac:dyDescent="0.25">
      <c r="E9628"/>
      <c r="M9628"/>
    </row>
    <row r="9629" spans="5:13" x14ac:dyDescent="0.25">
      <c r="E9629"/>
      <c r="M9629"/>
    </row>
    <row r="9630" spans="5:13" x14ac:dyDescent="0.25">
      <c r="E9630"/>
      <c r="M9630"/>
    </row>
    <row r="9631" spans="5:13" x14ac:dyDescent="0.25">
      <c r="E9631"/>
      <c r="M9631"/>
    </row>
    <row r="9632" spans="5:13" x14ac:dyDescent="0.25">
      <c r="E9632"/>
      <c r="M9632"/>
    </row>
    <row r="9633" spans="5:13" x14ac:dyDescent="0.25">
      <c r="E9633"/>
      <c r="M9633"/>
    </row>
    <row r="9634" spans="5:13" x14ac:dyDescent="0.25">
      <c r="E9634"/>
      <c r="M9634"/>
    </row>
    <row r="9635" spans="5:13" x14ac:dyDescent="0.25">
      <c r="E9635"/>
      <c r="M9635"/>
    </row>
    <row r="9636" spans="5:13" x14ac:dyDescent="0.25">
      <c r="E9636"/>
      <c r="M9636"/>
    </row>
    <row r="9637" spans="5:13" x14ac:dyDescent="0.25">
      <c r="E9637"/>
      <c r="M9637"/>
    </row>
    <row r="9638" spans="5:13" x14ac:dyDescent="0.25">
      <c r="E9638"/>
      <c r="M9638"/>
    </row>
    <row r="9639" spans="5:13" x14ac:dyDescent="0.25">
      <c r="E9639"/>
      <c r="M9639"/>
    </row>
    <row r="9640" spans="5:13" x14ac:dyDescent="0.25">
      <c r="E9640"/>
      <c r="M9640"/>
    </row>
    <row r="9641" spans="5:13" x14ac:dyDescent="0.25">
      <c r="E9641"/>
      <c r="M9641"/>
    </row>
    <row r="9642" spans="5:13" x14ac:dyDescent="0.25">
      <c r="E9642"/>
      <c r="M9642"/>
    </row>
    <row r="9643" spans="5:13" x14ac:dyDescent="0.25">
      <c r="E9643"/>
      <c r="M9643"/>
    </row>
    <row r="9644" spans="5:13" x14ac:dyDescent="0.25">
      <c r="E9644"/>
      <c r="M9644"/>
    </row>
    <row r="9645" spans="5:13" x14ac:dyDescent="0.25">
      <c r="E9645"/>
      <c r="M9645"/>
    </row>
    <row r="9646" spans="5:13" x14ac:dyDescent="0.25">
      <c r="E9646"/>
      <c r="M9646"/>
    </row>
    <row r="9647" spans="5:13" x14ac:dyDescent="0.25">
      <c r="E9647"/>
      <c r="M9647"/>
    </row>
    <row r="9648" spans="5:13" x14ac:dyDescent="0.25">
      <c r="E9648"/>
      <c r="M9648"/>
    </row>
    <row r="9649" spans="5:13" x14ac:dyDescent="0.25">
      <c r="E9649"/>
      <c r="M9649"/>
    </row>
    <row r="9650" spans="5:13" x14ac:dyDescent="0.25">
      <c r="E9650"/>
      <c r="M9650"/>
    </row>
    <row r="9651" spans="5:13" x14ac:dyDescent="0.25">
      <c r="E9651"/>
      <c r="M9651"/>
    </row>
    <row r="9652" spans="5:13" x14ac:dyDescent="0.25">
      <c r="E9652"/>
      <c r="M9652"/>
    </row>
    <row r="9653" spans="5:13" x14ac:dyDescent="0.25">
      <c r="E9653"/>
      <c r="M9653"/>
    </row>
    <row r="9654" spans="5:13" x14ac:dyDescent="0.25">
      <c r="E9654"/>
      <c r="M9654"/>
    </row>
    <row r="9655" spans="5:13" x14ac:dyDescent="0.25">
      <c r="E9655"/>
      <c r="M9655"/>
    </row>
    <row r="9656" spans="5:13" x14ac:dyDescent="0.25">
      <c r="E9656"/>
      <c r="M9656"/>
    </row>
    <row r="9657" spans="5:13" x14ac:dyDescent="0.25">
      <c r="E9657"/>
      <c r="M9657"/>
    </row>
    <row r="9658" spans="5:13" x14ac:dyDescent="0.25">
      <c r="E9658"/>
      <c r="M9658"/>
    </row>
    <row r="9659" spans="5:13" x14ac:dyDescent="0.25">
      <c r="E9659"/>
      <c r="M9659"/>
    </row>
    <row r="9660" spans="5:13" x14ac:dyDescent="0.25">
      <c r="E9660"/>
      <c r="M9660"/>
    </row>
    <row r="9661" spans="5:13" x14ac:dyDescent="0.25">
      <c r="E9661"/>
      <c r="M9661"/>
    </row>
    <row r="9662" spans="5:13" x14ac:dyDescent="0.25">
      <c r="E9662"/>
      <c r="M9662"/>
    </row>
    <row r="9663" spans="5:13" x14ac:dyDescent="0.25">
      <c r="E9663"/>
      <c r="M9663"/>
    </row>
    <row r="9664" spans="5:13" x14ac:dyDescent="0.25">
      <c r="E9664"/>
      <c r="M9664"/>
    </row>
    <row r="9665" spans="5:13" x14ac:dyDescent="0.25">
      <c r="E9665"/>
      <c r="M9665"/>
    </row>
    <row r="9666" spans="5:13" x14ac:dyDescent="0.25">
      <c r="E9666"/>
      <c r="M9666"/>
    </row>
    <row r="9667" spans="5:13" x14ac:dyDescent="0.25">
      <c r="E9667"/>
      <c r="M9667"/>
    </row>
    <row r="9668" spans="5:13" x14ac:dyDescent="0.25">
      <c r="E9668"/>
      <c r="M9668"/>
    </row>
    <row r="9669" spans="5:13" x14ac:dyDescent="0.25">
      <c r="E9669"/>
      <c r="M9669"/>
    </row>
    <row r="9670" spans="5:13" x14ac:dyDescent="0.25">
      <c r="E9670"/>
      <c r="M9670"/>
    </row>
    <row r="9671" spans="5:13" x14ac:dyDescent="0.25">
      <c r="E9671"/>
      <c r="M9671"/>
    </row>
    <row r="9672" spans="5:13" x14ac:dyDescent="0.25">
      <c r="E9672"/>
      <c r="M9672"/>
    </row>
    <row r="9673" spans="5:13" x14ac:dyDescent="0.25">
      <c r="E9673"/>
      <c r="M9673"/>
    </row>
    <row r="9674" spans="5:13" x14ac:dyDescent="0.25">
      <c r="E9674"/>
      <c r="M9674"/>
    </row>
    <row r="9675" spans="5:13" x14ac:dyDescent="0.25">
      <c r="E9675"/>
      <c r="M9675"/>
    </row>
    <row r="9676" spans="5:13" x14ac:dyDescent="0.25">
      <c r="E9676"/>
      <c r="M9676"/>
    </row>
    <row r="9677" spans="5:13" x14ac:dyDescent="0.25">
      <c r="E9677"/>
      <c r="M9677"/>
    </row>
    <row r="9678" spans="5:13" x14ac:dyDescent="0.25">
      <c r="E9678"/>
      <c r="M9678"/>
    </row>
    <row r="9679" spans="5:13" x14ac:dyDescent="0.25">
      <c r="E9679"/>
      <c r="M9679"/>
    </row>
    <row r="9680" spans="5:13" x14ac:dyDescent="0.25">
      <c r="E9680"/>
      <c r="M9680"/>
    </row>
    <row r="9681" spans="5:13" x14ac:dyDescent="0.25">
      <c r="E9681"/>
      <c r="M9681"/>
    </row>
    <row r="9682" spans="5:13" x14ac:dyDescent="0.25">
      <c r="E9682"/>
      <c r="M9682"/>
    </row>
    <row r="9683" spans="5:13" x14ac:dyDescent="0.25">
      <c r="E9683"/>
      <c r="M9683"/>
    </row>
    <row r="9684" spans="5:13" x14ac:dyDescent="0.25">
      <c r="E9684"/>
      <c r="M9684"/>
    </row>
    <row r="9685" spans="5:13" x14ac:dyDescent="0.25">
      <c r="E9685"/>
      <c r="M9685"/>
    </row>
    <row r="9686" spans="5:13" x14ac:dyDescent="0.25">
      <c r="E9686"/>
      <c r="M9686"/>
    </row>
    <row r="9687" spans="5:13" x14ac:dyDescent="0.25">
      <c r="E9687"/>
      <c r="M9687"/>
    </row>
    <row r="9688" spans="5:13" x14ac:dyDescent="0.25">
      <c r="E9688"/>
      <c r="M9688"/>
    </row>
    <row r="9689" spans="5:13" x14ac:dyDescent="0.25">
      <c r="E9689"/>
      <c r="M9689"/>
    </row>
    <row r="9690" spans="5:13" x14ac:dyDescent="0.25">
      <c r="E9690"/>
      <c r="M9690"/>
    </row>
    <row r="9691" spans="5:13" x14ac:dyDescent="0.25">
      <c r="E9691"/>
      <c r="M9691"/>
    </row>
    <row r="9692" spans="5:13" x14ac:dyDescent="0.25">
      <c r="E9692"/>
      <c r="M9692"/>
    </row>
    <row r="9693" spans="5:13" x14ac:dyDescent="0.25">
      <c r="E9693"/>
      <c r="M9693"/>
    </row>
    <row r="9694" spans="5:13" x14ac:dyDescent="0.25">
      <c r="E9694"/>
      <c r="M9694"/>
    </row>
    <row r="9695" spans="5:13" x14ac:dyDescent="0.25">
      <c r="E9695"/>
      <c r="M9695"/>
    </row>
    <row r="9696" spans="5:13" x14ac:dyDescent="0.25">
      <c r="E9696"/>
      <c r="M9696"/>
    </row>
    <row r="9697" spans="5:13" x14ac:dyDescent="0.25">
      <c r="E9697"/>
      <c r="M9697"/>
    </row>
    <row r="9698" spans="5:13" x14ac:dyDescent="0.25">
      <c r="E9698"/>
      <c r="M9698"/>
    </row>
    <row r="9699" spans="5:13" x14ac:dyDescent="0.25">
      <c r="E9699"/>
      <c r="M9699"/>
    </row>
    <row r="9700" spans="5:13" x14ac:dyDescent="0.25">
      <c r="E9700"/>
      <c r="M9700"/>
    </row>
    <row r="9701" spans="5:13" x14ac:dyDescent="0.25">
      <c r="E9701"/>
      <c r="M9701"/>
    </row>
    <row r="9702" spans="5:13" x14ac:dyDescent="0.25">
      <c r="E9702"/>
      <c r="M9702"/>
    </row>
    <row r="9703" spans="5:13" x14ac:dyDescent="0.25">
      <c r="E9703"/>
      <c r="M9703"/>
    </row>
    <row r="9704" spans="5:13" x14ac:dyDescent="0.25">
      <c r="E9704"/>
      <c r="M9704"/>
    </row>
    <row r="9705" spans="5:13" x14ac:dyDescent="0.25">
      <c r="E9705"/>
      <c r="M9705"/>
    </row>
    <row r="9706" spans="5:13" x14ac:dyDescent="0.25">
      <c r="E9706"/>
      <c r="M9706"/>
    </row>
    <row r="9707" spans="5:13" x14ac:dyDescent="0.25">
      <c r="E9707"/>
      <c r="M9707"/>
    </row>
    <row r="9708" spans="5:13" x14ac:dyDescent="0.25">
      <c r="E9708"/>
      <c r="M9708"/>
    </row>
    <row r="9709" spans="5:13" x14ac:dyDescent="0.25">
      <c r="E9709"/>
      <c r="M9709"/>
    </row>
    <row r="9710" spans="5:13" x14ac:dyDescent="0.25">
      <c r="E9710"/>
      <c r="M9710"/>
    </row>
    <row r="9711" spans="5:13" x14ac:dyDescent="0.25">
      <c r="E9711"/>
      <c r="M9711"/>
    </row>
    <row r="9712" spans="5:13" x14ac:dyDescent="0.25">
      <c r="E9712"/>
      <c r="M9712"/>
    </row>
    <row r="9713" spans="5:13" x14ac:dyDescent="0.25">
      <c r="E9713"/>
      <c r="M9713"/>
    </row>
    <row r="9714" spans="5:13" x14ac:dyDescent="0.25">
      <c r="E9714"/>
      <c r="M9714"/>
    </row>
    <row r="9715" spans="5:13" x14ac:dyDescent="0.25">
      <c r="E9715"/>
      <c r="M9715"/>
    </row>
    <row r="9716" spans="5:13" x14ac:dyDescent="0.25">
      <c r="E9716"/>
      <c r="M9716"/>
    </row>
    <row r="9717" spans="5:13" x14ac:dyDescent="0.25">
      <c r="E9717"/>
      <c r="M9717"/>
    </row>
    <row r="9718" spans="5:13" x14ac:dyDescent="0.25">
      <c r="E9718"/>
      <c r="M9718"/>
    </row>
    <row r="9719" spans="5:13" x14ac:dyDescent="0.25">
      <c r="E9719"/>
      <c r="M9719"/>
    </row>
    <row r="9720" spans="5:13" x14ac:dyDescent="0.25">
      <c r="E9720"/>
      <c r="M9720"/>
    </row>
    <row r="9721" spans="5:13" x14ac:dyDescent="0.25">
      <c r="E9721"/>
      <c r="M9721"/>
    </row>
    <row r="9722" spans="5:13" x14ac:dyDescent="0.25">
      <c r="E9722"/>
      <c r="M9722"/>
    </row>
    <row r="9723" spans="5:13" x14ac:dyDescent="0.25">
      <c r="E9723"/>
      <c r="M9723"/>
    </row>
    <row r="9724" spans="5:13" x14ac:dyDescent="0.25">
      <c r="E9724"/>
      <c r="M9724"/>
    </row>
    <row r="9725" spans="5:13" x14ac:dyDescent="0.25">
      <c r="E9725"/>
      <c r="M9725"/>
    </row>
    <row r="9726" spans="5:13" x14ac:dyDescent="0.25">
      <c r="E9726"/>
      <c r="M9726"/>
    </row>
    <row r="9727" spans="5:13" x14ac:dyDescent="0.25">
      <c r="E9727"/>
      <c r="M9727"/>
    </row>
    <row r="9728" spans="5:13" x14ac:dyDescent="0.25">
      <c r="E9728"/>
      <c r="M9728"/>
    </row>
    <row r="9729" spans="5:13" x14ac:dyDescent="0.25">
      <c r="E9729"/>
      <c r="M9729"/>
    </row>
    <row r="9730" spans="5:13" x14ac:dyDescent="0.25">
      <c r="E9730"/>
      <c r="M9730"/>
    </row>
    <row r="9731" spans="5:13" x14ac:dyDescent="0.25">
      <c r="E9731"/>
      <c r="M9731"/>
    </row>
    <row r="9732" spans="5:13" x14ac:dyDescent="0.25">
      <c r="E9732"/>
      <c r="M9732"/>
    </row>
    <row r="9733" spans="5:13" x14ac:dyDescent="0.25">
      <c r="E9733"/>
      <c r="M9733"/>
    </row>
    <row r="9734" spans="5:13" x14ac:dyDescent="0.25">
      <c r="E9734"/>
      <c r="M9734"/>
    </row>
    <row r="9735" spans="5:13" x14ac:dyDescent="0.25">
      <c r="E9735"/>
      <c r="M9735"/>
    </row>
    <row r="9736" spans="5:13" x14ac:dyDescent="0.25">
      <c r="E9736"/>
      <c r="M9736"/>
    </row>
    <row r="9737" spans="5:13" x14ac:dyDescent="0.25">
      <c r="E9737"/>
      <c r="M9737"/>
    </row>
    <row r="9738" spans="5:13" x14ac:dyDescent="0.25">
      <c r="E9738"/>
      <c r="M9738"/>
    </row>
    <row r="9739" spans="5:13" x14ac:dyDescent="0.25">
      <c r="E9739"/>
      <c r="M9739"/>
    </row>
    <row r="9740" spans="5:13" x14ac:dyDescent="0.25">
      <c r="E9740"/>
      <c r="M9740"/>
    </row>
    <row r="9741" spans="5:13" x14ac:dyDescent="0.25">
      <c r="E9741"/>
      <c r="M9741"/>
    </row>
    <row r="9742" spans="5:13" x14ac:dyDescent="0.25">
      <c r="E9742"/>
      <c r="M9742"/>
    </row>
    <row r="9743" spans="5:13" x14ac:dyDescent="0.25">
      <c r="E9743"/>
      <c r="M9743"/>
    </row>
    <row r="9744" spans="5:13" x14ac:dyDescent="0.25">
      <c r="E9744"/>
      <c r="M9744"/>
    </row>
    <row r="9745" spans="5:13" x14ac:dyDescent="0.25">
      <c r="E9745"/>
      <c r="M9745"/>
    </row>
    <row r="9746" spans="5:13" x14ac:dyDescent="0.25">
      <c r="E9746"/>
      <c r="M9746"/>
    </row>
    <row r="9747" spans="5:13" x14ac:dyDescent="0.25">
      <c r="E9747"/>
      <c r="M9747"/>
    </row>
    <row r="9748" spans="5:13" x14ac:dyDescent="0.25">
      <c r="E9748"/>
      <c r="M9748"/>
    </row>
    <row r="9749" spans="5:13" x14ac:dyDescent="0.25">
      <c r="E9749"/>
      <c r="M9749"/>
    </row>
    <row r="9750" spans="5:13" x14ac:dyDescent="0.25">
      <c r="E9750"/>
      <c r="M9750"/>
    </row>
    <row r="9751" spans="5:13" x14ac:dyDescent="0.25">
      <c r="E9751"/>
      <c r="M9751"/>
    </row>
    <row r="9752" spans="5:13" x14ac:dyDescent="0.25">
      <c r="E9752"/>
      <c r="M9752"/>
    </row>
    <row r="9753" spans="5:13" x14ac:dyDescent="0.25">
      <c r="E9753"/>
      <c r="M9753"/>
    </row>
    <row r="9754" spans="5:13" x14ac:dyDescent="0.25">
      <c r="E9754"/>
      <c r="M9754"/>
    </row>
    <row r="9755" spans="5:13" x14ac:dyDescent="0.25">
      <c r="E9755"/>
      <c r="M9755"/>
    </row>
    <row r="9756" spans="5:13" x14ac:dyDescent="0.25">
      <c r="E9756"/>
      <c r="M9756"/>
    </row>
    <row r="9757" spans="5:13" x14ac:dyDescent="0.25">
      <c r="E9757"/>
      <c r="M9757"/>
    </row>
    <row r="9758" spans="5:13" x14ac:dyDescent="0.25">
      <c r="E9758"/>
      <c r="M9758"/>
    </row>
    <row r="9759" spans="5:13" x14ac:dyDescent="0.25">
      <c r="E9759"/>
      <c r="M9759"/>
    </row>
    <row r="9760" spans="5:13" x14ac:dyDescent="0.25">
      <c r="E9760"/>
      <c r="M9760"/>
    </row>
    <row r="9761" spans="5:13" x14ac:dyDescent="0.25">
      <c r="E9761"/>
      <c r="M9761"/>
    </row>
    <row r="9762" spans="5:13" x14ac:dyDescent="0.25">
      <c r="E9762"/>
      <c r="M9762"/>
    </row>
    <row r="9763" spans="5:13" x14ac:dyDescent="0.25">
      <c r="E9763"/>
      <c r="M9763"/>
    </row>
    <row r="9764" spans="5:13" x14ac:dyDescent="0.25">
      <c r="E9764"/>
      <c r="M9764"/>
    </row>
    <row r="9765" spans="5:13" x14ac:dyDescent="0.25">
      <c r="E9765"/>
      <c r="M9765"/>
    </row>
    <row r="9766" spans="5:13" x14ac:dyDescent="0.25">
      <c r="E9766"/>
      <c r="M9766"/>
    </row>
    <row r="9767" spans="5:13" x14ac:dyDescent="0.25">
      <c r="E9767"/>
      <c r="M9767"/>
    </row>
    <row r="9768" spans="5:13" x14ac:dyDescent="0.25">
      <c r="E9768"/>
      <c r="M9768"/>
    </row>
    <row r="9769" spans="5:13" x14ac:dyDescent="0.25">
      <c r="E9769"/>
      <c r="M9769"/>
    </row>
    <row r="9770" spans="5:13" x14ac:dyDescent="0.25">
      <c r="E9770"/>
      <c r="M9770"/>
    </row>
    <row r="9771" spans="5:13" x14ac:dyDescent="0.25">
      <c r="E9771"/>
      <c r="M9771"/>
    </row>
    <row r="9772" spans="5:13" x14ac:dyDescent="0.25">
      <c r="E9772"/>
      <c r="M9772"/>
    </row>
    <row r="9773" spans="5:13" x14ac:dyDescent="0.25">
      <c r="E9773"/>
      <c r="M9773"/>
    </row>
    <row r="9774" spans="5:13" x14ac:dyDescent="0.25">
      <c r="E9774"/>
      <c r="M9774"/>
    </row>
    <row r="9775" spans="5:13" x14ac:dyDescent="0.25">
      <c r="E9775"/>
      <c r="M9775"/>
    </row>
    <row r="9776" spans="5:13" x14ac:dyDescent="0.25">
      <c r="E9776"/>
      <c r="M9776"/>
    </row>
    <row r="9777" spans="5:13" x14ac:dyDescent="0.25">
      <c r="E9777"/>
      <c r="M9777"/>
    </row>
    <row r="9778" spans="5:13" x14ac:dyDescent="0.25">
      <c r="E9778"/>
      <c r="M9778"/>
    </row>
    <row r="9779" spans="5:13" x14ac:dyDescent="0.25">
      <c r="E9779"/>
      <c r="M9779"/>
    </row>
    <row r="9780" spans="5:13" x14ac:dyDescent="0.25">
      <c r="E9780"/>
      <c r="M9780"/>
    </row>
    <row r="9781" spans="5:13" x14ac:dyDescent="0.25">
      <c r="E9781"/>
      <c r="M9781"/>
    </row>
    <row r="9782" spans="5:13" x14ac:dyDescent="0.25">
      <c r="E9782"/>
      <c r="M9782"/>
    </row>
    <row r="9783" spans="5:13" x14ac:dyDescent="0.25">
      <c r="E9783"/>
      <c r="M9783"/>
    </row>
    <row r="9784" spans="5:13" x14ac:dyDescent="0.25">
      <c r="E9784"/>
      <c r="M9784"/>
    </row>
    <row r="9785" spans="5:13" x14ac:dyDescent="0.25">
      <c r="E9785"/>
      <c r="M9785"/>
    </row>
    <row r="9786" spans="5:13" x14ac:dyDescent="0.25">
      <c r="E9786"/>
      <c r="M9786"/>
    </row>
    <row r="9787" spans="5:13" x14ac:dyDescent="0.25">
      <c r="E9787"/>
      <c r="M9787"/>
    </row>
    <row r="9788" spans="5:13" x14ac:dyDescent="0.25">
      <c r="E9788"/>
      <c r="M9788"/>
    </row>
    <row r="9789" spans="5:13" x14ac:dyDescent="0.25">
      <c r="E9789"/>
      <c r="M9789"/>
    </row>
    <row r="9790" spans="5:13" x14ac:dyDescent="0.25">
      <c r="E9790"/>
      <c r="M9790"/>
    </row>
    <row r="9791" spans="5:13" x14ac:dyDescent="0.25">
      <c r="E9791"/>
      <c r="M9791"/>
    </row>
    <row r="9792" spans="5:13" x14ac:dyDescent="0.25">
      <c r="E9792"/>
      <c r="M9792"/>
    </row>
    <row r="9793" spans="5:13" x14ac:dyDescent="0.25">
      <c r="E9793"/>
      <c r="M9793"/>
    </row>
    <row r="9794" spans="5:13" x14ac:dyDescent="0.25">
      <c r="E9794"/>
      <c r="M9794"/>
    </row>
    <row r="9795" spans="5:13" x14ac:dyDescent="0.25">
      <c r="E9795"/>
      <c r="M9795"/>
    </row>
    <row r="9796" spans="5:13" x14ac:dyDescent="0.25">
      <c r="E9796"/>
      <c r="M9796"/>
    </row>
    <row r="9797" spans="5:13" x14ac:dyDescent="0.25">
      <c r="E9797"/>
      <c r="M9797"/>
    </row>
    <row r="9798" spans="5:13" x14ac:dyDescent="0.25">
      <c r="E9798"/>
      <c r="M9798"/>
    </row>
    <row r="9799" spans="5:13" x14ac:dyDescent="0.25">
      <c r="E9799"/>
      <c r="M9799"/>
    </row>
    <row r="9800" spans="5:13" x14ac:dyDescent="0.25">
      <c r="E9800"/>
      <c r="M9800"/>
    </row>
    <row r="9801" spans="5:13" x14ac:dyDescent="0.25">
      <c r="E9801"/>
      <c r="M9801"/>
    </row>
    <row r="9802" spans="5:13" x14ac:dyDescent="0.25">
      <c r="E9802"/>
      <c r="M9802"/>
    </row>
    <row r="9803" spans="5:13" x14ac:dyDescent="0.25">
      <c r="E9803"/>
      <c r="M9803"/>
    </row>
    <row r="9804" spans="5:13" x14ac:dyDescent="0.25">
      <c r="E9804"/>
      <c r="M9804"/>
    </row>
    <row r="9805" spans="5:13" x14ac:dyDescent="0.25">
      <c r="E9805"/>
      <c r="M9805"/>
    </row>
    <row r="9806" spans="5:13" x14ac:dyDescent="0.25">
      <c r="E9806"/>
      <c r="M9806"/>
    </row>
    <row r="9807" spans="5:13" x14ac:dyDescent="0.25">
      <c r="E9807"/>
      <c r="M9807"/>
    </row>
    <row r="9808" spans="5:13" x14ac:dyDescent="0.25">
      <c r="E9808"/>
      <c r="M9808"/>
    </row>
    <row r="9809" spans="5:13" x14ac:dyDescent="0.25">
      <c r="E9809"/>
      <c r="M9809"/>
    </row>
    <row r="9810" spans="5:13" x14ac:dyDescent="0.25">
      <c r="E9810"/>
      <c r="M9810"/>
    </row>
    <row r="9811" spans="5:13" x14ac:dyDescent="0.25">
      <c r="E9811"/>
      <c r="M9811"/>
    </row>
    <row r="9812" spans="5:13" x14ac:dyDescent="0.25">
      <c r="E9812"/>
      <c r="M9812"/>
    </row>
    <row r="9813" spans="5:13" x14ac:dyDescent="0.25">
      <c r="E9813"/>
      <c r="M9813"/>
    </row>
    <row r="9814" spans="5:13" x14ac:dyDescent="0.25">
      <c r="E9814"/>
      <c r="M9814"/>
    </row>
    <row r="9815" spans="5:13" x14ac:dyDescent="0.25">
      <c r="E9815"/>
      <c r="M9815"/>
    </row>
    <row r="9816" spans="5:13" x14ac:dyDescent="0.25">
      <c r="E9816"/>
      <c r="M9816"/>
    </row>
    <row r="9817" spans="5:13" x14ac:dyDescent="0.25">
      <c r="E9817"/>
      <c r="M9817"/>
    </row>
    <row r="9818" spans="5:13" x14ac:dyDescent="0.25">
      <c r="E9818"/>
      <c r="M9818"/>
    </row>
    <row r="9819" spans="5:13" x14ac:dyDescent="0.25">
      <c r="E9819"/>
      <c r="M9819"/>
    </row>
    <row r="9820" spans="5:13" x14ac:dyDescent="0.25">
      <c r="E9820"/>
      <c r="M9820"/>
    </row>
    <row r="9821" spans="5:13" x14ac:dyDescent="0.25">
      <c r="E9821"/>
      <c r="M9821"/>
    </row>
    <row r="9822" spans="5:13" x14ac:dyDescent="0.25">
      <c r="E9822"/>
      <c r="M9822"/>
    </row>
    <row r="9823" spans="5:13" x14ac:dyDescent="0.25">
      <c r="E9823"/>
      <c r="M9823"/>
    </row>
    <row r="9824" spans="5:13" x14ac:dyDescent="0.25">
      <c r="E9824"/>
      <c r="M9824"/>
    </row>
    <row r="9825" spans="5:13" x14ac:dyDescent="0.25">
      <c r="E9825"/>
      <c r="M9825"/>
    </row>
    <row r="9826" spans="5:13" x14ac:dyDescent="0.25">
      <c r="E9826"/>
      <c r="M9826"/>
    </row>
    <row r="9827" spans="5:13" x14ac:dyDescent="0.25">
      <c r="E9827"/>
      <c r="M9827"/>
    </row>
    <row r="9828" spans="5:13" x14ac:dyDescent="0.25">
      <c r="E9828"/>
      <c r="M9828"/>
    </row>
    <row r="9829" spans="5:13" x14ac:dyDescent="0.25">
      <c r="E9829"/>
      <c r="M9829"/>
    </row>
    <row r="9830" spans="5:13" x14ac:dyDescent="0.25">
      <c r="E9830"/>
      <c r="M9830"/>
    </row>
    <row r="9831" spans="5:13" x14ac:dyDescent="0.25">
      <c r="E9831"/>
      <c r="M9831"/>
    </row>
    <row r="9832" spans="5:13" x14ac:dyDescent="0.25">
      <c r="E9832"/>
      <c r="M9832"/>
    </row>
    <row r="9833" spans="5:13" x14ac:dyDescent="0.25">
      <c r="E9833"/>
      <c r="M9833"/>
    </row>
    <row r="9834" spans="5:13" x14ac:dyDescent="0.25">
      <c r="E9834"/>
      <c r="M9834"/>
    </row>
    <row r="9835" spans="5:13" x14ac:dyDescent="0.25">
      <c r="E9835"/>
      <c r="M9835"/>
    </row>
    <row r="9836" spans="5:13" x14ac:dyDescent="0.25">
      <c r="E9836"/>
      <c r="M9836"/>
    </row>
    <row r="9837" spans="5:13" x14ac:dyDescent="0.25">
      <c r="E9837"/>
      <c r="M9837"/>
    </row>
    <row r="9838" spans="5:13" x14ac:dyDescent="0.25">
      <c r="E9838"/>
      <c r="M9838"/>
    </row>
    <row r="9839" spans="5:13" x14ac:dyDescent="0.25">
      <c r="E9839"/>
      <c r="M9839"/>
    </row>
    <row r="9840" spans="5:13" x14ac:dyDescent="0.25">
      <c r="E9840"/>
      <c r="M9840"/>
    </row>
    <row r="9841" spans="5:13" x14ac:dyDescent="0.25">
      <c r="E9841"/>
      <c r="M9841"/>
    </row>
    <row r="9842" spans="5:13" x14ac:dyDescent="0.25">
      <c r="E9842"/>
      <c r="M9842"/>
    </row>
    <row r="9843" spans="5:13" x14ac:dyDescent="0.25">
      <c r="E9843"/>
      <c r="M9843"/>
    </row>
    <row r="9844" spans="5:13" x14ac:dyDescent="0.25">
      <c r="E9844"/>
      <c r="M9844"/>
    </row>
    <row r="9845" spans="5:13" x14ac:dyDescent="0.25">
      <c r="E9845"/>
      <c r="M9845"/>
    </row>
    <row r="9846" spans="5:13" x14ac:dyDescent="0.25">
      <c r="E9846"/>
      <c r="M9846"/>
    </row>
    <row r="9847" spans="5:13" x14ac:dyDescent="0.25">
      <c r="E9847"/>
      <c r="M9847"/>
    </row>
    <row r="9848" spans="5:13" x14ac:dyDescent="0.25">
      <c r="E9848"/>
      <c r="M9848"/>
    </row>
    <row r="9849" spans="5:13" x14ac:dyDescent="0.25">
      <c r="E9849"/>
      <c r="M9849"/>
    </row>
    <row r="9850" spans="5:13" x14ac:dyDescent="0.25">
      <c r="E9850"/>
      <c r="M9850"/>
    </row>
    <row r="9851" spans="5:13" x14ac:dyDescent="0.25">
      <c r="E9851"/>
      <c r="M9851"/>
    </row>
    <row r="9852" spans="5:13" x14ac:dyDescent="0.25">
      <c r="E9852"/>
      <c r="M9852"/>
    </row>
    <row r="9853" spans="5:13" x14ac:dyDescent="0.25">
      <c r="E9853"/>
      <c r="M9853"/>
    </row>
    <row r="9854" spans="5:13" x14ac:dyDescent="0.25">
      <c r="E9854"/>
      <c r="M9854"/>
    </row>
    <row r="9855" spans="5:13" x14ac:dyDescent="0.25">
      <c r="E9855"/>
      <c r="M9855"/>
    </row>
    <row r="9856" spans="5:13" x14ac:dyDescent="0.25">
      <c r="E9856"/>
      <c r="M9856"/>
    </row>
    <row r="9857" spans="5:13" x14ac:dyDescent="0.25">
      <c r="E9857"/>
      <c r="M9857"/>
    </row>
    <row r="9858" spans="5:13" x14ac:dyDescent="0.25">
      <c r="E9858"/>
      <c r="M9858"/>
    </row>
    <row r="9859" spans="5:13" x14ac:dyDescent="0.25">
      <c r="E9859"/>
      <c r="M9859"/>
    </row>
    <row r="9860" spans="5:13" x14ac:dyDescent="0.25">
      <c r="E9860"/>
      <c r="M9860"/>
    </row>
    <row r="9861" spans="5:13" x14ac:dyDescent="0.25">
      <c r="E9861"/>
      <c r="M9861"/>
    </row>
    <row r="9862" spans="5:13" x14ac:dyDescent="0.25">
      <c r="E9862"/>
      <c r="M9862"/>
    </row>
    <row r="9863" spans="5:13" x14ac:dyDescent="0.25">
      <c r="E9863"/>
      <c r="M9863"/>
    </row>
    <row r="9864" spans="5:13" x14ac:dyDescent="0.25">
      <c r="E9864"/>
      <c r="M9864"/>
    </row>
    <row r="9865" spans="5:13" x14ac:dyDescent="0.25">
      <c r="E9865"/>
      <c r="M9865"/>
    </row>
    <row r="9866" spans="5:13" x14ac:dyDescent="0.25">
      <c r="E9866"/>
      <c r="M9866"/>
    </row>
    <row r="9867" spans="5:13" x14ac:dyDescent="0.25">
      <c r="E9867"/>
      <c r="M9867"/>
    </row>
    <row r="9868" spans="5:13" x14ac:dyDescent="0.25">
      <c r="E9868"/>
      <c r="M9868"/>
    </row>
    <row r="9869" spans="5:13" x14ac:dyDescent="0.25">
      <c r="E9869"/>
      <c r="M9869"/>
    </row>
    <row r="9870" spans="5:13" x14ac:dyDescent="0.25">
      <c r="E9870"/>
      <c r="M9870"/>
    </row>
    <row r="9871" spans="5:13" x14ac:dyDescent="0.25">
      <c r="E9871"/>
      <c r="M9871"/>
    </row>
    <row r="9872" spans="5:13" x14ac:dyDescent="0.25">
      <c r="E9872"/>
      <c r="M9872"/>
    </row>
    <row r="9873" spans="5:13" x14ac:dyDescent="0.25">
      <c r="E9873"/>
      <c r="M9873"/>
    </row>
    <row r="9874" spans="5:13" x14ac:dyDescent="0.25">
      <c r="E9874"/>
      <c r="M9874"/>
    </row>
    <row r="9875" spans="5:13" x14ac:dyDescent="0.25">
      <c r="E9875"/>
      <c r="M9875"/>
    </row>
    <row r="9876" spans="5:13" x14ac:dyDescent="0.25">
      <c r="E9876"/>
      <c r="M9876"/>
    </row>
    <row r="9877" spans="5:13" x14ac:dyDescent="0.25">
      <c r="E9877"/>
      <c r="M9877"/>
    </row>
    <row r="9878" spans="5:13" x14ac:dyDescent="0.25">
      <c r="E9878"/>
      <c r="M9878"/>
    </row>
    <row r="9879" spans="5:13" x14ac:dyDescent="0.25">
      <c r="E9879"/>
      <c r="M9879"/>
    </row>
    <row r="9880" spans="5:13" x14ac:dyDescent="0.25">
      <c r="E9880"/>
      <c r="M9880"/>
    </row>
    <row r="9881" spans="5:13" x14ac:dyDescent="0.25">
      <c r="E9881"/>
      <c r="M9881"/>
    </row>
    <row r="9882" spans="5:13" x14ac:dyDescent="0.25">
      <c r="E9882"/>
      <c r="M9882"/>
    </row>
    <row r="9883" spans="5:13" x14ac:dyDescent="0.25">
      <c r="E9883"/>
      <c r="M9883"/>
    </row>
    <row r="9884" spans="5:13" x14ac:dyDescent="0.25">
      <c r="E9884"/>
      <c r="M9884"/>
    </row>
    <row r="9885" spans="5:13" x14ac:dyDescent="0.25">
      <c r="E9885"/>
      <c r="M9885"/>
    </row>
    <row r="9886" spans="5:13" x14ac:dyDescent="0.25">
      <c r="E9886"/>
      <c r="M9886"/>
    </row>
    <row r="9887" spans="5:13" x14ac:dyDescent="0.25">
      <c r="E9887"/>
      <c r="M9887"/>
    </row>
    <row r="9888" spans="5:13" x14ac:dyDescent="0.25">
      <c r="E9888"/>
      <c r="M9888"/>
    </row>
    <row r="9889" spans="5:13" x14ac:dyDescent="0.25">
      <c r="E9889"/>
      <c r="M9889"/>
    </row>
    <row r="9890" spans="5:13" x14ac:dyDescent="0.25">
      <c r="E9890"/>
      <c r="M9890"/>
    </row>
    <row r="9891" spans="5:13" x14ac:dyDescent="0.25">
      <c r="E9891"/>
      <c r="M9891"/>
    </row>
    <row r="9892" spans="5:13" x14ac:dyDescent="0.25">
      <c r="E9892"/>
      <c r="M9892"/>
    </row>
    <row r="9893" spans="5:13" x14ac:dyDescent="0.25">
      <c r="E9893"/>
      <c r="M9893"/>
    </row>
    <row r="9894" spans="5:13" x14ac:dyDescent="0.25">
      <c r="E9894"/>
      <c r="M9894"/>
    </row>
    <row r="9895" spans="5:13" x14ac:dyDescent="0.25">
      <c r="E9895"/>
      <c r="M9895"/>
    </row>
    <row r="9896" spans="5:13" x14ac:dyDescent="0.25">
      <c r="E9896"/>
      <c r="M9896"/>
    </row>
    <row r="9897" spans="5:13" x14ac:dyDescent="0.25">
      <c r="E9897"/>
      <c r="M9897"/>
    </row>
    <row r="9898" spans="5:13" x14ac:dyDescent="0.25">
      <c r="E9898"/>
      <c r="M9898"/>
    </row>
    <row r="9899" spans="5:13" x14ac:dyDescent="0.25">
      <c r="E9899"/>
      <c r="M9899"/>
    </row>
    <row r="9900" spans="5:13" x14ac:dyDescent="0.25">
      <c r="E9900"/>
      <c r="M9900"/>
    </row>
    <row r="9901" spans="5:13" x14ac:dyDescent="0.25">
      <c r="E9901"/>
      <c r="M9901"/>
    </row>
    <row r="9902" spans="5:13" x14ac:dyDescent="0.25">
      <c r="E9902"/>
      <c r="M9902"/>
    </row>
    <row r="9903" spans="5:13" x14ac:dyDescent="0.25">
      <c r="E9903"/>
      <c r="M9903"/>
    </row>
    <row r="9904" spans="5:13" x14ac:dyDescent="0.25">
      <c r="E9904"/>
      <c r="M9904"/>
    </row>
    <row r="9905" spans="5:13" x14ac:dyDescent="0.25">
      <c r="E9905"/>
      <c r="M9905"/>
    </row>
    <row r="9906" spans="5:13" x14ac:dyDescent="0.25">
      <c r="E9906"/>
      <c r="M9906"/>
    </row>
    <row r="9907" spans="5:13" x14ac:dyDescent="0.25">
      <c r="E9907"/>
      <c r="M9907"/>
    </row>
    <row r="9908" spans="5:13" x14ac:dyDescent="0.25">
      <c r="E9908"/>
      <c r="M9908"/>
    </row>
    <row r="9909" spans="5:13" x14ac:dyDescent="0.25">
      <c r="E9909"/>
      <c r="M9909"/>
    </row>
    <row r="9910" spans="5:13" x14ac:dyDescent="0.25">
      <c r="E9910"/>
      <c r="M9910"/>
    </row>
    <row r="9911" spans="5:13" x14ac:dyDescent="0.25">
      <c r="E9911"/>
      <c r="M9911"/>
    </row>
    <row r="9912" spans="5:13" x14ac:dyDescent="0.25">
      <c r="E9912"/>
      <c r="M9912"/>
    </row>
    <row r="9913" spans="5:13" x14ac:dyDescent="0.25">
      <c r="E9913"/>
      <c r="M9913"/>
    </row>
    <row r="9914" spans="5:13" x14ac:dyDescent="0.25">
      <c r="E9914"/>
      <c r="M9914"/>
    </row>
    <row r="9915" spans="5:13" x14ac:dyDescent="0.25">
      <c r="E9915"/>
      <c r="M9915"/>
    </row>
    <row r="9916" spans="5:13" x14ac:dyDescent="0.25">
      <c r="E9916"/>
      <c r="M9916"/>
    </row>
    <row r="9917" spans="5:13" x14ac:dyDescent="0.25">
      <c r="E9917"/>
      <c r="M9917"/>
    </row>
    <row r="9918" spans="5:13" x14ac:dyDescent="0.25">
      <c r="E9918"/>
      <c r="M9918"/>
    </row>
    <row r="9919" spans="5:13" x14ac:dyDescent="0.25">
      <c r="E9919"/>
      <c r="M9919"/>
    </row>
    <row r="9920" spans="5:13" x14ac:dyDescent="0.25">
      <c r="E9920"/>
      <c r="M9920"/>
    </row>
    <row r="9921" spans="5:13" x14ac:dyDescent="0.25">
      <c r="E9921"/>
      <c r="M9921"/>
    </row>
    <row r="9922" spans="5:13" x14ac:dyDescent="0.25">
      <c r="E9922"/>
      <c r="M9922"/>
    </row>
    <row r="9923" spans="5:13" x14ac:dyDescent="0.25">
      <c r="E9923"/>
      <c r="M9923"/>
    </row>
    <row r="9924" spans="5:13" x14ac:dyDescent="0.25">
      <c r="E9924"/>
      <c r="M9924"/>
    </row>
    <row r="9925" spans="5:13" x14ac:dyDescent="0.25">
      <c r="E9925"/>
      <c r="M9925"/>
    </row>
    <row r="9926" spans="5:13" x14ac:dyDescent="0.25">
      <c r="E9926"/>
      <c r="M9926"/>
    </row>
    <row r="9927" spans="5:13" x14ac:dyDescent="0.25">
      <c r="E9927"/>
      <c r="M9927"/>
    </row>
    <row r="9928" spans="5:13" x14ac:dyDescent="0.25">
      <c r="E9928"/>
      <c r="M9928"/>
    </row>
    <row r="9929" spans="5:13" x14ac:dyDescent="0.25">
      <c r="E9929"/>
      <c r="M9929"/>
    </row>
    <row r="9930" spans="5:13" x14ac:dyDescent="0.25">
      <c r="E9930"/>
      <c r="M9930"/>
    </row>
    <row r="9931" spans="5:13" x14ac:dyDescent="0.25">
      <c r="E9931"/>
      <c r="M9931"/>
    </row>
    <row r="9932" spans="5:13" x14ac:dyDescent="0.25">
      <c r="E9932"/>
      <c r="M9932"/>
    </row>
    <row r="9933" spans="5:13" x14ac:dyDescent="0.25">
      <c r="E9933"/>
      <c r="M9933"/>
    </row>
    <row r="9934" spans="5:13" x14ac:dyDescent="0.25">
      <c r="E9934"/>
      <c r="M9934"/>
    </row>
    <row r="9935" spans="5:13" x14ac:dyDescent="0.25">
      <c r="E9935"/>
      <c r="M9935"/>
    </row>
    <row r="9936" spans="5:13" x14ac:dyDescent="0.25">
      <c r="E9936"/>
      <c r="M9936"/>
    </row>
    <row r="9937" spans="5:13" x14ac:dyDescent="0.25">
      <c r="E9937"/>
      <c r="M9937"/>
    </row>
    <row r="9938" spans="5:13" x14ac:dyDescent="0.25">
      <c r="E9938"/>
      <c r="M9938"/>
    </row>
    <row r="9939" spans="5:13" x14ac:dyDescent="0.25">
      <c r="E9939"/>
      <c r="M9939"/>
    </row>
    <row r="9940" spans="5:13" x14ac:dyDescent="0.25">
      <c r="E9940"/>
      <c r="M9940"/>
    </row>
    <row r="9941" spans="5:13" x14ac:dyDescent="0.25">
      <c r="E9941"/>
      <c r="M9941"/>
    </row>
    <row r="9942" spans="5:13" x14ac:dyDescent="0.25">
      <c r="E9942"/>
      <c r="M9942"/>
    </row>
    <row r="9943" spans="5:13" x14ac:dyDescent="0.25">
      <c r="E9943"/>
      <c r="M9943"/>
    </row>
    <row r="9944" spans="5:13" x14ac:dyDescent="0.25">
      <c r="E9944"/>
      <c r="M9944"/>
    </row>
    <row r="9945" spans="5:13" x14ac:dyDescent="0.25">
      <c r="E9945"/>
      <c r="M9945"/>
    </row>
    <row r="9946" spans="5:13" x14ac:dyDescent="0.25">
      <c r="E9946"/>
      <c r="M9946"/>
    </row>
    <row r="9947" spans="5:13" x14ac:dyDescent="0.25">
      <c r="E9947"/>
      <c r="M9947"/>
    </row>
    <row r="9948" spans="5:13" x14ac:dyDescent="0.25">
      <c r="E9948"/>
      <c r="M9948"/>
    </row>
    <row r="9949" spans="5:13" x14ac:dyDescent="0.25">
      <c r="E9949"/>
      <c r="M9949"/>
    </row>
    <row r="9950" spans="5:13" x14ac:dyDescent="0.25">
      <c r="E9950"/>
      <c r="M9950"/>
    </row>
    <row r="9951" spans="5:13" x14ac:dyDescent="0.25">
      <c r="E9951"/>
      <c r="M9951"/>
    </row>
    <row r="9952" spans="5:13" x14ac:dyDescent="0.25">
      <c r="E9952"/>
      <c r="M9952"/>
    </row>
    <row r="9953" spans="5:13" x14ac:dyDescent="0.25">
      <c r="E9953"/>
      <c r="M9953"/>
    </row>
    <row r="9954" spans="5:13" x14ac:dyDescent="0.25">
      <c r="E9954"/>
      <c r="M9954"/>
    </row>
    <row r="9955" spans="5:13" x14ac:dyDescent="0.25">
      <c r="E9955"/>
      <c r="M9955"/>
    </row>
    <row r="9956" spans="5:13" x14ac:dyDescent="0.25">
      <c r="E9956"/>
      <c r="M9956"/>
    </row>
    <row r="9957" spans="5:13" x14ac:dyDescent="0.25">
      <c r="E9957"/>
      <c r="M9957"/>
    </row>
    <row r="9958" spans="5:13" x14ac:dyDescent="0.25">
      <c r="E9958"/>
      <c r="M9958"/>
    </row>
    <row r="9959" spans="5:13" x14ac:dyDescent="0.25">
      <c r="E9959"/>
      <c r="M9959"/>
    </row>
    <row r="9960" spans="5:13" x14ac:dyDescent="0.25">
      <c r="E9960"/>
      <c r="M9960"/>
    </row>
    <row r="9961" spans="5:13" x14ac:dyDescent="0.25">
      <c r="E9961"/>
      <c r="M9961"/>
    </row>
    <row r="9962" spans="5:13" x14ac:dyDescent="0.25">
      <c r="E9962"/>
      <c r="M9962"/>
    </row>
    <row r="9963" spans="5:13" x14ac:dyDescent="0.25">
      <c r="E9963"/>
      <c r="M9963"/>
    </row>
    <row r="9964" spans="5:13" x14ac:dyDescent="0.25">
      <c r="E9964"/>
      <c r="M9964"/>
    </row>
    <row r="9965" spans="5:13" x14ac:dyDescent="0.25">
      <c r="E9965"/>
      <c r="M9965"/>
    </row>
    <row r="9966" spans="5:13" x14ac:dyDescent="0.25">
      <c r="E9966"/>
      <c r="M9966"/>
    </row>
    <row r="9967" spans="5:13" x14ac:dyDescent="0.25">
      <c r="E9967"/>
      <c r="M9967"/>
    </row>
    <row r="9968" spans="5:13" x14ac:dyDescent="0.25">
      <c r="E9968"/>
      <c r="M9968"/>
    </row>
    <row r="9969" spans="5:13" x14ac:dyDescent="0.25">
      <c r="E9969"/>
      <c r="M9969"/>
    </row>
    <row r="9970" spans="5:13" x14ac:dyDescent="0.25">
      <c r="E9970"/>
      <c r="M9970"/>
    </row>
    <row r="9971" spans="5:13" x14ac:dyDescent="0.25">
      <c r="E9971"/>
      <c r="M9971"/>
    </row>
    <row r="9972" spans="5:13" x14ac:dyDescent="0.25">
      <c r="E9972"/>
      <c r="M9972"/>
    </row>
    <row r="9973" spans="5:13" x14ac:dyDescent="0.25">
      <c r="E9973"/>
      <c r="M9973"/>
    </row>
    <row r="9974" spans="5:13" x14ac:dyDescent="0.25">
      <c r="E9974"/>
      <c r="M9974"/>
    </row>
    <row r="9975" spans="5:13" x14ac:dyDescent="0.25">
      <c r="E9975"/>
      <c r="M9975"/>
    </row>
    <row r="9976" spans="5:13" x14ac:dyDescent="0.25">
      <c r="E9976"/>
      <c r="M9976"/>
    </row>
    <row r="9977" spans="5:13" x14ac:dyDescent="0.25">
      <c r="E9977"/>
      <c r="M9977"/>
    </row>
    <row r="9978" spans="5:13" x14ac:dyDescent="0.25">
      <c r="E9978"/>
      <c r="M9978"/>
    </row>
    <row r="9979" spans="5:13" x14ac:dyDescent="0.25">
      <c r="E9979"/>
      <c r="M9979"/>
    </row>
    <row r="9980" spans="5:13" x14ac:dyDescent="0.25">
      <c r="E9980"/>
      <c r="M9980"/>
    </row>
    <row r="9981" spans="5:13" x14ac:dyDescent="0.25">
      <c r="E9981"/>
      <c r="M9981"/>
    </row>
    <row r="9982" spans="5:13" x14ac:dyDescent="0.25">
      <c r="E9982"/>
      <c r="M9982"/>
    </row>
    <row r="9983" spans="5:13" x14ac:dyDescent="0.25">
      <c r="E9983"/>
      <c r="M9983"/>
    </row>
    <row r="9984" spans="5:13" x14ac:dyDescent="0.25">
      <c r="E9984"/>
      <c r="M9984"/>
    </row>
    <row r="9985" spans="5:13" x14ac:dyDescent="0.25">
      <c r="E9985"/>
      <c r="M9985"/>
    </row>
    <row r="9986" spans="5:13" x14ac:dyDescent="0.25">
      <c r="E9986"/>
      <c r="M9986"/>
    </row>
    <row r="9987" spans="5:13" x14ac:dyDescent="0.25">
      <c r="E9987"/>
      <c r="M9987"/>
    </row>
    <row r="9988" spans="5:13" x14ac:dyDescent="0.25">
      <c r="E9988"/>
      <c r="M9988"/>
    </row>
    <row r="9989" spans="5:13" x14ac:dyDescent="0.25">
      <c r="E9989"/>
      <c r="M9989"/>
    </row>
    <row r="9990" spans="5:13" x14ac:dyDescent="0.25">
      <c r="E9990"/>
      <c r="M9990"/>
    </row>
    <row r="9991" spans="5:13" x14ac:dyDescent="0.25">
      <c r="E9991"/>
      <c r="M9991"/>
    </row>
    <row r="9992" spans="5:13" x14ac:dyDescent="0.25">
      <c r="E9992"/>
      <c r="M9992"/>
    </row>
    <row r="9993" spans="5:13" x14ac:dyDescent="0.25">
      <c r="E9993"/>
      <c r="M9993"/>
    </row>
    <row r="9994" spans="5:13" x14ac:dyDescent="0.25">
      <c r="E9994"/>
      <c r="M9994"/>
    </row>
    <row r="9995" spans="5:13" x14ac:dyDescent="0.25">
      <c r="E9995"/>
      <c r="M9995"/>
    </row>
    <row r="9996" spans="5:13" x14ac:dyDescent="0.25">
      <c r="E9996"/>
      <c r="M9996"/>
    </row>
    <row r="9997" spans="5:13" x14ac:dyDescent="0.25">
      <c r="E9997"/>
      <c r="M9997"/>
    </row>
    <row r="9998" spans="5:13" x14ac:dyDescent="0.25">
      <c r="E9998"/>
      <c r="M9998"/>
    </row>
    <row r="9999" spans="5:13" x14ac:dyDescent="0.25">
      <c r="E9999"/>
      <c r="M9999"/>
    </row>
    <row r="10000" spans="5:13" x14ac:dyDescent="0.25">
      <c r="E10000"/>
      <c r="M10000"/>
    </row>
    <row r="10001" spans="5:13" x14ac:dyDescent="0.25">
      <c r="E10001"/>
      <c r="M10001"/>
    </row>
    <row r="10002" spans="5:13" x14ac:dyDescent="0.25">
      <c r="E10002"/>
      <c r="M10002"/>
    </row>
    <row r="10003" spans="5:13" x14ac:dyDescent="0.25">
      <c r="E10003"/>
      <c r="M10003"/>
    </row>
    <row r="10004" spans="5:13" x14ac:dyDescent="0.25">
      <c r="E10004"/>
      <c r="M10004"/>
    </row>
    <row r="10005" spans="5:13" x14ac:dyDescent="0.25">
      <c r="E10005"/>
      <c r="M10005"/>
    </row>
    <row r="10006" spans="5:13" x14ac:dyDescent="0.25">
      <c r="E10006"/>
      <c r="M10006"/>
    </row>
    <row r="10007" spans="5:13" x14ac:dyDescent="0.25">
      <c r="E10007"/>
      <c r="M10007"/>
    </row>
    <row r="10008" spans="5:13" x14ac:dyDescent="0.25">
      <c r="E10008"/>
      <c r="M10008"/>
    </row>
    <row r="10009" spans="5:13" x14ac:dyDescent="0.25">
      <c r="E10009"/>
      <c r="M10009"/>
    </row>
    <row r="10010" spans="5:13" x14ac:dyDescent="0.25">
      <c r="E10010"/>
      <c r="M10010"/>
    </row>
    <row r="10011" spans="5:13" x14ac:dyDescent="0.25">
      <c r="E10011"/>
      <c r="M10011"/>
    </row>
    <row r="10012" spans="5:13" x14ac:dyDescent="0.25">
      <c r="E10012"/>
      <c r="M10012"/>
    </row>
    <row r="10013" spans="5:13" x14ac:dyDescent="0.25">
      <c r="E10013"/>
      <c r="M10013"/>
    </row>
    <row r="10014" spans="5:13" x14ac:dyDescent="0.25">
      <c r="E10014"/>
      <c r="M10014"/>
    </row>
    <row r="10015" spans="5:13" x14ac:dyDescent="0.25">
      <c r="E10015"/>
      <c r="M10015"/>
    </row>
    <row r="10016" spans="5:13" x14ac:dyDescent="0.25">
      <c r="E10016"/>
      <c r="M10016"/>
    </row>
    <row r="10017" spans="5:13" x14ac:dyDescent="0.25">
      <c r="E10017"/>
      <c r="M10017"/>
    </row>
    <row r="10018" spans="5:13" x14ac:dyDescent="0.25">
      <c r="E10018"/>
      <c r="M10018"/>
    </row>
    <row r="10019" spans="5:13" x14ac:dyDescent="0.25">
      <c r="E10019"/>
      <c r="M10019"/>
    </row>
    <row r="10020" spans="5:13" x14ac:dyDescent="0.25">
      <c r="E10020"/>
      <c r="M10020"/>
    </row>
    <row r="10021" spans="5:13" x14ac:dyDescent="0.25">
      <c r="E10021"/>
      <c r="M10021"/>
    </row>
    <row r="10022" spans="5:13" x14ac:dyDescent="0.25">
      <c r="E10022"/>
      <c r="M10022"/>
    </row>
    <row r="10023" spans="5:13" x14ac:dyDescent="0.25">
      <c r="E10023"/>
      <c r="M10023"/>
    </row>
    <row r="10024" spans="5:13" x14ac:dyDescent="0.25">
      <c r="E10024"/>
      <c r="M10024"/>
    </row>
    <row r="10025" spans="5:13" x14ac:dyDescent="0.25">
      <c r="E10025"/>
      <c r="M10025"/>
    </row>
    <row r="10026" spans="5:13" x14ac:dyDescent="0.25">
      <c r="E10026"/>
      <c r="M10026"/>
    </row>
    <row r="10027" spans="5:13" x14ac:dyDescent="0.25">
      <c r="E10027"/>
      <c r="M10027"/>
    </row>
    <row r="10028" spans="5:13" x14ac:dyDescent="0.25">
      <c r="E10028"/>
      <c r="M10028"/>
    </row>
    <row r="10029" spans="5:13" x14ac:dyDescent="0.25">
      <c r="E10029"/>
      <c r="M10029"/>
    </row>
    <row r="10030" spans="5:13" x14ac:dyDescent="0.25">
      <c r="E10030"/>
      <c r="M10030"/>
    </row>
    <row r="10031" spans="5:13" x14ac:dyDescent="0.25">
      <c r="E10031"/>
      <c r="M10031"/>
    </row>
    <row r="10032" spans="5:13" x14ac:dyDescent="0.25">
      <c r="E10032"/>
      <c r="M10032"/>
    </row>
    <row r="10033" spans="5:13" x14ac:dyDescent="0.25">
      <c r="E10033"/>
      <c r="M10033"/>
    </row>
    <row r="10034" spans="5:13" x14ac:dyDescent="0.25">
      <c r="E10034"/>
      <c r="M10034"/>
    </row>
    <row r="10035" spans="5:13" x14ac:dyDescent="0.25">
      <c r="E10035"/>
      <c r="M10035"/>
    </row>
    <row r="10036" spans="5:13" x14ac:dyDescent="0.25">
      <c r="E10036"/>
      <c r="M10036"/>
    </row>
    <row r="10037" spans="5:13" x14ac:dyDescent="0.25">
      <c r="E10037"/>
      <c r="M10037"/>
    </row>
    <row r="10038" spans="5:13" x14ac:dyDescent="0.25">
      <c r="E10038"/>
      <c r="M10038"/>
    </row>
    <row r="10039" spans="5:13" x14ac:dyDescent="0.25">
      <c r="E10039"/>
      <c r="M10039"/>
    </row>
    <row r="10040" spans="5:13" x14ac:dyDescent="0.25">
      <c r="E10040"/>
      <c r="M10040"/>
    </row>
    <row r="10041" spans="5:13" x14ac:dyDescent="0.25">
      <c r="E10041"/>
      <c r="M10041"/>
    </row>
    <row r="10042" spans="5:13" x14ac:dyDescent="0.25">
      <c r="E10042"/>
      <c r="M10042"/>
    </row>
    <row r="10043" spans="5:13" x14ac:dyDescent="0.25">
      <c r="E10043"/>
      <c r="M10043"/>
    </row>
    <row r="10044" spans="5:13" x14ac:dyDescent="0.25">
      <c r="E10044"/>
      <c r="M10044"/>
    </row>
    <row r="10045" spans="5:13" x14ac:dyDescent="0.25">
      <c r="E10045"/>
      <c r="M10045"/>
    </row>
    <row r="10046" spans="5:13" x14ac:dyDescent="0.25">
      <c r="E10046"/>
      <c r="M10046"/>
    </row>
    <row r="10047" spans="5:13" x14ac:dyDescent="0.25">
      <c r="E10047"/>
      <c r="M10047"/>
    </row>
    <row r="10048" spans="5:13" x14ac:dyDescent="0.25">
      <c r="E10048"/>
      <c r="M10048"/>
    </row>
    <row r="10049" spans="5:13" x14ac:dyDescent="0.25">
      <c r="E10049"/>
      <c r="M10049"/>
    </row>
    <row r="10050" spans="5:13" x14ac:dyDescent="0.25">
      <c r="E10050"/>
      <c r="M10050"/>
    </row>
    <row r="10051" spans="5:13" x14ac:dyDescent="0.25">
      <c r="E10051"/>
      <c r="M10051"/>
    </row>
    <row r="10052" spans="5:13" x14ac:dyDescent="0.25">
      <c r="E10052"/>
      <c r="M10052"/>
    </row>
    <row r="10053" spans="5:13" x14ac:dyDescent="0.25">
      <c r="E10053"/>
      <c r="M10053"/>
    </row>
    <row r="10054" spans="5:13" x14ac:dyDescent="0.25">
      <c r="E10054"/>
      <c r="M10054"/>
    </row>
    <row r="10055" spans="5:13" x14ac:dyDescent="0.25">
      <c r="E10055"/>
      <c r="M10055"/>
    </row>
    <row r="10056" spans="5:13" x14ac:dyDescent="0.25">
      <c r="E10056"/>
      <c r="M10056"/>
    </row>
    <row r="10057" spans="5:13" x14ac:dyDescent="0.25">
      <c r="E10057"/>
      <c r="M10057"/>
    </row>
    <row r="10058" spans="5:13" x14ac:dyDescent="0.25">
      <c r="E10058"/>
      <c r="M10058"/>
    </row>
    <row r="10059" spans="5:13" x14ac:dyDescent="0.25">
      <c r="E10059"/>
      <c r="M10059"/>
    </row>
    <row r="10060" spans="5:13" x14ac:dyDescent="0.25">
      <c r="E10060"/>
      <c r="M10060"/>
    </row>
    <row r="10061" spans="5:13" x14ac:dyDescent="0.25">
      <c r="E10061"/>
      <c r="M10061"/>
    </row>
    <row r="10062" spans="5:13" x14ac:dyDescent="0.25">
      <c r="E10062"/>
      <c r="M10062"/>
    </row>
    <row r="10063" spans="5:13" x14ac:dyDescent="0.25">
      <c r="E10063"/>
      <c r="M10063"/>
    </row>
    <row r="10064" spans="5:13" x14ac:dyDescent="0.25">
      <c r="E10064"/>
      <c r="M10064"/>
    </row>
    <row r="10065" spans="5:13" x14ac:dyDescent="0.25">
      <c r="E10065"/>
      <c r="M10065"/>
    </row>
    <row r="10066" spans="5:13" x14ac:dyDescent="0.25">
      <c r="E10066"/>
      <c r="M10066"/>
    </row>
    <row r="10067" spans="5:13" x14ac:dyDescent="0.25">
      <c r="E10067"/>
      <c r="M10067"/>
    </row>
    <row r="10068" spans="5:13" x14ac:dyDescent="0.25">
      <c r="E10068"/>
      <c r="M10068"/>
    </row>
    <row r="10069" spans="5:13" x14ac:dyDescent="0.25">
      <c r="E10069"/>
      <c r="M10069"/>
    </row>
    <row r="10070" spans="5:13" x14ac:dyDescent="0.25">
      <c r="E10070"/>
      <c r="M10070"/>
    </row>
    <row r="10071" spans="5:13" x14ac:dyDescent="0.25">
      <c r="E10071"/>
      <c r="M10071"/>
    </row>
    <row r="10072" spans="5:13" x14ac:dyDescent="0.25">
      <c r="E10072"/>
      <c r="M10072"/>
    </row>
    <row r="10073" spans="5:13" x14ac:dyDescent="0.25">
      <c r="E10073"/>
      <c r="M10073"/>
    </row>
    <row r="10074" spans="5:13" x14ac:dyDescent="0.25">
      <c r="E10074"/>
      <c r="M10074"/>
    </row>
    <row r="10075" spans="5:13" x14ac:dyDescent="0.25">
      <c r="E10075"/>
      <c r="M10075"/>
    </row>
    <row r="10076" spans="5:13" x14ac:dyDescent="0.25">
      <c r="E10076"/>
      <c r="M10076"/>
    </row>
    <row r="10077" spans="5:13" x14ac:dyDescent="0.25">
      <c r="E10077"/>
      <c r="M10077"/>
    </row>
    <row r="10078" spans="5:13" x14ac:dyDescent="0.25">
      <c r="E10078"/>
      <c r="M10078"/>
    </row>
    <row r="10079" spans="5:13" x14ac:dyDescent="0.25">
      <c r="E10079"/>
      <c r="M10079"/>
    </row>
    <row r="10080" spans="5:13" x14ac:dyDescent="0.25">
      <c r="E10080"/>
      <c r="M10080"/>
    </row>
    <row r="10081" spans="5:13" x14ac:dyDescent="0.25">
      <c r="E10081"/>
      <c r="M10081"/>
    </row>
    <row r="10082" spans="5:13" x14ac:dyDescent="0.25">
      <c r="E10082"/>
      <c r="M10082"/>
    </row>
    <row r="10083" spans="5:13" x14ac:dyDescent="0.25">
      <c r="E10083"/>
      <c r="M10083"/>
    </row>
    <row r="10084" spans="5:13" x14ac:dyDescent="0.25">
      <c r="E10084"/>
      <c r="M10084"/>
    </row>
    <row r="10085" spans="5:13" x14ac:dyDescent="0.25">
      <c r="E10085"/>
      <c r="M10085"/>
    </row>
    <row r="10086" spans="5:13" x14ac:dyDescent="0.25">
      <c r="E10086"/>
      <c r="M10086"/>
    </row>
    <row r="10087" spans="5:13" x14ac:dyDescent="0.25">
      <c r="E10087"/>
      <c r="M10087"/>
    </row>
    <row r="10088" spans="5:13" x14ac:dyDescent="0.25">
      <c r="E10088"/>
      <c r="M10088"/>
    </row>
    <row r="10089" spans="5:13" x14ac:dyDescent="0.25">
      <c r="E10089"/>
      <c r="M10089"/>
    </row>
    <row r="10090" spans="5:13" x14ac:dyDescent="0.25">
      <c r="E10090"/>
      <c r="M10090"/>
    </row>
    <row r="10091" spans="5:13" x14ac:dyDescent="0.25">
      <c r="E10091"/>
      <c r="M10091"/>
    </row>
    <row r="10092" spans="5:13" x14ac:dyDescent="0.25">
      <c r="E10092"/>
      <c r="M10092"/>
    </row>
    <row r="10093" spans="5:13" x14ac:dyDescent="0.25">
      <c r="E10093"/>
      <c r="M10093"/>
    </row>
    <row r="10094" spans="5:13" x14ac:dyDescent="0.25">
      <c r="E10094"/>
      <c r="M10094"/>
    </row>
    <row r="10095" spans="5:13" x14ac:dyDescent="0.25">
      <c r="E10095"/>
      <c r="M10095"/>
    </row>
    <row r="10096" spans="5:13" x14ac:dyDescent="0.25">
      <c r="E10096"/>
      <c r="M10096"/>
    </row>
    <row r="10097" spans="5:13" x14ac:dyDescent="0.25">
      <c r="E10097"/>
      <c r="M10097"/>
    </row>
    <row r="10098" spans="5:13" x14ac:dyDescent="0.25">
      <c r="E10098"/>
      <c r="M10098"/>
    </row>
    <row r="10099" spans="5:13" x14ac:dyDescent="0.25">
      <c r="E10099"/>
      <c r="M10099"/>
    </row>
    <row r="10100" spans="5:13" x14ac:dyDescent="0.25">
      <c r="E10100"/>
      <c r="M10100"/>
    </row>
    <row r="10101" spans="5:13" x14ac:dyDescent="0.25">
      <c r="E10101"/>
      <c r="M10101"/>
    </row>
    <row r="10102" spans="5:13" x14ac:dyDescent="0.25">
      <c r="E10102"/>
      <c r="M10102"/>
    </row>
    <row r="10103" spans="5:13" x14ac:dyDescent="0.25">
      <c r="E10103"/>
      <c r="M10103"/>
    </row>
    <row r="10104" spans="5:13" x14ac:dyDescent="0.25">
      <c r="E10104"/>
      <c r="M10104"/>
    </row>
    <row r="10105" spans="5:13" x14ac:dyDescent="0.25">
      <c r="E10105"/>
      <c r="M10105"/>
    </row>
    <row r="10106" spans="5:13" x14ac:dyDescent="0.25">
      <c r="E10106"/>
      <c r="M10106"/>
    </row>
    <row r="10107" spans="5:13" x14ac:dyDescent="0.25">
      <c r="E10107"/>
      <c r="M10107"/>
    </row>
    <row r="10108" spans="5:13" x14ac:dyDescent="0.25">
      <c r="E10108"/>
      <c r="M10108"/>
    </row>
    <row r="10109" spans="5:13" x14ac:dyDescent="0.25">
      <c r="E10109"/>
      <c r="M10109"/>
    </row>
    <row r="10110" spans="5:13" x14ac:dyDescent="0.25">
      <c r="E10110"/>
      <c r="M10110"/>
    </row>
    <row r="10111" spans="5:13" x14ac:dyDescent="0.25">
      <c r="E10111"/>
      <c r="M10111"/>
    </row>
    <row r="10112" spans="5:13" x14ac:dyDescent="0.25">
      <c r="E10112"/>
      <c r="M10112"/>
    </row>
    <row r="10113" spans="5:13" x14ac:dyDescent="0.25">
      <c r="E10113"/>
      <c r="M10113"/>
    </row>
    <row r="10114" spans="5:13" x14ac:dyDescent="0.25">
      <c r="E10114"/>
      <c r="M10114"/>
    </row>
    <row r="10115" spans="5:13" x14ac:dyDescent="0.25">
      <c r="E10115"/>
      <c r="M10115"/>
    </row>
    <row r="10116" spans="5:13" x14ac:dyDescent="0.25">
      <c r="E10116"/>
      <c r="M10116"/>
    </row>
    <row r="10117" spans="5:13" x14ac:dyDescent="0.25">
      <c r="E10117"/>
      <c r="M10117"/>
    </row>
    <row r="10118" spans="5:13" x14ac:dyDescent="0.25">
      <c r="E10118"/>
      <c r="M10118"/>
    </row>
    <row r="10119" spans="5:13" x14ac:dyDescent="0.25">
      <c r="E10119"/>
      <c r="M10119"/>
    </row>
    <row r="10120" spans="5:13" x14ac:dyDescent="0.25">
      <c r="E10120"/>
      <c r="M10120"/>
    </row>
    <row r="10121" spans="5:13" x14ac:dyDescent="0.25">
      <c r="E10121"/>
      <c r="M10121"/>
    </row>
    <row r="10122" spans="5:13" x14ac:dyDescent="0.25">
      <c r="E10122"/>
      <c r="M10122"/>
    </row>
    <row r="10123" spans="5:13" x14ac:dyDescent="0.25">
      <c r="E10123"/>
      <c r="M10123"/>
    </row>
    <row r="10124" spans="5:13" x14ac:dyDescent="0.25">
      <c r="E10124"/>
      <c r="M10124"/>
    </row>
    <row r="10125" spans="5:13" x14ac:dyDescent="0.25">
      <c r="E10125"/>
      <c r="M10125"/>
    </row>
    <row r="10126" spans="5:13" x14ac:dyDescent="0.25">
      <c r="E10126"/>
      <c r="M10126"/>
    </row>
    <row r="10127" spans="5:13" x14ac:dyDescent="0.25">
      <c r="E10127"/>
      <c r="M10127"/>
    </row>
    <row r="10128" spans="5:13" x14ac:dyDescent="0.25">
      <c r="E10128"/>
      <c r="M10128"/>
    </row>
    <row r="10129" spans="5:13" x14ac:dyDescent="0.25">
      <c r="E10129"/>
      <c r="M10129"/>
    </row>
    <row r="10130" spans="5:13" x14ac:dyDescent="0.25">
      <c r="E10130"/>
      <c r="M10130"/>
    </row>
    <row r="10131" spans="5:13" x14ac:dyDescent="0.25">
      <c r="E10131"/>
      <c r="M10131"/>
    </row>
    <row r="10132" spans="5:13" x14ac:dyDescent="0.25">
      <c r="E10132"/>
      <c r="M10132"/>
    </row>
    <row r="10133" spans="5:13" x14ac:dyDescent="0.25">
      <c r="E10133"/>
      <c r="M10133"/>
    </row>
    <row r="10134" spans="5:13" x14ac:dyDescent="0.25">
      <c r="E10134"/>
      <c r="M10134"/>
    </row>
    <row r="10135" spans="5:13" x14ac:dyDescent="0.25">
      <c r="E10135"/>
      <c r="M10135"/>
    </row>
    <row r="10136" spans="5:13" x14ac:dyDescent="0.25">
      <c r="E10136"/>
      <c r="M10136"/>
    </row>
    <row r="10137" spans="5:13" x14ac:dyDescent="0.25">
      <c r="E10137"/>
      <c r="M10137"/>
    </row>
    <row r="10138" spans="5:13" x14ac:dyDescent="0.25">
      <c r="E10138"/>
      <c r="M10138"/>
    </row>
    <row r="10139" spans="5:13" x14ac:dyDescent="0.25">
      <c r="E10139"/>
      <c r="M10139"/>
    </row>
    <row r="10140" spans="5:13" x14ac:dyDescent="0.25">
      <c r="E10140"/>
      <c r="M10140"/>
    </row>
    <row r="10141" spans="5:13" x14ac:dyDescent="0.25">
      <c r="E10141"/>
      <c r="M10141"/>
    </row>
    <row r="10142" spans="5:13" x14ac:dyDescent="0.25">
      <c r="E10142"/>
      <c r="M10142"/>
    </row>
    <row r="10143" spans="5:13" x14ac:dyDescent="0.25">
      <c r="E10143"/>
      <c r="M10143"/>
    </row>
    <row r="10144" spans="5:13" x14ac:dyDescent="0.25">
      <c r="E10144"/>
      <c r="M10144"/>
    </row>
    <row r="10145" spans="5:13" x14ac:dyDescent="0.25">
      <c r="E10145"/>
      <c r="M10145"/>
    </row>
    <row r="10146" spans="5:13" x14ac:dyDescent="0.25">
      <c r="E10146"/>
      <c r="M10146"/>
    </row>
    <row r="10147" spans="5:13" x14ac:dyDescent="0.25">
      <c r="E10147"/>
      <c r="M10147"/>
    </row>
    <row r="10148" spans="5:13" x14ac:dyDescent="0.25">
      <c r="E10148"/>
      <c r="M10148"/>
    </row>
    <row r="10149" spans="5:13" x14ac:dyDescent="0.25">
      <c r="E10149"/>
      <c r="M10149"/>
    </row>
    <row r="10150" spans="5:13" x14ac:dyDescent="0.25">
      <c r="E10150"/>
      <c r="M10150"/>
    </row>
    <row r="10151" spans="5:13" x14ac:dyDescent="0.25">
      <c r="E10151"/>
      <c r="M10151"/>
    </row>
    <row r="10152" spans="5:13" x14ac:dyDescent="0.25">
      <c r="E10152"/>
      <c r="M10152"/>
    </row>
    <row r="10153" spans="5:13" x14ac:dyDescent="0.25">
      <c r="E10153"/>
      <c r="M10153"/>
    </row>
    <row r="10154" spans="5:13" x14ac:dyDescent="0.25">
      <c r="E10154"/>
      <c r="M10154"/>
    </row>
    <row r="10155" spans="5:13" x14ac:dyDescent="0.25">
      <c r="E10155"/>
      <c r="M10155"/>
    </row>
    <row r="10156" spans="5:13" x14ac:dyDescent="0.25">
      <c r="E10156"/>
      <c r="M10156"/>
    </row>
    <row r="10157" spans="5:13" x14ac:dyDescent="0.25">
      <c r="E10157"/>
      <c r="M10157"/>
    </row>
    <row r="10158" spans="5:13" x14ac:dyDescent="0.25">
      <c r="E10158"/>
      <c r="M10158"/>
    </row>
    <row r="10159" spans="5:13" x14ac:dyDescent="0.25">
      <c r="E10159"/>
      <c r="M10159"/>
    </row>
    <row r="10160" spans="5:13" x14ac:dyDescent="0.25">
      <c r="E10160"/>
      <c r="M10160"/>
    </row>
    <row r="10161" spans="5:13" x14ac:dyDescent="0.25">
      <c r="E10161"/>
      <c r="M10161"/>
    </row>
    <row r="10162" spans="5:13" x14ac:dyDescent="0.25">
      <c r="E10162"/>
      <c r="M10162"/>
    </row>
    <row r="10163" spans="5:13" x14ac:dyDescent="0.25">
      <c r="E10163"/>
      <c r="M10163"/>
    </row>
    <row r="10164" spans="5:13" x14ac:dyDescent="0.25">
      <c r="E10164"/>
      <c r="M10164"/>
    </row>
    <row r="10165" spans="5:13" x14ac:dyDescent="0.25">
      <c r="E10165"/>
      <c r="M10165"/>
    </row>
    <row r="10166" spans="5:13" x14ac:dyDescent="0.25">
      <c r="E10166"/>
      <c r="M10166"/>
    </row>
    <row r="10167" spans="5:13" x14ac:dyDescent="0.25">
      <c r="E10167"/>
      <c r="M10167"/>
    </row>
    <row r="10168" spans="5:13" x14ac:dyDescent="0.25">
      <c r="E10168"/>
      <c r="M10168"/>
    </row>
    <row r="10169" spans="5:13" x14ac:dyDescent="0.25">
      <c r="E10169"/>
      <c r="M10169"/>
    </row>
    <row r="10170" spans="5:13" x14ac:dyDescent="0.25">
      <c r="E10170"/>
      <c r="M10170"/>
    </row>
    <row r="10171" spans="5:13" x14ac:dyDescent="0.25">
      <c r="E10171"/>
      <c r="M10171"/>
    </row>
    <row r="10172" spans="5:13" x14ac:dyDescent="0.25">
      <c r="E10172"/>
      <c r="M10172"/>
    </row>
    <row r="10173" spans="5:13" x14ac:dyDescent="0.25">
      <c r="E10173"/>
      <c r="M10173"/>
    </row>
    <row r="10174" spans="5:13" x14ac:dyDescent="0.25">
      <c r="E10174"/>
      <c r="M10174"/>
    </row>
    <row r="10175" spans="5:13" x14ac:dyDescent="0.25">
      <c r="E10175"/>
      <c r="M10175"/>
    </row>
    <row r="10176" spans="5:13" x14ac:dyDescent="0.25">
      <c r="E10176"/>
      <c r="M10176"/>
    </row>
    <row r="10177" spans="5:13" x14ac:dyDescent="0.25">
      <c r="E10177"/>
      <c r="M10177"/>
    </row>
    <row r="10178" spans="5:13" x14ac:dyDescent="0.25">
      <c r="E10178"/>
      <c r="M10178"/>
    </row>
    <row r="10179" spans="5:13" x14ac:dyDescent="0.25">
      <c r="E10179"/>
      <c r="M10179"/>
    </row>
    <row r="10180" spans="5:13" x14ac:dyDescent="0.25">
      <c r="E10180"/>
      <c r="M10180"/>
    </row>
    <row r="10181" spans="5:13" x14ac:dyDescent="0.25">
      <c r="E10181"/>
      <c r="M10181"/>
    </row>
    <row r="10182" spans="5:13" x14ac:dyDescent="0.25">
      <c r="E10182"/>
      <c r="M10182"/>
    </row>
    <row r="10183" spans="5:13" x14ac:dyDescent="0.25">
      <c r="E10183"/>
      <c r="M10183"/>
    </row>
    <row r="10184" spans="5:13" x14ac:dyDescent="0.25">
      <c r="E10184"/>
      <c r="M10184"/>
    </row>
    <row r="10185" spans="5:13" x14ac:dyDescent="0.25">
      <c r="E10185"/>
      <c r="M10185"/>
    </row>
    <row r="10186" spans="5:13" x14ac:dyDescent="0.25">
      <c r="E10186"/>
      <c r="M10186"/>
    </row>
    <row r="10187" spans="5:13" x14ac:dyDescent="0.25">
      <c r="E10187"/>
      <c r="M10187"/>
    </row>
    <row r="10188" spans="5:13" x14ac:dyDescent="0.25">
      <c r="E10188"/>
      <c r="M10188"/>
    </row>
    <row r="10189" spans="5:13" x14ac:dyDescent="0.25">
      <c r="E10189"/>
      <c r="M10189"/>
    </row>
    <row r="10190" spans="5:13" x14ac:dyDescent="0.25">
      <c r="E10190"/>
      <c r="M10190"/>
    </row>
    <row r="10191" spans="5:13" x14ac:dyDescent="0.25">
      <c r="E10191"/>
      <c r="M10191"/>
    </row>
    <row r="10192" spans="5:13" x14ac:dyDescent="0.25">
      <c r="E10192"/>
      <c r="M10192"/>
    </row>
    <row r="10193" spans="5:13" x14ac:dyDescent="0.25">
      <c r="E10193"/>
      <c r="M10193"/>
    </row>
    <row r="10194" spans="5:13" x14ac:dyDescent="0.25">
      <c r="E10194"/>
      <c r="M10194"/>
    </row>
    <row r="10195" spans="5:13" x14ac:dyDescent="0.25">
      <c r="E10195"/>
      <c r="M10195"/>
    </row>
    <row r="10196" spans="5:13" x14ac:dyDescent="0.25">
      <c r="E10196"/>
      <c r="M10196"/>
    </row>
    <row r="10197" spans="5:13" x14ac:dyDescent="0.25">
      <c r="E10197"/>
      <c r="M10197"/>
    </row>
    <row r="10198" spans="5:13" x14ac:dyDescent="0.25">
      <c r="E10198"/>
      <c r="M10198"/>
    </row>
    <row r="10199" spans="5:13" x14ac:dyDescent="0.25">
      <c r="E10199"/>
      <c r="M10199"/>
    </row>
    <row r="10200" spans="5:13" x14ac:dyDescent="0.25">
      <c r="E10200"/>
      <c r="M10200"/>
    </row>
    <row r="10201" spans="5:13" x14ac:dyDescent="0.25">
      <c r="E10201"/>
      <c r="M10201"/>
    </row>
    <row r="10202" spans="5:13" x14ac:dyDescent="0.25">
      <c r="E10202"/>
      <c r="M10202"/>
    </row>
    <row r="10203" spans="5:13" x14ac:dyDescent="0.25">
      <c r="E10203"/>
      <c r="M10203"/>
    </row>
    <row r="10204" spans="5:13" x14ac:dyDescent="0.25">
      <c r="E10204"/>
      <c r="M10204"/>
    </row>
    <row r="10205" spans="5:13" x14ac:dyDescent="0.25">
      <c r="E10205"/>
      <c r="M10205"/>
    </row>
    <row r="10206" spans="5:13" x14ac:dyDescent="0.25">
      <c r="E10206"/>
      <c r="M10206"/>
    </row>
    <row r="10207" spans="5:13" x14ac:dyDescent="0.25">
      <c r="E10207"/>
      <c r="M10207"/>
    </row>
    <row r="10208" spans="5:13" x14ac:dyDescent="0.25">
      <c r="E10208"/>
      <c r="M10208"/>
    </row>
    <row r="10209" spans="5:13" x14ac:dyDescent="0.25">
      <c r="E10209"/>
      <c r="M10209"/>
    </row>
    <row r="10210" spans="5:13" x14ac:dyDescent="0.25">
      <c r="E10210"/>
      <c r="M10210"/>
    </row>
    <row r="10211" spans="5:13" x14ac:dyDescent="0.25">
      <c r="E10211"/>
      <c r="M10211"/>
    </row>
    <row r="10212" spans="5:13" x14ac:dyDescent="0.25">
      <c r="E10212"/>
      <c r="M10212"/>
    </row>
    <row r="10213" spans="5:13" x14ac:dyDescent="0.25">
      <c r="E10213"/>
      <c r="M10213"/>
    </row>
    <row r="10214" spans="5:13" x14ac:dyDescent="0.25">
      <c r="E10214"/>
      <c r="M10214"/>
    </row>
    <row r="10215" spans="5:13" x14ac:dyDescent="0.25">
      <c r="E10215"/>
      <c r="M10215"/>
    </row>
    <row r="10216" spans="5:13" x14ac:dyDescent="0.25">
      <c r="E10216"/>
      <c r="M10216"/>
    </row>
    <row r="10217" spans="5:13" x14ac:dyDescent="0.25">
      <c r="E10217"/>
      <c r="M10217"/>
    </row>
    <row r="10218" spans="5:13" x14ac:dyDescent="0.25">
      <c r="E10218"/>
      <c r="M10218"/>
    </row>
    <row r="10219" spans="5:13" x14ac:dyDescent="0.25">
      <c r="E10219"/>
      <c r="M10219"/>
    </row>
    <row r="10220" spans="5:13" x14ac:dyDescent="0.25">
      <c r="E10220"/>
      <c r="M10220"/>
    </row>
    <row r="10221" spans="5:13" x14ac:dyDescent="0.25">
      <c r="E10221"/>
      <c r="M10221"/>
    </row>
    <row r="10222" spans="5:13" x14ac:dyDescent="0.25">
      <c r="E10222"/>
      <c r="M10222"/>
    </row>
    <row r="10223" spans="5:13" x14ac:dyDescent="0.25">
      <c r="E10223"/>
      <c r="M10223"/>
    </row>
    <row r="10224" spans="5:13" x14ac:dyDescent="0.25">
      <c r="E10224"/>
      <c r="M10224"/>
    </row>
    <row r="10225" spans="5:13" x14ac:dyDescent="0.25">
      <c r="E10225"/>
      <c r="M10225"/>
    </row>
    <row r="10226" spans="5:13" x14ac:dyDescent="0.25">
      <c r="E10226"/>
      <c r="M10226"/>
    </row>
    <row r="10227" spans="5:13" x14ac:dyDescent="0.25">
      <c r="E10227"/>
      <c r="M10227"/>
    </row>
    <row r="10228" spans="5:13" x14ac:dyDescent="0.25">
      <c r="E10228"/>
      <c r="M10228"/>
    </row>
    <row r="10229" spans="5:13" x14ac:dyDescent="0.25">
      <c r="E10229"/>
      <c r="M10229"/>
    </row>
    <row r="10230" spans="5:13" x14ac:dyDescent="0.25">
      <c r="E10230"/>
      <c r="M10230"/>
    </row>
    <row r="10231" spans="5:13" x14ac:dyDescent="0.25">
      <c r="E10231"/>
      <c r="M10231"/>
    </row>
    <row r="10232" spans="5:13" x14ac:dyDescent="0.25">
      <c r="E10232"/>
      <c r="M10232"/>
    </row>
    <row r="10233" spans="5:13" x14ac:dyDescent="0.25">
      <c r="E10233"/>
      <c r="M10233"/>
    </row>
    <row r="10234" spans="5:13" x14ac:dyDescent="0.25">
      <c r="E10234"/>
      <c r="M10234"/>
    </row>
    <row r="10235" spans="5:13" x14ac:dyDescent="0.25">
      <c r="E10235"/>
      <c r="M10235"/>
    </row>
    <row r="10236" spans="5:13" x14ac:dyDescent="0.25">
      <c r="E10236"/>
      <c r="M10236"/>
    </row>
    <row r="10237" spans="5:13" x14ac:dyDescent="0.25">
      <c r="E10237"/>
      <c r="M10237"/>
    </row>
    <row r="10238" spans="5:13" x14ac:dyDescent="0.25">
      <c r="E10238"/>
      <c r="M10238"/>
    </row>
    <row r="10239" spans="5:13" x14ac:dyDescent="0.25">
      <c r="E10239"/>
      <c r="M10239"/>
    </row>
    <row r="10240" spans="5:13" x14ac:dyDescent="0.25">
      <c r="E10240"/>
      <c r="M10240"/>
    </row>
    <row r="10241" spans="5:13" x14ac:dyDescent="0.25">
      <c r="E10241"/>
      <c r="M10241"/>
    </row>
    <row r="10242" spans="5:13" x14ac:dyDescent="0.25">
      <c r="E10242"/>
      <c r="M10242"/>
    </row>
    <row r="10243" spans="5:13" x14ac:dyDescent="0.25">
      <c r="E10243"/>
      <c r="M10243"/>
    </row>
    <row r="10244" spans="5:13" x14ac:dyDescent="0.25">
      <c r="E10244"/>
      <c r="M10244"/>
    </row>
    <row r="10245" spans="5:13" x14ac:dyDescent="0.25">
      <c r="E10245"/>
      <c r="M10245"/>
    </row>
    <row r="10246" spans="5:13" x14ac:dyDescent="0.25">
      <c r="E10246"/>
      <c r="M10246"/>
    </row>
    <row r="10247" spans="5:13" x14ac:dyDescent="0.25">
      <c r="E10247"/>
      <c r="M10247"/>
    </row>
    <row r="10248" spans="5:13" x14ac:dyDescent="0.25">
      <c r="E10248"/>
      <c r="M10248"/>
    </row>
    <row r="10249" spans="5:13" x14ac:dyDescent="0.25">
      <c r="E10249"/>
      <c r="M10249"/>
    </row>
    <row r="10250" spans="5:13" x14ac:dyDescent="0.25">
      <c r="E10250"/>
      <c r="M10250"/>
    </row>
    <row r="10251" spans="5:13" x14ac:dyDescent="0.25">
      <c r="E10251"/>
      <c r="M10251"/>
    </row>
    <row r="10252" spans="5:13" x14ac:dyDescent="0.25">
      <c r="E10252"/>
      <c r="M10252"/>
    </row>
    <row r="10253" spans="5:13" x14ac:dyDescent="0.25">
      <c r="E10253"/>
      <c r="M10253"/>
    </row>
    <row r="10254" spans="5:13" x14ac:dyDescent="0.25">
      <c r="E10254"/>
      <c r="M10254"/>
    </row>
    <row r="10255" spans="5:13" x14ac:dyDescent="0.25">
      <c r="E10255"/>
      <c r="M10255"/>
    </row>
    <row r="10256" spans="5:13" x14ac:dyDescent="0.25">
      <c r="E10256"/>
      <c r="M10256"/>
    </row>
    <row r="10257" spans="5:13" x14ac:dyDescent="0.25">
      <c r="E10257"/>
      <c r="M10257"/>
    </row>
    <row r="10258" spans="5:13" x14ac:dyDescent="0.25">
      <c r="E10258"/>
      <c r="M10258"/>
    </row>
    <row r="10259" spans="5:13" x14ac:dyDescent="0.25">
      <c r="E10259"/>
      <c r="M10259"/>
    </row>
    <row r="10260" spans="5:13" x14ac:dyDescent="0.25">
      <c r="E10260"/>
      <c r="M10260"/>
    </row>
    <row r="10261" spans="5:13" x14ac:dyDescent="0.25">
      <c r="E10261"/>
      <c r="M10261"/>
    </row>
    <row r="10262" spans="5:13" x14ac:dyDescent="0.25">
      <c r="E10262"/>
      <c r="M10262"/>
    </row>
    <row r="10263" spans="5:13" x14ac:dyDescent="0.25">
      <c r="E10263"/>
      <c r="M10263"/>
    </row>
    <row r="10264" spans="5:13" x14ac:dyDescent="0.25">
      <c r="E10264"/>
      <c r="M10264"/>
    </row>
    <row r="10265" spans="5:13" x14ac:dyDescent="0.25">
      <c r="E10265"/>
      <c r="M10265"/>
    </row>
    <row r="10266" spans="5:13" x14ac:dyDescent="0.25">
      <c r="E10266"/>
      <c r="M10266"/>
    </row>
    <row r="10267" spans="5:13" x14ac:dyDescent="0.25">
      <c r="E10267"/>
      <c r="M10267"/>
    </row>
    <row r="10268" spans="5:13" x14ac:dyDescent="0.25">
      <c r="E10268"/>
      <c r="M10268"/>
    </row>
    <row r="10269" spans="5:13" x14ac:dyDescent="0.25">
      <c r="E10269"/>
      <c r="M10269"/>
    </row>
    <row r="10270" spans="5:13" x14ac:dyDescent="0.25">
      <c r="E10270"/>
      <c r="M10270"/>
    </row>
    <row r="10271" spans="5:13" x14ac:dyDescent="0.25">
      <c r="E10271"/>
      <c r="M10271"/>
    </row>
    <row r="10272" spans="5:13" x14ac:dyDescent="0.25">
      <c r="E10272"/>
      <c r="M10272"/>
    </row>
    <row r="10273" spans="5:13" x14ac:dyDescent="0.25">
      <c r="E10273"/>
      <c r="M10273"/>
    </row>
    <row r="10274" spans="5:13" x14ac:dyDescent="0.25">
      <c r="E10274"/>
      <c r="M10274"/>
    </row>
    <row r="10275" spans="5:13" x14ac:dyDescent="0.25">
      <c r="E10275"/>
      <c r="M10275"/>
    </row>
    <row r="10276" spans="5:13" x14ac:dyDescent="0.25">
      <c r="E10276"/>
      <c r="M10276"/>
    </row>
    <row r="10277" spans="5:13" x14ac:dyDescent="0.25">
      <c r="E10277"/>
      <c r="M10277"/>
    </row>
    <row r="10278" spans="5:13" x14ac:dyDescent="0.25">
      <c r="E10278"/>
      <c r="M10278"/>
    </row>
    <row r="10279" spans="5:13" x14ac:dyDescent="0.25">
      <c r="E10279"/>
      <c r="M10279"/>
    </row>
    <row r="10280" spans="5:13" x14ac:dyDescent="0.25">
      <c r="E10280"/>
      <c r="M10280"/>
    </row>
    <row r="10281" spans="5:13" x14ac:dyDescent="0.25">
      <c r="E10281"/>
      <c r="M10281"/>
    </row>
    <row r="10282" spans="5:13" x14ac:dyDescent="0.25">
      <c r="E10282"/>
      <c r="M10282"/>
    </row>
    <row r="10283" spans="5:13" x14ac:dyDescent="0.25">
      <c r="E10283"/>
      <c r="M10283"/>
    </row>
    <row r="10284" spans="5:13" x14ac:dyDescent="0.25">
      <c r="E10284"/>
      <c r="M10284"/>
    </row>
    <row r="10285" spans="5:13" x14ac:dyDescent="0.25">
      <c r="E10285"/>
      <c r="M10285"/>
    </row>
    <row r="10286" spans="5:13" x14ac:dyDescent="0.25">
      <c r="E10286"/>
      <c r="M10286"/>
    </row>
    <row r="10287" spans="5:13" x14ac:dyDescent="0.25">
      <c r="E10287"/>
      <c r="M10287"/>
    </row>
    <row r="10288" spans="5:13" x14ac:dyDescent="0.25">
      <c r="E10288"/>
      <c r="M10288"/>
    </row>
    <row r="10289" spans="5:13" x14ac:dyDescent="0.25">
      <c r="E10289"/>
      <c r="M10289"/>
    </row>
    <row r="10290" spans="5:13" x14ac:dyDescent="0.25">
      <c r="E10290"/>
      <c r="M10290"/>
    </row>
    <row r="10291" spans="5:13" x14ac:dyDescent="0.25">
      <c r="E10291"/>
      <c r="M10291"/>
    </row>
    <row r="10292" spans="5:13" x14ac:dyDescent="0.25">
      <c r="E10292"/>
      <c r="M10292"/>
    </row>
    <row r="10293" spans="5:13" x14ac:dyDescent="0.25">
      <c r="E10293"/>
      <c r="M10293"/>
    </row>
    <row r="10294" spans="5:13" x14ac:dyDescent="0.25">
      <c r="E10294"/>
      <c r="M10294"/>
    </row>
    <row r="10295" spans="5:13" x14ac:dyDescent="0.25">
      <c r="E10295"/>
      <c r="M10295"/>
    </row>
    <row r="10296" spans="5:13" x14ac:dyDescent="0.25">
      <c r="E10296"/>
      <c r="M10296"/>
    </row>
    <row r="10297" spans="5:13" x14ac:dyDescent="0.25">
      <c r="E10297"/>
      <c r="M10297"/>
    </row>
    <row r="10298" spans="5:13" x14ac:dyDescent="0.25">
      <c r="E10298"/>
      <c r="M10298"/>
    </row>
    <row r="10299" spans="5:13" x14ac:dyDescent="0.25">
      <c r="E10299"/>
      <c r="M10299"/>
    </row>
    <row r="10300" spans="5:13" x14ac:dyDescent="0.25">
      <c r="E10300"/>
      <c r="M10300"/>
    </row>
    <row r="10301" spans="5:13" x14ac:dyDescent="0.25">
      <c r="E10301"/>
      <c r="M10301"/>
    </row>
    <row r="10302" spans="5:13" x14ac:dyDescent="0.25">
      <c r="E10302"/>
      <c r="M10302"/>
    </row>
    <row r="10303" spans="5:13" x14ac:dyDescent="0.25">
      <c r="E10303"/>
      <c r="M10303"/>
    </row>
    <row r="10304" spans="5:13" x14ac:dyDescent="0.25">
      <c r="E10304"/>
      <c r="M10304"/>
    </row>
    <row r="10305" spans="5:13" x14ac:dyDescent="0.25">
      <c r="E10305"/>
      <c r="M10305"/>
    </row>
    <row r="10306" spans="5:13" x14ac:dyDescent="0.25">
      <c r="E10306"/>
      <c r="M10306"/>
    </row>
    <row r="10307" spans="5:13" x14ac:dyDescent="0.25">
      <c r="E10307"/>
      <c r="M10307"/>
    </row>
    <row r="10308" spans="5:13" x14ac:dyDescent="0.25">
      <c r="E10308"/>
      <c r="M10308"/>
    </row>
    <row r="10309" spans="5:13" x14ac:dyDescent="0.25">
      <c r="E10309"/>
      <c r="M10309"/>
    </row>
    <row r="10310" spans="5:13" x14ac:dyDescent="0.25">
      <c r="E10310"/>
      <c r="M10310"/>
    </row>
    <row r="10311" spans="5:13" x14ac:dyDescent="0.25">
      <c r="E10311"/>
      <c r="M10311"/>
    </row>
    <row r="10312" spans="5:13" x14ac:dyDescent="0.25">
      <c r="E10312"/>
      <c r="M10312"/>
    </row>
    <row r="10313" spans="5:13" x14ac:dyDescent="0.25">
      <c r="E10313"/>
      <c r="M10313"/>
    </row>
    <row r="10314" spans="5:13" x14ac:dyDescent="0.25">
      <c r="E10314"/>
      <c r="M10314"/>
    </row>
    <row r="10315" spans="5:13" x14ac:dyDescent="0.25">
      <c r="E10315"/>
      <c r="M10315"/>
    </row>
    <row r="10316" spans="5:13" x14ac:dyDescent="0.25">
      <c r="E10316"/>
      <c r="M10316"/>
    </row>
    <row r="10317" spans="5:13" x14ac:dyDescent="0.25">
      <c r="E10317"/>
      <c r="M10317"/>
    </row>
    <row r="10318" spans="5:13" x14ac:dyDescent="0.25">
      <c r="E10318"/>
      <c r="M10318"/>
    </row>
    <row r="10319" spans="5:13" x14ac:dyDescent="0.25">
      <c r="E10319"/>
      <c r="M10319"/>
    </row>
    <row r="10320" spans="5:13" x14ac:dyDescent="0.25">
      <c r="E10320"/>
      <c r="M10320"/>
    </row>
    <row r="10321" spans="5:13" x14ac:dyDescent="0.25">
      <c r="E10321"/>
      <c r="M10321"/>
    </row>
    <row r="10322" spans="5:13" x14ac:dyDescent="0.25">
      <c r="E10322"/>
      <c r="M10322"/>
    </row>
    <row r="10323" spans="5:13" x14ac:dyDescent="0.25">
      <c r="E10323"/>
      <c r="M10323"/>
    </row>
    <row r="10324" spans="5:13" x14ac:dyDescent="0.25">
      <c r="E10324"/>
      <c r="M10324"/>
    </row>
    <row r="10325" spans="5:13" x14ac:dyDescent="0.25">
      <c r="E10325"/>
      <c r="M10325"/>
    </row>
    <row r="10326" spans="5:13" x14ac:dyDescent="0.25">
      <c r="E10326"/>
      <c r="M10326"/>
    </row>
    <row r="10327" spans="5:13" x14ac:dyDescent="0.25">
      <c r="E10327"/>
      <c r="M10327"/>
    </row>
    <row r="10328" spans="5:13" x14ac:dyDescent="0.25">
      <c r="E10328"/>
      <c r="M10328"/>
    </row>
    <row r="10329" spans="5:13" x14ac:dyDescent="0.25">
      <c r="E10329"/>
      <c r="M10329"/>
    </row>
    <row r="10330" spans="5:13" x14ac:dyDescent="0.25">
      <c r="E10330"/>
      <c r="M10330"/>
    </row>
    <row r="10331" spans="5:13" x14ac:dyDescent="0.25">
      <c r="E10331"/>
      <c r="M10331"/>
    </row>
    <row r="10332" spans="5:13" x14ac:dyDescent="0.25">
      <c r="E10332"/>
      <c r="M10332"/>
    </row>
    <row r="10333" spans="5:13" x14ac:dyDescent="0.25">
      <c r="E10333"/>
      <c r="M10333"/>
    </row>
    <row r="10334" spans="5:13" x14ac:dyDescent="0.25">
      <c r="E10334"/>
      <c r="M10334"/>
    </row>
    <row r="10335" spans="5:13" x14ac:dyDescent="0.25">
      <c r="E10335"/>
      <c r="M10335"/>
    </row>
    <row r="10336" spans="5:13" x14ac:dyDescent="0.25">
      <c r="E10336"/>
      <c r="M10336"/>
    </row>
    <row r="10337" spans="5:13" x14ac:dyDescent="0.25">
      <c r="E10337"/>
      <c r="M10337"/>
    </row>
    <row r="10338" spans="5:13" x14ac:dyDescent="0.25">
      <c r="E10338"/>
      <c r="M10338"/>
    </row>
    <row r="10339" spans="5:13" x14ac:dyDescent="0.25">
      <c r="E10339"/>
      <c r="M10339"/>
    </row>
    <row r="10340" spans="5:13" x14ac:dyDescent="0.25">
      <c r="E10340"/>
      <c r="M10340"/>
    </row>
    <row r="10341" spans="5:13" x14ac:dyDescent="0.25">
      <c r="E10341"/>
      <c r="M10341"/>
    </row>
    <row r="10342" spans="5:13" x14ac:dyDescent="0.25">
      <c r="E10342"/>
      <c r="M10342"/>
    </row>
    <row r="10343" spans="5:13" x14ac:dyDescent="0.25">
      <c r="E10343"/>
      <c r="M10343"/>
    </row>
    <row r="10344" spans="5:13" x14ac:dyDescent="0.25">
      <c r="E10344"/>
      <c r="M10344"/>
    </row>
    <row r="10345" spans="5:13" x14ac:dyDescent="0.25">
      <c r="E10345"/>
      <c r="M10345"/>
    </row>
    <row r="10346" spans="5:13" x14ac:dyDescent="0.25">
      <c r="E10346"/>
      <c r="M10346"/>
    </row>
    <row r="10347" spans="5:13" x14ac:dyDescent="0.25">
      <c r="E10347"/>
      <c r="M10347"/>
    </row>
    <row r="10348" spans="5:13" x14ac:dyDescent="0.25">
      <c r="E10348"/>
      <c r="M10348"/>
    </row>
    <row r="10349" spans="5:13" x14ac:dyDescent="0.25">
      <c r="E10349"/>
      <c r="M10349"/>
    </row>
    <row r="10350" spans="5:13" x14ac:dyDescent="0.25">
      <c r="E10350"/>
      <c r="M10350"/>
    </row>
    <row r="10351" spans="5:13" x14ac:dyDescent="0.25">
      <c r="E10351"/>
      <c r="M10351"/>
    </row>
    <row r="10352" spans="5:13" x14ac:dyDescent="0.25">
      <c r="E10352"/>
      <c r="M10352"/>
    </row>
    <row r="10353" spans="5:13" x14ac:dyDescent="0.25">
      <c r="E10353"/>
      <c r="M10353"/>
    </row>
    <row r="10354" spans="5:13" x14ac:dyDescent="0.25">
      <c r="E10354"/>
      <c r="M10354"/>
    </row>
    <row r="10355" spans="5:13" x14ac:dyDescent="0.25">
      <c r="E10355"/>
      <c r="M10355"/>
    </row>
    <row r="10356" spans="5:13" x14ac:dyDescent="0.25">
      <c r="E10356"/>
      <c r="M10356"/>
    </row>
    <row r="10357" spans="5:13" x14ac:dyDescent="0.25">
      <c r="E10357"/>
      <c r="M10357"/>
    </row>
    <row r="10358" spans="5:13" x14ac:dyDescent="0.25">
      <c r="E10358"/>
      <c r="M10358"/>
    </row>
    <row r="10359" spans="5:13" x14ac:dyDescent="0.25">
      <c r="E10359"/>
      <c r="M10359"/>
    </row>
    <row r="10360" spans="5:13" x14ac:dyDescent="0.25">
      <c r="E10360"/>
      <c r="M10360"/>
    </row>
    <row r="10361" spans="5:13" x14ac:dyDescent="0.25">
      <c r="E10361"/>
      <c r="M10361"/>
    </row>
    <row r="10362" spans="5:13" x14ac:dyDescent="0.25">
      <c r="E10362"/>
      <c r="M10362"/>
    </row>
    <row r="10363" spans="5:13" x14ac:dyDescent="0.25">
      <c r="E10363"/>
      <c r="M10363"/>
    </row>
    <row r="10364" spans="5:13" x14ac:dyDescent="0.25">
      <c r="E10364"/>
      <c r="M10364"/>
    </row>
    <row r="10365" spans="5:13" x14ac:dyDescent="0.25">
      <c r="E10365"/>
      <c r="M10365"/>
    </row>
    <row r="10366" spans="5:13" x14ac:dyDescent="0.25">
      <c r="E10366"/>
      <c r="M10366"/>
    </row>
    <row r="10367" spans="5:13" x14ac:dyDescent="0.25">
      <c r="E10367"/>
      <c r="M10367"/>
    </row>
    <row r="10368" spans="5:13" x14ac:dyDescent="0.25">
      <c r="E10368"/>
      <c r="M10368"/>
    </row>
    <row r="10369" spans="5:13" x14ac:dyDescent="0.25">
      <c r="E10369"/>
      <c r="M10369"/>
    </row>
    <row r="10370" spans="5:13" x14ac:dyDescent="0.25">
      <c r="E10370"/>
      <c r="M10370"/>
    </row>
    <row r="10371" spans="5:13" x14ac:dyDescent="0.25">
      <c r="E10371"/>
      <c r="M10371"/>
    </row>
    <row r="10372" spans="5:13" x14ac:dyDescent="0.25">
      <c r="E10372"/>
      <c r="M10372"/>
    </row>
    <row r="10373" spans="5:13" x14ac:dyDescent="0.25">
      <c r="E10373"/>
      <c r="M10373"/>
    </row>
    <row r="10374" spans="5:13" x14ac:dyDescent="0.25">
      <c r="E10374"/>
      <c r="M10374"/>
    </row>
    <row r="10375" spans="5:13" x14ac:dyDescent="0.25">
      <c r="E10375"/>
      <c r="M10375"/>
    </row>
    <row r="10376" spans="5:13" x14ac:dyDescent="0.25">
      <c r="E10376"/>
      <c r="M10376"/>
    </row>
    <row r="10377" spans="5:13" x14ac:dyDescent="0.25">
      <c r="E10377"/>
      <c r="M10377"/>
    </row>
    <row r="10378" spans="5:13" x14ac:dyDescent="0.25">
      <c r="E10378"/>
      <c r="M10378"/>
    </row>
    <row r="10379" spans="5:13" x14ac:dyDescent="0.25">
      <c r="E10379"/>
      <c r="M10379"/>
    </row>
    <row r="10380" spans="5:13" x14ac:dyDescent="0.25">
      <c r="E10380"/>
      <c r="M10380"/>
    </row>
    <row r="10381" spans="5:13" x14ac:dyDescent="0.25">
      <c r="E10381"/>
      <c r="M10381"/>
    </row>
    <row r="10382" spans="5:13" x14ac:dyDescent="0.25">
      <c r="E10382"/>
      <c r="M10382"/>
    </row>
    <row r="10383" spans="5:13" x14ac:dyDescent="0.25">
      <c r="E10383"/>
      <c r="M10383"/>
    </row>
    <row r="10384" spans="5:13" x14ac:dyDescent="0.25">
      <c r="E10384"/>
      <c r="M10384"/>
    </row>
    <row r="10385" spans="5:13" x14ac:dyDescent="0.25">
      <c r="E10385"/>
      <c r="M10385"/>
    </row>
    <row r="10386" spans="5:13" x14ac:dyDescent="0.25">
      <c r="E10386"/>
      <c r="M10386"/>
    </row>
    <row r="10387" spans="5:13" x14ac:dyDescent="0.25">
      <c r="E10387"/>
      <c r="M10387"/>
    </row>
    <row r="10388" spans="5:13" x14ac:dyDescent="0.25">
      <c r="E10388"/>
      <c r="M10388"/>
    </row>
    <row r="10389" spans="5:13" x14ac:dyDescent="0.25">
      <c r="E10389"/>
      <c r="M10389"/>
    </row>
    <row r="10390" spans="5:13" x14ac:dyDescent="0.25">
      <c r="E10390"/>
      <c r="M10390"/>
    </row>
    <row r="10391" spans="5:13" x14ac:dyDescent="0.25">
      <c r="E10391"/>
      <c r="M10391"/>
    </row>
    <row r="10392" spans="5:13" x14ac:dyDescent="0.25">
      <c r="E10392"/>
      <c r="M10392"/>
    </row>
    <row r="10393" spans="5:13" x14ac:dyDescent="0.25">
      <c r="E10393"/>
      <c r="M10393"/>
    </row>
    <row r="10394" spans="5:13" x14ac:dyDescent="0.25">
      <c r="E10394"/>
      <c r="M10394"/>
    </row>
    <row r="10395" spans="5:13" x14ac:dyDescent="0.25">
      <c r="E10395"/>
      <c r="M10395"/>
    </row>
    <row r="10396" spans="5:13" x14ac:dyDescent="0.25">
      <c r="E10396"/>
      <c r="M10396"/>
    </row>
    <row r="10397" spans="5:13" x14ac:dyDescent="0.25">
      <c r="E10397"/>
      <c r="M10397"/>
    </row>
    <row r="10398" spans="5:13" x14ac:dyDescent="0.25">
      <c r="E10398"/>
      <c r="M10398"/>
    </row>
    <row r="10399" spans="5:13" x14ac:dyDescent="0.25">
      <c r="E10399"/>
      <c r="M10399"/>
    </row>
    <row r="10400" spans="5:13" x14ac:dyDescent="0.25">
      <c r="E10400"/>
      <c r="M10400"/>
    </row>
    <row r="10401" spans="5:13" x14ac:dyDescent="0.25">
      <c r="E10401"/>
      <c r="M10401"/>
    </row>
    <row r="10402" spans="5:13" x14ac:dyDescent="0.25">
      <c r="E10402"/>
      <c r="M10402"/>
    </row>
    <row r="10403" spans="5:13" x14ac:dyDescent="0.25">
      <c r="E10403"/>
      <c r="M10403"/>
    </row>
    <row r="10404" spans="5:13" x14ac:dyDescent="0.25">
      <c r="E10404"/>
      <c r="M10404"/>
    </row>
    <row r="10405" spans="5:13" x14ac:dyDescent="0.25">
      <c r="E10405"/>
      <c r="M10405"/>
    </row>
    <row r="10406" spans="5:13" x14ac:dyDescent="0.25">
      <c r="E10406"/>
      <c r="M10406"/>
    </row>
    <row r="10407" spans="5:13" x14ac:dyDescent="0.25">
      <c r="E10407"/>
      <c r="M10407"/>
    </row>
    <row r="10408" spans="5:13" x14ac:dyDescent="0.25">
      <c r="E10408"/>
      <c r="M10408"/>
    </row>
    <row r="10409" spans="5:13" x14ac:dyDescent="0.25">
      <c r="E10409"/>
      <c r="M10409"/>
    </row>
    <row r="10410" spans="5:13" x14ac:dyDescent="0.25">
      <c r="E10410"/>
      <c r="M10410"/>
    </row>
    <row r="10411" spans="5:13" x14ac:dyDescent="0.25">
      <c r="E10411"/>
      <c r="M10411"/>
    </row>
    <row r="10412" spans="5:13" x14ac:dyDescent="0.25">
      <c r="E10412"/>
      <c r="M10412"/>
    </row>
    <row r="10413" spans="5:13" x14ac:dyDescent="0.25">
      <c r="E10413"/>
      <c r="M10413"/>
    </row>
    <row r="10414" spans="5:13" x14ac:dyDescent="0.25">
      <c r="E10414"/>
      <c r="M10414"/>
    </row>
    <row r="10415" spans="5:13" x14ac:dyDescent="0.25">
      <c r="E10415"/>
      <c r="M10415"/>
    </row>
    <row r="10416" spans="5:13" x14ac:dyDescent="0.25">
      <c r="E10416"/>
      <c r="M10416"/>
    </row>
    <row r="10417" spans="5:13" x14ac:dyDescent="0.25">
      <c r="E10417"/>
      <c r="M10417"/>
    </row>
    <row r="10418" spans="5:13" x14ac:dyDescent="0.25">
      <c r="E10418"/>
      <c r="M10418"/>
    </row>
    <row r="10419" spans="5:13" x14ac:dyDescent="0.25">
      <c r="E10419"/>
      <c r="M10419"/>
    </row>
    <row r="10420" spans="5:13" x14ac:dyDescent="0.25">
      <c r="E10420"/>
      <c r="M10420"/>
    </row>
    <row r="10421" spans="5:13" x14ac:dyDescent="0.25">
      <c r="E10421"/>
      <c r="M10421"/>
    </row>
    <row r="10422" spans="5:13" x14ac:dyDescent="0.25">
      <c r="E10422"/>
      <c r="M10422"/>
    </row>
    <row r="10423" spans="5:13" x14ac:dyDescent="0.25">
      <c r="E10423"/>
      <c r="M10423"/>
    </row>
    <row r="10424" spans="5:13" x14ac:dyDescent="0.25">
      <c r="E10424"/>
      <c r="M10424"/>
    </row>
    <row r="10425" spans="5:13" x14ac:dyDescent="0.25">
      <c r="E10425"/>
      <c r="M10425"/>
    </row>
    <row r="10426" spans="5:13" x14ac:dyDescent="0.25">
      <c r="E10426"/>
      <c r="M10426"/>
    </row>
    <row r="10427" spans="5:13" x14ac:dyDescent="0.25">
      <c r="E10427"/>
      <c r="M10427"/>
    </row>
    <row r="10428" spans="5:13" x14ac:dyDescent="0.25">
      <c r="E10428"/>
      <c r="M10428"/>
    </row>
    <row r="10429" spans="5:13" x14ac:dyDescent="0.25">
      <c r="E10429"/>
      <c r="M10429"/>
    </row>
    <row r="10430" spans="5:13" x14ac:dyDescent="0.25">
      <c r="E10430"/>
      <c r="M10430"/>
    </row>
    <row r="10431" spans="5:13" x14ac:dyDescent="0.25">
      <c r="E10431"/>
      <c r="M10431"/>
    </row>
    <row r="10432" spans="5:13" x14ac:dyDescent="0.25">
      <c r="E10432"/>
      <c r="M10432"/>
    </row>
    <row r="10433" spans="5:13" x14ac:dyDescent="0.25">
      <c r="E10433"/>
      <c r="M10433"/>
    </row>
    <row r="10434" spans="5:13" x14ac:dyDescent="0.25">
      <c r="E10434"/>
      <c r="M10434"/>
    </row>
    <row r="10435" spans="5:13" x14ac:dyDescent="0.25">
      <c r="E10435"/>
      <c r="M10435"/>
    </row>
    <row r="10436" spans="5:13" x14ac:dyDescent="0.25">
      <c r="E10436"/>
      <c r="M10436"/>
    </row>
    <row r="10437" spans="5:13" x14ac:dyDescent="0.25">
      <c r="E10437"/>
      <c r="M10437"/>
    </row>
    <row r="10438" spans="5:13" x14ac:dyDescent="0.25">
      <c r="E10438"/>
      <c r="M10438"/>
    </row>
    <row r="10439" spans="5:13" x14ac:dyDescent="0.25">
      <c r="E10439"/>
      <c r="M10439"/>
    </row>
    <row r="10440" spans="5:13" x14ac:dyDescent="0.25">
      <c r="E10440"/>
      <c r="M10440"/>
    </row>
    <row r="10441" spans="5:13" x14ac:dyDescent="0.25">
      <c r="E10441"/>
      <c r="M10441"/>
    </row>
    <row r="10442" spans="5:13" x14ac:dyDescent="0.25">
      <c r="E10442"/>
      <c r="M10442"/>
    </row>
    <row r="10443" spans="5:13" x14ac:dyDescent="0.25">
      <c r="E10443"/>
      <c r="M10443"/>
    </row>
    <row r="10444" spans="5:13" x14ac:dyDescent="0.25">
      <c r="E10444"/>
      <c r="M10444"/>
    </row>
    <row r="10445" spans="5:13" x14ac:dyDescent="0.25">
      <c r="E10445"/>
      <c r="M10445"/>
    </row>
    <row r="10446" spans="5:13" x14ac:dyDescent="0.25">
      <c r="E10446"/>
      <c r="M10446"/>
    </row>
    <row r="10447" spans="5:13" x14ac:dyDescent="0.25">
      <c r="E10447"/>
      <c r="M10447"/>
    </row>
    <row r="10448" spans="5:13" x14ac:dyDescent="0.25">
      <c r="E10448"/>
      <c r="M10448"/>
    </row>
    <row r="10449" spans="5:13" x14ac:dyDescent="0.25">
      <c r="E10449"/>
      <c r="M10449"/>
    </row>
    <row r="10450" spans="5:13" x14ac:dyDescent="0.25">
      <c r="E10450"/>
      <c r="M10450"/>
    </row>
    <row r="10451" spans="5:13" x14ac:dyDescent="0.25">
      <c r="E10451"/>
      <c r="M10451"/>
    </row>
    <row r="10452" spans="5:13" x14ac:dyDescent="0.25">
      <c r="E10452"/>
      <c r="M10452"/>
    </row>
    <row r="10453" spans="5:13" x14ac:dyDescent="0.25">
      <c r="E10453"/>
      <c r="M10453"/>
    </row>
    <row r="10454" spans="5:13" x14ac:dyDescent="0.25">
      <c r="E10454"/>
      <c r="M10454"/>
    </row>
    <row r="10455" spans="5:13" x14ac:dyDescent="0.25">
      <c r="E10455"/>
      <c r="M10455"/>
    </row>
    <row r="10456" spans="5:13" x14ac:dyDescent="0.25">
      <c r="E10456"/>
      <c r="M10456"/>
    </row>
    <row r="10457" spans="5:13" x14ac:dyDescent="0.25">
      <c r="E10457"/>
      <c r="M10457"/>
    </row>
    <row r="10458" spans="5:13" x14ac:dyDescent="0.25">
      <c r="E10458"/>
      <c r="M10458"/>
    </row>
    <row r="10459" spans="5:13" x14ac:dyDescent="0.25">
      <c r="E10459"/>
      <c r="M10459"/>
    </row>
    <row r="10460" spans="5:13" x14ac:dyDescent="0.25">
      <c r="E10460"/>
      <c r="M10460"/>
    </row>
    <row r="10461" spans="5:13" x14ac:dyDescent="0.25">
      <c r="E10461"/>
      <c r="M10461"/>
    </row>
    <row r="10462" spans="5:13" x14ac:dyDescent="0.25">
      <c r="E10462"/>
      <c r="M10462"/>
    </row>
    <row r="10463" spans="5:13" x14ac:dyDescent="0.25">
      <c r="E10463"/>
      <c r="M10463"/>
    </row>
    <row r="10464" spans="5:13" x14ac:dyDescent="0.25">
      <c r="E10464"/>
      <c r="M10464"/>
    </row>
    <row r="10465" spans="5:13" x14ac:dyDescent="0.25">
      <c r="E10465"/>
      <c r="M10465"/>
    </row>
    <row r="10466" spans="5:13" x14ac:dyDescent="0.25">
      <c r="E10466"/>
      <c r="M10466"/>
    </row>
    <row r="10467" spans="5:13" x14ac:dyDescent="0.25">
      <c r="E10467"/>
      <c r="M10467"/>
    </row>
    <row r="10468" spans="5:13" x14ac:dyDescent="0.25">
      <c r="E10468"/>
      <c r="M10468"/>
    </row>
    <row r="10469" spans="5:13" x14ac:dyDescent="0.25">
      <c r="E10469"/>
      <c r="M10469"/>
    </row>
    <row r="10470" spans="5:13" x14ac:dyDescent="0.25">
      <c r="E10470"/>
      <c r="M10470"/>
    </row>
    <row r="10471" spans="5:13" x14ac:dyDescent="0.25">
      <c r="E10471"/>
      <c r="M10471"/>
    </row>
    <row r="10472" spans="5:13" x14ac:dyDescent="0.25">
      <c r="E10472"/>
      <c r="M10472"/>
    </row>
    <row r="10473" spans="5:13" x14ac:dyDescent="0.25">
      <c r="E10473"/>
      <c r="M10473"/>
    </row>
    <row r="10474" spans="5:13" x14ac:dyDescent="0.25">
      <c r="E10474"/>
      <c r="M10474"/>
    </row>
    <row r="10475" spans="5:13" x14ac:dyDescent="0.25">
      <c r="E10475"/>
      <c r="M10475"/>
    </row>
    <row r="10476" spans="5:13" x14ac:dyDescent="0.25">
      <c r="E10476"/>
      <c r="M10476"/>
    </row>
    <row r="10477" spans="5:13" x14ac:dyDescent="0.25">
      <c r="E10477"/>
      <c r="M10477"/>
    </row>
    <row r="10478" spans="5:13" x14ac:dyDescent="0.25">
      <c r="E10478"/>
      <c r="M10478"/>
    </row>
    <row r="10479" spans="5:13" x14ac:dyDescent="0.25">
      <c r="E10479"/>
      <c r="M10479"/>
    </row>
    <row r="10480" spans="5:13" x14ac:dyDescent="0.25">
      <c r="E10480"/>
      <c r="M10480"/>
    </row>
    <row r="10481" spans="5:13" x14ac:dyDescent="0.25">
      <c r="E10481"/>
      <c r="M10481"/>
    </row>
    <row r="10482" spans="5:13" x14ac:dyDescent="0.25">
      <c r="E10482"/>
      <c r="M10482"/>
    </row>
    <row r="10483" spans="5:13" x14ac:dyDescent="0.25">
      <c r="E10483"/>
      <c r="M10483"/>
    </row>
    <row r="10484" spans="5:13" x14ac:dyDescent="0.25">
      <c r="E10484"/>
      <c r="M10484"/>
    </row>
    <row r="10485" spans="5:13" x14ac:dyDescent="0.25">
      <c r="E10485"/>
      <c r="M10485"/>
    </row>
    <row r="10486" spans="5:13" x14ac:dyDescent="0.25">
      <c r="E10486"/>
      <c r="M10486"/>
    </row>
    <row r="10487" spans="5:13" x14ac:dyDescent="0.25">
      <c r="E10487"/>
      <c r="M10487"/>
    </row>
    <row r="10488" spans="5:13" x14ac:dyDescent="0.25">
      <c r="E10488"/>
      <c r="M10488"/>
    </row>
    <row r="10489" spans="5:13" x14ac:dyDescent="0.25">
      <c r="E10489"/>
      <c r="M10489"/>
    </row>
    <row r="10490" spans="5:13" x14ac:dyDescent="0.25">
      <c r="E10490"/>
      <c r="M10490"/>
    </row>
    <row r="10491" spans="5:13" x14ac:dyDescent="0.25">
      <c r="E10491"/>
      <c r="M10491"/>
    </row>
    <row r="10492" spans="5:13" x14ac:dyDescent="0.25">
      <c r="E10492"/>
      <c r="M10492"/>
    </row>
    <row r="10493" spans="5:13" x14ac:dyDescent="0.25">
      <c r="E10493"/>
      <c r="M10493"/>
    </row>
    <row r="10494" spans="5:13" x14ac:dyDescent="0.25">
      <c r="E10494"/>
      <c r="M10494"/>
    </row>
    <row r="10495" spans="5:13" x14ac:dyDescent="0.25">
      <c r="E10495"/>
      <c r="M10495"/>
    </row>
    <row r="10496" spans="5:13" x14ac:dyDescent="0.25">
      <c r="E10496"/>
      <c r="M10496"/>
    </row>
    <row r="10497" spans="5:13" x14ac:dyDescent="0.25">
      <c r="E10497"/>
      <c r="M10497"/>
    </row>
    <row r="10498" spans="5:13" x14ac:dyDescent="0.25">
      <c r="E10498"/>
      <c r="M10498"/>
    </row>
    <row r="10499" spans="5:13" x14ac:dyDescent="0.25">
      <c r="E10499"/>
      <c r="M10499"/>
    </row>
    <row r="10500" spans="5:13" x14ac:dyDescent="0.25">
      <c r="E10500"/>
      <c r="M10500"/>
    </row>
    <row r="10501" spans="5:13" x14ac:dyDescent="0.25">
      <c r="E10501"/>
      <c r="M10501"/>
    </row>
    <row r="10502" spans="5:13" x14ac:dyDescent="0.25">
      <c r="E10502"/>
      <c r="M10502"/>
    </row>
    <row r="10503" spans="5:13" x14ac:dyDescent="0.25">
      <c r="E10503"/>
      <c r="M10503"/>
    </row>
    <row r="10504" spans="5:13" x14ac:dyDescent="0.25">
      <c r="E10504"/>
      <c r="M10504"/>
    </row>
    <row r="10505" spans="5:13" x14ac:dyDescent="0.25">
      <c r="E10505"/>
      <c r="M10505"/>
    </row>
    <row r="10506" spans="5:13" x14ac:dyDescent="0.25">
      <c r="E10506"/>
      <c r="M10506"/>
    </row>
    <row r="10507" spans="5:13" x14ac:dyDescent="0.25">
      <c r="E10507"/>
      <c r="M10507"/>
    </row>
    <row r="10508" spans="5:13" x14ac:dyDescent="0.25">
      <c r="E10508"/>
      <c r="M10508"/>
    </row>
    <row r="10509" spans="5:13" x14ac:dyDescent="0.25">
      <c r="E10509"/>
      <c r="M10509"/>
    </row>
    <row r="10510" spans="5:13" x14ac:dyDescent="0.25">
      <c r="E10510"/>
      <c r="M10510"/>
    </row>
    <row r="10511" spans="5:13" x14ac:dyDescent="0.25">
      <c r="E10511"/>
      <c r="M10511"/>
    </row>
    <row r="10512" spans="5:13" x14ac:dyDescent="0.25">
      <c r="E10512"/>
      <c r="M10512"/>
    </row>
    <row r="10513" spans="5:13" x14ac:dyDescent="0.25">
      <c r="E10513"/>
      <c r="M10513"/>
    </row>
    <row r="10514" spans="5:13" x14ac:dyDescent="0.25">
      <c r="E10514"/>
      <c r="M10514"/>
    </row>
    <row r="10515" spans="5:13" x14ac:dyDescent="0.25">
      <c r="E10515"/>
      <c r="M10515"/>
    </row>
    <row r="10516" spans="5:13" x14ac:dyDescent="0.25">
      <c r="E10516"/>
      <c r="M10516"/>
    </row>
    <row r="10517" spans="5:13" x14ac:dyDescent="0.25">
      <c r="E10517"/>
      <c r="M10517"/>
    </row>
    <row r="10518" spans="5:13" x14ac:dyDescent="0.25">
      <c r="E10518"/>
      <c r="M10518"/>
    </row>
    <row r="10519" spans="5:13" x14ac:dyDescent="0.25">
      <c r="E10519"/>
      <c r="M10519"/>
    </row>
    <row r="10520" spans="5:13" x14ac:dyDescent="0.25">
      <c r="E10520"/>
      <c r="M10520"/>
    </row>
    <row r="10521" spans="5:13" x14ac:dyDescent="0.25">
      <c r="E10521"/>
      <c r="M10521"/>
    </row>
    <row r="10522" spans="5:13" x14ac:dyDescent="0.25">
      <c r="E10522"/>
      <c r="M10522"/>
    </row>
    <row r="10523" spans="5:13" x14ac:dyDescent="0.25">
      <c r="E10523"/>
      <c r="M10523"/>
    </row>
    <row r="10524" spans="5:13" x14ac:dyDescent="0.25">
      <c r="E10524"/>
      <c r="M10524"/>
    </row>
    <row r="10525" spans="5:13" x14ac:dyDescent="0.25">
      <c r="E10525"/>
      <c r="M10525"/>
    </row>
    <row r="10526" spans="5:13" x14ac:dyDescent="0.25">
      <c r="E10526"/>
      <c r="M10526"/>
    </row>
    <row r="10527" spans="5:13" x14ac:dyDescent="0.25">
      <c r="E10527"/>
      <c r="M10527"/>
    </row>
    <row r="10528" spans="5:13" x14ac:dyDescent="0.25">
      <c r="E10528"/>
      <c r="M10528"/>
    </row>
    <row r="10529" spans="5:13" x14ac:dyDescent="0.25">
      <c r="E10529"/>
      <c r="M10529"/>
    </row>
    <row r="10530" spans="5:13" x14ac:dyDescent="0.25">
      <c r="E10530"/>
      <c r="M10530"/>
    </row>
    <row r="10531" spans="5:13" x14ac:dyDescent="0.25">
      <c r="E10531"/>
      <c r="M10531"/>
    </row>
    <row r="10532" spans="5:13" x14ac:dyDescent="0.25">
      <c r="E10532"/>
      <c r="M10532"/>
    </row>
    <row r="10533" spans="5:13" x14ac:dyDescent="0.25">
      <c r="E10533"/>
      <c r="M10533"/>
    </row>
    <row r="10534" spans="5:13" x14ac:dyDescent="0.25">
      <c r="E10534"/>
      <c r="M10534"/>
    </row>
    <row r="10535" spans="5:13" x14ac:dyDescent="0.25">
      <c r="E10535"/>
      <c r="M10535"/>
    </row>
    <row r="10536" spans="5:13" x14ac:dyDescent="0.25">
      <c r="E10536"/>
      <c r="M10536"/>
    </row>
    <row r="10537" spans="5:13" x14ac:dyDescent="0.25">
      <c r="E10537"/>
      <c r="M10537"/>
    </row>
    <row r="10538" spans="5:13" x14ac:dyDescent="0.25">
      <c r="E10538"/>
      <c r="M10538"/>
    </row>
    <row r="10539" spans="5:13" x14ac:dyDescent="0.25">
      <c r="E10539"/>
      <c r="M10539"/>
    </row>
    <row r="10540" spans="5:13" x14ac:dyDescent="0.25">
      <c r="E10540"/>
      <c r="M10540"/>
    </row>
    <row r="10541" spans="5:13" x14ac:dyDescent="0.25">
      <c r="E10541"/>
      <c r="M10541"/>
    </row>
    <row r="10542" spans="5:13" x14ac:dyDescent="0.25">
      <c r="E10542"/>
      <c r="M10542"/>
    </row>
    <row r="10543" spans="5:13" x14ac:dyDescent="0.25">
      <c r="E10543"/>
      <c r="M10543"/>
    </row>
    <row r="10544" spans="5:13" x14ac:dyDescent="0.25">
      <c r="E10544"/>
      <c r="M10544"/>
    </row>
    <row r="10545" spans="5:13" x14ac:dyDescent="0.25">
      <c r="E10545"/>
      <c r="M10545"/>
    </row>
    <row r="10546" spans="5:13" x14ac:dyDescent="0.25">
      <c r="E10546"/>
      <c r="M10546"/>
    </row>
    <row r="10547" spans="5:13" x14ac:dyDescent="0.25">
      <c r="E10547"/>
      <c r="M10547"/>
    </row>
    <row r="10548" spans="5:13" x14ac:dyDescent="0.25">
      <c r="E10548"/>
      <c r="M10548"/>
    </row>
    <row r="10549" spans="5:13" x14ac:dyDescent="0.25">
      <c r="E10549"/>
      <c r="M10549"/>
    </row>
    <row r="10550" spans="5:13" x14ac:dyDescent="0.25">
      <c r="E10550"/>
      <c r="M10550"/>
    </row>
    <row r="10551" spans="5:13" x14ac:dyDescent="0.25">
      <c r="E10551"/>
      <c r="M10551"/>
    </row>
    <row r="10552" spans="5:13" x14ac:dyDescent="0.25">
      <c r="E10552"/>
      <c r="M10552"/>
    </row>
    <row r="10553" spans="5:13" x14ac:dyDescent="0.25">
      <c r="E10553"/>
      <c r="M10553"/>
    </row>
    <row r="10554" spans="5:13" x14ac:dyDescent="0.25">
      <c r="E10554"/>
      <c r="M10554"/>
    </row>
    <row r="10555" spans="5:13" x14ac:dyDescent="0.25">
      <c r="E10555"/>
      <c r="M10555"/>
    </row>
    <row r="10556" spans="5:13" x14ac:dyDescent="0.25">
      <c r="E10556"/>
      <c r="M10556"/>
    </row>
    <row r="10557" spans="5:13" x14ac:dyDescent="0.25">
      <c r="E10557"/>
      <c r="M10557"/>
    </row>
    <row r="10558" spans="5:13" x14ac:dyDescent="0.25">
      <c r="E10558"/>
      <c r="M10558"/>
    </row>
    <row r="10559" spans="5:13" x14ac:dyDescent="0.25">
      <c r="E10559"/>
      <c r="M10559"/>
    </row>
    <row r="10560" spans="5:13" x14ac:dyDescent="0.25">
      <c r="E10560"/>
      <c r="M10560"/>
    </row>
    <row r="10561" spans="5:13" x14ac:dyDescent="0.25">
      <c r="E10561"/>
      <c r="M10561"/>
    </row>
    <row r="10562" spans="5:13" x14ac:dyDescent="0.25">
      <c r="E10562"/>
      <c r="M10562"/>
    </row>
    <row r="10563" spans="5:13" x14ac:dyDescent="0.25">
      <c r="E10563"/>
      <c r="M10563"/>
    </row>
    <row r="10564" spans="5:13" x14ac:dyDescent="0.25">
      <c r="E10564"/>
      <c r="M10564"/>
    </row>
    <row r="10565" spans="5:13" x14ac:dyDescent="0.25">
      <c r="E10565"/>
      <c r="M10565"/>
    </row>
    <row r="10566" spans="5:13" x14ac:dyDescent="0.25">
      <c r="E10566"/>
      <c r="M10566"/>
    </row>
    <row r="10567" spans="5:13" x14ac:dyDescent="0.25">
      <c r="E10567"/>
      <c r="M10567"/>
    </row>
    <row r="10568" spans="5:13" x14ac:dyDescent="0.25">
      <c r="E10568"/>
      <c r="M10568"/>
    </row>
    <row r="10569" spans="5:13" x14ac:dyDescent="0.25">
      <c r="E10569"/>
      <c r="M10569"/>
    </row>
    <row r="10570" spans="5:13" x14ac:dyDescent="0.25">
      <c r="E10570"/>
      <c r="M10570"/>
    </row>
    <row r="10571" spans="5:13" x14ac:dyDescent="0.25">
      <c r="E10571"/>
      <c r="M10571"/>
    </row>
    <row r="10572" spans="5:13" x14ac:dyDescent="0.25">
      <c r="E10572"/>
      <c r="M10572"/>
    </row>
    <row r="10573" spans="5:13" x14ac:dyDescent="0.25">
      <c r="E10573"/>
      <c r="M10573"/>
    </row>
    <row r="10574" spans="5:13" x14ac:dyDescent="0.25">
      <c r="E10574"/>
      <c r="M10574"/>
    </row>
    <row r="10575" spans="5:13" x14ac:dyDescent="0.25">
      <c r="E10575"/>
      <c r="M10575"/>
    </row>
    <row r="10576" spans="5:13" x14ac:dyDescent="0.25">
      <c r="E10576"/>
      <c r="M10576"/>
    </row>
    <row r="10577" spans="5:13" x14ac:dyDescent="0.25">
      <c r="E10577"/>
      <c r="M10577"/>
    </row>
    <row r="10578" spans="5:13" x14ac:dyDescent="0.25">
      <c r="E10578"/>
      <c r="M10578"/>
    </row>
    <row r="10579" spans="5:13" x14ac:dyDescent="0.25">
      <c r="E10579"/>
      <c r="M10579"/>
    </row>
    <row r="10580" spans="5:13" x14ac:dyDescent="0.25">
      <c r="E10580"/>
      <c r="M10580"/>
    </row>
    <row r="10581" spans="5:13" x14ac:dyDescent="0.25">
      <c r="E10581"/>
      <c r="M10581"/>
    </row>
    <row r="10582" spans="5:13" x14ac:dyDescent="0.25">
      <c r="E10582"/>
      <c r="M10582"/>
    </row>
    <row r="10583" spans="5:13" x14ac:dyDescent="0.25">
      <c r="E10583"/>
      <c r="M10583"/>
    </row>
    <row r="10584" spans="5:13" x14ac:dyDescent="0.25">
      <c r="E10584"/>
      <c r="M10584"/>
    </row>
    <row r="10585" spans="5:13" x14ac:dyDescent="0.25">
      <c r="E10585"/>
      <c r="M10585"/>
    </row>
    <row r="10586" spans="5:13" x14ac:dyDescent="0.25">
      <c r="E10586"/>
      <c r="M10586"/>
    </row>
    <row r="10587" spans="5:13" x14ac:dyDescent="0.25">
      <c r="E10587"/>
      <c r="M10587"/>
    </row>
    <row r="10588" spans="5:13" x14ac:dyDescent="0.25">
      <c r="E10588"/>
      <c r="M10588"/>
    </row>
    <row r="10589" spans="5:13" x14ac:dyDescent="0.25">
      <c r="E10589"/>
      <c r="M10589"/>
    </row>
    <row r="10590" spans="5:13" x14ac:dyDescent="0.25">
      <c r="E10590"/>
      <c r="M10590"/>
    </row>
    <row r="10591" spans="5:13" x14ac:dyDescent="0.25">
      <c r="E10591"/>
      <c r="M10591"/>
    </row>
    <row r="10592" spans="5:13" x14ac:dyDescent="0.25">
      <c r="E10592"/>
      <c r="M10592"/>
    </row>
    <row r="10593" spans="5:13" x14ac:dyDescent="0.25">
      <c r="E10593"/>
      <c r="M10593"/>
    </row>
    <row r="10594" spans="5:13" x14ac:dyDescent="0.25">
      <c r="E10594"/>
      <c r="M10594"/>
    </row>
    <row r="10595" spans="5:13" x14ac:dyDescent="0.25">
      <c r="E10595"/>
      <c r="M10595"/>
    </row>
    <row r="10596" spans="5:13" x14ac:dyDescent="0.25">
      <c r="E10596"/>
      <c r="M10596"/>
    </row>
    <row r="10597" spans="5:13" x14ac:dyDescent="0.25">
      <c r="E10597"/>
      <c r="M10597"/>
    </row>
    <row r="10598" spans="5:13" x14ac:dyDescent="0.25">
      <c r="E10598"/>
      <c r="M10598"/>
    </row>
    <row r="10599" spans="5:13" x14ac:dyDescent="0.25">
      <c r="E10599"/>
      <c r="M10599"/>
    </row>
    <row r="10600" spans="5:13" x14ac:dyDescent="0.25">
      <c r="E10600"/>
      <c r="M10600"/>
    </row>
    <row r="10601" spans="5:13" x14ac:dyDescent="0.25">
      <c r="E10601"/>
      <c r="M10601"/>
    </row>
    <row r="10602" spans="5:13" x14ac:dyDescent="0.25">
      <c r="E10602"/>
      <c r="M10602"/>
    </row>
    <row r="10603" spans="5:13" x14ac:dyDescent="0.25">
      <c r="E10603"/>
      <c r="M10603"/>
    </row>
    <row r="10604" spans="5:13" x14ac:dyDescent="0.25">
      <c r="E10604"/>
      <c r="M10604"/>
    </row>
    <row r="10605" spans="5:13" x14ac:dyDescent="0.25">
      <c r="E10605"/>
      <c r="M10605"/>
    </row>
    <row r="10606" spans="5:13" x14ac:dyDescent="0.25">
      <c r="E10606"/>
      <c r="M10606"/>
    </row>
    <row r="10607" spans="5:13" x14ac:dyDescent="0.25">
      <c r="E10607"/>
      <c r="M10607"/>
    </row>
    <row r="10608" spans="5:13" x14ac:dyDescent="0.25">
      <c r="E10608"/>
      <c r="M10608"/>
    </row>
    <row r="10609" spans="5:13" x14ac:dyDescent="0.25">
      <c r="E10609"/>
      <c r="M10609"/>
    </row>
    <row r="10610" spans="5:13" x14ac:dyDescent="0.25">
      <c r="E10610"/>
      <c r="M10610"/>
    </row>
    <row r="10611" spans="5:13" x14ac:dyDescent="0.25">
      <c r="E10611"/>
      <c r="M10611"/>
    </row>
    <row r="10612" spans="5:13" x14ac:dyDescent="0.25">
      <c r="E10612"/>
      <c r="M10612"/>
    </row>
    <row r="10613" spans="5:13" x14ac:dyDescent="0.25">
      <c r="E10613"/>
      <c r="M10613"/>
    </row>
    <row r="10614" spans="5:13" x14ac:dyDescent="0.25">
      <c r="E10614"/>
      <c r="M10614"/>
    </row>
    <row r="10615" spans="5:13" x14ac:dyDescent="0.25">
      <c r="E10615"/>
      <c r="M10615"/>
    </row>
    <row r="10616" spans="5:13" x14ac:dyDescent="0.25">
      <c r="E10616"/>
      <c r="M10616"/>
    </row>
    <row r="10617" spans="5:13" x14ac:dyDescent="0.25">
      <c r="E10617"/>
      <c r="M10617"/>
    </row>
    <row r="10618" spans="5:13" x14ac:dyDescent="0.25">
      <c r="E10618"/>
      <c r="M10618"/>
    </row>
    <row r="10619" spans="5:13" x14ac:dyDescent="0.25">
      <c r="E10619"/>
      <c r="M10619"/>
    </row>
    <row r="10620" spans="5:13" x14ac:dyDescent="0.25">
      <c r="E10620"/>
      <c r="M10620"/>
    </row>
    <row r="10621" spans="5:13" x14ac:dyDescent="0.25">
      <c r="E10621"/>
      <c r="M10621"/>
    </row>
    <row r="10622" spans="5:13" x14ac:dyDescent="0.25">
      <c r="E10622"/>
      <c r="M10622"/>
    </row>
    <row r="10623" spans="5:13" x14ac:dyDescent="0.25">
      <c r="E10623"/>
      <c r="M10623"/>
    </row>
    <row r="10624" spans="5:13" x14ac:dyDescent="0.25">
      <c r="E10624"/>
      <c r="M10624"/>
    </row>
    <row r="10625" spans="5:13" x14ac:dyDescent="0.25">
      <c r="E10625"/>
      <c r="M10625"/>
    </row>
    <row r="10626" spans="5:13" x14ac:dyDescent="0.25">
      <c r="E10626"/>
      <c r="M10626"/>
    </row>
    <row r="10627" spans="5:13" x14ac:dyDescent="0.25">
      <c r="E10627"/>
      <c r="M10627"/>
    </row>
    <row r="10628" spans="5:13" x14ac:dyDescent="0.25">
      <c r="E10628"/>
      <c r="M10628"/>
    </row>
    <row r="10629" spans="5:13" x14ac:dyDescent="0.25">
      <c r="E10629"/>
      <c r="M10629"/>
    </row>
    <row r="10630" spans="5:13" x14ac:dyDescent="0.25">
      <c r="E10630"/>
      <c r="M10630"/>
    </row>
    <row r="10631" spans="5:13" x14ac:dyDescent="0.25">
      <c r="E10631"/>
      <c r="M10631"/>
    </row>
    <row r="10632" spans="5:13" x14ac:dyDescent="0.25">
      <c r="E10632"/>
      <c r="M10632"/>
    </row>
    <row r="10633" spans="5:13" x14ac:dyDescent="0.25">
      <c r="E10633"/>
      <c r="M10633"/>
    </row>
    <row r="10634" spans="5:13" x14ac:dyDescent="0.25">
      <c r="E10634"/>
      <c r="M10634"/>
    </row>
    <row r="10635" spans="5:13" x14ac:dyDescent="0.25">
      <c r="E10635"/>
      <c r="M10635"/>
    </row>
    <row r="10636" spans="5:13" x14ac:dyDescent="0.25">
      <c r="E10636"/>
      <c r="M10636"/>
    </row>
    <row r="10637" spans="5:13" x14ac:dyDescent="0.25">
      <c r="E10637"/>
      <c r="M10637"/>
    </row>
    <row r="10638" spans="5:13" x14ac:dyDescent="0.25">
      <c r="E10638"/>
      <c r="M10638"/>
    </row>
    <row r="10639" spans="5:13" x14ac:dyDescent="0.25">
      <c r="E10639"/>
      <c r="M10639"/>
    </row>
    <row r="10640" spans="5:13" x14ac:dyDescent="0.25">
      <c r="E10640"/>
      <c r="M10640"/>
    </row>
    <row r="10641" spans="5:13" x14ac:dyDescent="0.25">
      <c r="E10641"/>
      <c r="M10641"/>
    </row>
    <row r="10642" spans="5:13" x14ac:dyDescent="0.25">
      <c r="E10642"/>
      <c r="M10642"/>
    </row>
    <row r="10643" spans="5:13" x14ac:dyDescent="0.25">
      <c r="E10643"/>
      <c r="M10643"/>
    </row>
    <row r="10644" spans="5:13" x14ac:dyDescent="0.25">
      <c r="E10644"/>
      <c r="M10644"/>
    </row>
    <row r="10645" spans="5:13" x14ac:dyDescent="0.25">
      <c r="E10645"/>
      <c r="M10645"/>
    </row>
    <row r="10646" spans="5:13" x14ac:dyDescent="0.25">
      <c r="E10646"/>
      <c r="M10646"/>
    </row>
    <row r="10647" spans="5:13" x14ac:dyDescent="0.25">
      <c r="E10647"/>
      <c r="M10647"/>
    </row>
    <row r="10648" spans="5:13" x14ac:dyDescent="0.25">
      <c r="E10648"/>
      <c r="M10648"/>
    </row>
    <row r="10649" spans="5:13" x14ac:dyDescent="0.25">
      <c r="E10649"/>
      <c r="M10649"/>
    </row>
    <row r="10650" spans="5:13" x14ac:dyDescent="0.25">
      <c r="E10650"/>
      <c r="M10650"/>
    </row>
    <row r="10651" spans="5:13" x14ac:dyDescent="0.25">
      <c r="E10651"/>
      <c r="M10651"/>
    </row>
    <row r="10652" spans="5:13" x14ac:dyDescent="0.25">
      <c r="E10652"/>
      <c r="M10652"/>
    </row>
    <row r="10653" spans="5:13" x14ac:dyDescent="0.25">
      <c r="E10653"/>
      <c r="M10653"/>
    </row>
    <row r="10654" spans="5:13" x14ac:dyDescent="0.25">
      <c r="E10654"/>
      <c r="M10654"/>
    </row>
    <row r="10655" spans="5:13" x14ac:dyDescent="0.25">
      <c r="E10655"/>
      <c r="M10655"/>
    </row>
    <row r="10656" spans="5:13" x14ac:dyDescent="0.25">
      <c r="E10656"/>
      <c r="M10656"/>
    </row>
    <row r="10657" spans="5:13" x14ac:dyDescent="0.25">
      <c r="E10657"/>
      <c r="M10657"/>
    </row>
    <row r="10658" spans="5:13" x14ac:dyDescent="0.25">
      <c r="E10658"/>
      <c r="M10658"/>
    </row>
    <row r="10659" spans="5:13" x14ac:dyDescent="0.25">
      <c r="E10659"/>
      <c r="M10659"/>
    </row>
    <row r="10660" spans="5:13" x14ac:dyDescent="0.25">
      <c r="E10660"/>
      <c r="M10660"/>
    </row>
    <row r="10661" spans="5:13" x14ac:dyDescent="0.25">
      <c r="E10661"/>
      <c r="M10661"/>
    </row>
    <row r="10662" spans="5:13" x14ac:dyDescent="0.25">
      <c r="E10662"/>
      <c r="M10662"/>
    </row>
    <row r="10663" spans="5:13" x14ac:dyDescent="0.25">
      <c r="E10663"/>
      <c r="M10663"/>
    </row>
    <row r="10664" spans="5:13" x14ac:dyDescent="0.25">
      <c r="E10664"/>
      <c r="M10664"/>
    </row>
    <row r="10665" spans="5:13" x14ac:dyDescent="0.25">
      <c r="E10665"/>
      <c r="M10665"/>
    </row>
    <row r="10666" spans="5:13" x14ac:dyDescent="0.25">
      <c r="E10666"/>
      <c r="M10666"/>
    </row>
    <row r="10667" spans="5:13" x14ac:dyDescent="0.25">
      <c r="E10667"/>
      <c r="M10667"/>
    </row>
    <row r="10668" spans="5:13" x14ac:dyDescent="0.25">
      <c r="E10668"/>
      <c r="M10668"/>
    </row>
    <row r="10669" spans="5:13" x14ac:dyDescent="0.25">
      <c r="E10669"/>
      <c r="M10669"/>
    </row>
    <row r="10670" spans="5:13" x14ac:dyDescent="0.25">
      <c r="E10670"/>
      <c r="M10670"/>
    </row>
    <row r="10671" spans="5:13" x14ac:dyDescent="0.25">
      <c r="E10671"/>
      <c r="M10671"/>
    </row>
    <row r="10672" spans="5:13" x14ac:dyDescent="0.25">
      <c r="E10672"/>
      <c r="M10672"/>
    </row>
    <row r="10673" spans="5:13" x14ac:dyDescent="0.25">
      <c r="E10673"/>
      <c r="M10673"/>
    </row>
    <row r="10674" spans="5:13" x14ac:dyDescent="0.25">
      <c r="E10674"/>
      <c r="M10674"/>
    </row>
    <row r="10675" spans="5:13" x14ac:dyDescent="0.25">
      <c r="E10675"/>
      <c r="M10675"/>
    </row>
    <row r="10676" spans="5:13" x14ac:dyDescent="0.25">
      <c r="E10676"/>
      <c r="M10676"/>
    </row>
    <row r="10677" spans="5:13" x14ac:dyDescent="0.25">
      <c r="E10677"/>
      <c r="M10677"/>
    </row>
    <row r="10678" spans="5:13" x14ac:dyDescent="0.25">
      <c r="E10678"/>
      <c r="M10678"/>
    </row>
    <row r="10679" spans="5:13" x14ac:dyDescent="0.25">
      <c r="E10679"/>
      <c r="M10679"/>
    </row>
    <row r="10680" spans="5:13" x14ac:dyDescent="0.25">
      <c r="E10680"/>
      <c r="M10680"/>
    </row>
    <row r="10681" spans="5:13" x14ac:dyDescent="0.25">
      <c r="E10681"/>
      <c r="M10681"/>
    </row>
    <row r="10682" spans="5:13" x14ac:dyDescent="0.25">
      <c r="E10682"/>
      <c r="M10682"/>
    </row>
    <row r="10683" spans="5:13" x14ac:dyDescent="0.25">
      <c r="E10683"/>
      <c r="M10683"/>
    </row>
    <row r="10684" spans="5:13" x14ac:dyDescent="0.25">
      <c r="E10684"/>
      <c r="M10684"/>
    </row>
    <row r="10685" spans="5:13" x14ac:dyDescent="0.25">
      <c r="E10685"/>
      <c r="M10685"/>
    </row>
    <row r="10686" spans="5:13" x14ac:dyDescent="0.25">
      <c r="E10686"/>
      <c r="M10686"/>
    </row>
    <row r="10687" spans="5:13" x14ac:dyDescent="0.25">
      <c r="E10687"/>
      <c r="M10687"/>
    </row>
    <row r="10688" spans="5:13" x14ac:dyDescent="0.25">
      <c r="E10688"/>
      <c r="M10688"/>
    </row>
    <row r="10689" spans="5:13" x14ac:dyDescent="0.25">
      <c r="E10689"/>
      <c r="M10689"/>
    </row>
    <row r="10690" spans="5:13" x14ac:dyDescent="0.25">
      <c r="E10690"/>
      <c r="M10690"/>
    </row>
    <row r="10691" spans="5:13" x14ac:dyDescent="0.25">
      <c r="E10691"/>
      <c r="M10691"/>
    </row>
    <row r="10692" spans="5:13" x14ac:dyDescent="0.25">
      <c r="E10692"/>
      <c r="M10692"/>
    </row>
    <row r="10693" spans="5:13" x14ac:dyDescent="0.25">
      <c r="E10693"/>
      <c r="M10693"/>
    </row>
    <row r="10694" spans="5:13" x14ac:dyDescent="0.25">
      <c r="E10694"/>
      <c r="M10694"/>
    </row>
    <row r="10695" spans="5:13" x14ac:dyDescent="0.25">
      <c r="E10695"/>
      <c r="M10695"/>
    </row>
    <row r="10696" spans="5:13" x14ac:dyDescent="0.25">
      <c r="E10696"/>
      <c r="M10696"/>
    </row>
    <row r="10697" spans="5:13" x14ac:dyDescent="0.25">
      <c r="E10697"/>
      <c r="M10697"/>
    </row>
    <row r="10698" spans="5:13" x14ac:dyDescent="0.25">
      <c r="E10698"/>
      <c r="M10698"/>
    </row>
    <row r="10699" spans="5:13" x14ac:dyDescent="0.25">
      <c r="E10699"/>
      <c r="M10699"/>
    </row>
    <row r="10700" spans="5:13" x14ac:dyDescent="0.25">
      <c r="E10700"/>
      <c r="M10700"/>
    </row>
    <row r="10701" spans="5:13" x14ac:dyDescent="0.25">
      <c r="E10701"/>
      <c r="M10701"/>
    </row>
    <row r="10702" spans="5:13" x14ac:dyDescent="0.25">
      <c r="E10702"/>
      <c r="M10702"/>
    </row>
    <row r="10703" spans="5:13" x14ac:dyDescent="0.25">
      <c r="E10703"/>
      <c r="M10703"/>
    </row>
    <row r="10704" spans="5:13" x14ac:dyDescent="0.25">
      <c r="E10704"/>
      <c r="M10704"/>
    </row>
    <row r="10705" spans="5:13" x14ac:dyDescent="0.25">
      <c r="E10705"/>
      <c r="M10705"/>
    </row>
    <row r="10706" spans="5:13" x14ac:dyDescent="0.25">
      <c r="E10706"/>
      <c r="M10706"/>
    </row>
    <row r="10707" spans="5:13" x14ac:dyDescent="0.25">
      <c r="E10707"/>
      <c r="M10707"/>
    </row>
    <row r="10708" spans="5:13" x14ac:dyDescent="0.25">
      <c r="E10708"/>
      <c r="M10708"/>
    </row>
    <row r="10709" spans="5:13" x14ac:dyDescent="0.25">
      <c r="E10709"/>
      <c r="M10709"/>
    </row>
    <row r="10710" spans="5:13" x14ac:dyDescent="0.25">
      <c r="E10710"/>
      <c r="M10710"/>
    </row>
    <row r="10711" spans="5:13" x14ac:dyDescent="0.25">
      <c r="E10711"/>
      <c r="M10711"/>
    </row>
    <row r="10712" spans="5:13" x14ac:dyDescent="0.25">
      <c r="E10712"/>
      <c r="M10712"/>
    </row>
    <row r="10713" spans="5:13" x14ac:dyDescent="0.25">
      <c r="E10713"/>
      <c r="M10713"/>
    </row>
    <row r="10714" spans="5:13" x14ac:dyDescent="0.25">
      <c r="E10714"/>
      <c r="M10714"/>
    </row>
    <row r="10715" spans="5:13" x14ac:dyDescent="0.25">
      <c r="E10715"/>
      <c r="M10715"/>
    </row>
    <row r="10716" spans="5:13" x14ac:dyDescent="0.25">
      <c r="E10716"/>
      <c r="M10716"/>
    </row>
    <row r="10717" spans="5:13" x14ac:dyDescent="0.25">
      <c r="E10717"/>
      <c r="M10717"/>
    </row>
    <row r="10718" spans="5:13" x14ac:dyDescent="0.25">
      <c r="E10718"/>
      <c r="M10718"/>
    </row>
    <row r="10719" spans="5:13" x14ac:dyDescent="0.25">
      <c r="E10719"/>
      <c r="M10719"/>
    </row>
    <row r="10720" spans="5:13" x14ac:dyDescent="0.25">
      <c r="E10720"/>
      <c r="M10720"/>
    </row>
    <row r="10721" spans="5:13" x14ac:dyDescent="0.25">
      <c r="E10721"/>
      <c r="M10721"/>
    </row>
    <row r="10722" spans="5:13" x14ac:dyDescent="0.25">
      <c r="E10722"/>
      <c r="M10722"/>
    </row>
    <row r="10723" spans="5:13" x14ac:dyDescent="0.25">
      <c r="E10723"/>
      <c r="M10723"/>
    </row>
    <row r="10724" spans="5:13" x14ac:dyDescent="0.25">
      <c r="E10724"/>
      <c r="M10724"/>
    </row>
    <row r="10725" spans="5:13" x14ac:dyDescent="0.25">
      <c r="E10725"/>
      <c r="M10725"/>
    </row>
    <row r="10726" spans="5:13" x14ac:dyDescent="0.25">
      <c r="E10726"/>
      <c r="M10726"/>
    </row>
    <row r="10727" spans="5:13" x14ac:dyDescent="0.25">
      <c r="E10727"/>
      <c r="M10727"/>
    </row>
    <row r="10728" spans="5:13" x14ac:dyDescent="0.25">
      <c r="E10728"/>
      <c r="M10728"/>
    </row>
    <row r="10729" spans="5:13" x14ac:dyDescent="0.25">
      <c r="E10729"/>
      <c r="M10729"/>
    </row>
    <row r="10730" spans="5:13" x14ac:dyDescent="0.25">
      <c r="E10730"/>
      <c r="M10730"/>
    </row>
    <row r="10731" spans="5:13" x14ac:dyDescent="0.25">
      <c r="E10731"/>
      <c r="M10731"/>
    </row>
    <row r="10732" spans="5:13" x14ac:dyDescent="0.25">
      <c r="E10732"/>
      <c r="M10732"/>
    </row>
    <row r="10733" spans="5:13" x14ac:dyDescent="0.25">
      <c r="E10733"/>
      <c r="M10733"/>
    </row>
    <row r="10734" spans="5:13" x14ac:dyDescent="0.25">
      <c r="E10734"/>
      <c r="M10734"/>
    </row>
    <row r="10735" spans="5:13" x14ac:dyDescent="0.25">
      <c r="E10735"/>
      <c r="M10735"/>
    </row>
    <row r="10736" spans="5:13" x14ac:dyDescent="0.25">
      <c r="E10736"/>
      <c r="M10736"/>
    </row>
    <row r="10737" spans="5:13" x14ac:dyDescent="0.25">
      <c r="E10737"/>
      <c r="M10737"/>
    </row>
    <row r="10738" spans="5:13" x14ac:dyDescent="0.25">
      <c r="E10738"/>
      <c r="M10738"/>
    </row>
    <row r="10739" spans="5:13" x14ac:dyDescent="0.25">
      <c r="E10739"/>
      <c r="M10739"/>
    </row>
    <row r="10740" spans="5:13" x14ac:dyDescent="0.25">
      <c r="E10740"/>
      <c r="M10740"/>
    </row>
    <row r="10741" spans="5:13" x14ac:dyDescent="0.25">
      <c r="E10741"/>
      <c r="M10741"/>
    </row>
    <row r="10742" spans="5:13" x14ac:dyDescent="0.25">
      <c r="E10742"/>
      <c r="M10742"/>
    </row>
    <row r="10743" spans="5:13" x14ac:dyDescent="0.25">
      <c r="E10743"/>
      <c r="M10743"/>
    </row>
    <row r="10744" spans="5:13" x14ac:dyDescent="0.25">
      <c r="E10744"/>
      <c r="M10744"/>
    </row>
    <row r="10745" spans="5:13" x14ac:dyDescent="0.25">
      <c r="E10745"/>
      <c r="M10745"/>
    </row>
    <row r="10746" spans="5:13" x14ac:dyDescent="0.25">
      <c r="E10746"/>
      <c r="M10746"/>
    </row>
    <row r="10747" spans="5:13" x14ac:dyDescent="0.25">
      <c r="E10747"/>
      <c r="M10747"/>
    </row>
    <row r="10748" spans="5:13" x14ac:dyDescent="0.25">
      <c r="E10748"/>
      <c r="M10748"/>
    </row>
    <row r="10749" spans="5:13" x14ac:dyDescent="0.25">
      <c r="E10749"/>
      <c r="M10749"/>
    </row>
    <row r="10750" spans="5:13" x14ac:dyDescent="0.25">
      <c r="E10750"/>
      <c r="M10750"/>
    </row>
    <row r="10751" spans="5:13" x14ac:dyDescent="0.25">
      <c r="E10751"/>
      <c r="M10751"/>
    </row>
    <row r="10752" spans="5:13" x14ac:dyDescent="0.25">
      <c r="E10752"/>
      <c r="M10752"/>
    </row>
    <row r="10753" spans="5:13" x14ac:dyDescent="0.25">
      <c r="E10753"/>
      <c r="M10753"/>
    </row>
    <row r="10754" spans="5:13" x14ac:dyDescent="0.25">
      <c r="E10754"/>
      <c r="M10754"/>
    </row>
    <row r="10755" spans="5:13" x14ac:dyDescent="0.25">
      <c r="E10755"/>
      <c r="M10755"/>
    </row>
    <row r="10756" spans="5:13" x14ac:dyDescent="0.25">
      <c r="E10756"/>
      <c r="M10756"/>
    </row>
    <row r="10757" spans="5:13" x14ac:dyDescent="0.25">
      <c r="E10757"/>
      <c r="M10757"/>
    </row>
    <row r="10758" spans="5:13" x14ac:dyDescent="0.25">
      <c r="E10758"/>
      <c r="M10758"/>
    </row>
    <row r="10759" spans="5:13" x14ac:dyDescent="0.25">
      <c r="E10759"/>
      <c r="M10759"/>
    </row>
    <row r="10760" spans="5:13" x14ac:dyDescent="0.25">
      <c r="E10760"/>
      <c r="M10760"/>
    </row>
    <row r="10761" spans="5:13" x14ac:dyDescent="0.25">
      <c r="E10761"/>
      <c r="M10761"/>
    </row>
    <row r="10762" spans="5:13" x14ac:dyDescent="0.25">
      <c r="E10762"/>
      <c r="M10762"/>
    </row>
    <row r="10763" spans="5:13" x14ac:dyDescent="0.25">
      <c r="E10763"/>
      <c r="M10763"/>
    </row>
    <row r="10764" spans="5:13" x14ac:dyDescent="0.25">
      <c r="E10764"/>
      <c r="M10764"/>
    </row>
    <row r="10765" spans="5:13" x14ac:dyDescent="0.25">
      <c r="E10765"/>
      <c r="M10765"/>
    </row>
    <row r="10766" spans="5:13" x14ac:dyDescent="0.25">
      <c r="E10766"/>
      <c r="M10766"/>
    </row>
    <row r="10767" spans="5:13" x14ac:dyDescent="0.25">
      <c r="E10767"/>
      <c r="M10767"/>
    </row>
    <row r="10768" spans="5:13" x14ac:dyDescent="0.25">
      <c r="E10768"/>
      <c r="M10768"/>
    </row>
    <row r="10769" spans="5:13" x14ac:dyDescent="0.25">
      <c r="E10769"/>
      <c r="M10769"/>
    </row>
    <row r="10770" spans="5:13" x14ac:dyDescent="0.25">
      <c r="E10770"/>
      <c r="M10770"/>
    </row>
    <row r="10771" spans="5:13" x14ac:dyDescent="0.25">
      <c r="E10771"/>
      <c r="M10771"/>
    </row>
    <row r="10772" spans="5:13" x14ac:dyDescent="0.25">
      <c r="E10772"/>
      <c r="M10772"/>
    </row>
    <row r="10773" spans="5:13" x14ac:dyDescent="0.25">
      <c r="E10773"/>
      <c r="M10773"/>
    </row>
    <row r="10774" spans="5:13" x14ac:dyDescent="0.25">
      <c r="E10774"/>
      <c r="M10774"/>
    </row>
    <row r="10775" spans="5:13" x14ac:dyDescent="0.25">
      <c r="E10775"/>
      <c r="M10775"/>
    </row>
    <row r="10776" spans="5:13" x14ac:dyDescent="0.25">
      <c r="E10776"/>
      <c r="M10776"/>
    </row>
    <row r="10777" spans="5:13" x14ac:dyDescent="0.25">
      <c r="E10777"/>
      <c r="M10777"/>
    </row>
    <row r="10778" spans="5:13" x14ac:dyDescent="0.25">
      <c r="E10778"/>
      <c r="M10778"/>
    </row>
    <row r="10779" spans="5:13" x14ac:dyDescent="0.25">
      <c r="E10779"/>
      <c r="M10779"/>
    </row>
    <row r="10780" spans="5:13" x14ac:dyDescent="0.25">
      <c r="E10780"/>
      <c r="M10780"/>
    </row>
    <row r="10781" spans="5:13" x14ac:dyDescent="0.25">
      <c r="E10781"/>
      <c r="M10781"/>
    </row>
    <row r="10782" spans="5:13" x14ac:dyDescent="0.25">
      <c r="E10782"/>
      <c r="M10782"/>
    </row>
    <row r="10783" spans="5:13" x14ac:dyDescent="0.25">
      <c r="E10783"/>
      <c r="M10783"/>
    </row>
    <row r="10784" spans="5:13" x14ac:dyDescent="0.25">
      <c r="E10784"/>
      <c r="M10784"/>
    </row>
    <row r="10785" spans="5:13" x14ac:dyDescent="0.25">
      <c r="E10785"/>
      <c r="M10785"/>
    </row>
    <row r="10786" spans="5:13" x14ac:dyDescent="0.25">
      <c r="E10786"/>
      <c r="M10786"/>
    </row>
    <row r="10787" spans="5:13" x14ac:dyDescent="0.25">
      <c r="E10787"/>
      <c r="M10787"/>
    </row>
    <row r="10788" spans="5:13" x14ac:dyDescent="0.25">
      <c r="E10788"/>
      <c r="M10788"/>
    </row>
    <row r="10789" spans="5:13" x14ac:dyDescent="0.25">
      <c r="E10789"/>
      <c r="M10789"/>
    </row>
    <row r="10790" spans="5:13" x14ac:dyDescent="0.25">
      <c r="E10790"/>
      <c r="M10790"/>
    </row>
    <row r="10791" spans="5:13" x14ac:dyDescent="0.25">
      <c r="E10791"/>
      <c r="M10791"/>
    </row>
    <row r="10792" spans="5:13" x14ac:dyDescent="0.25">
      <c r="E10792"/>
      <c r="M10792"/>
    </row>
    <row r="10793" spans="5:13" x14ac:dyDescent="0.25">
      <c r="E10793"/>
      <c r="M10793"/>
    </row>
    <row r="10794" spans="5:13" x14ac:dyDescent="0.25">
      <c r="E10794"/>
      <c r="M10794"/>
    </row>
    <row r="10795" spans="5:13" x14ac:dyDescent="0.25">
      <c r="E10795"/>
      <c r="M10795"/>
    </row>
    <row r="10796" spans="5:13" x14ac:dyDescent="0.25">
      <c r="E10796"/>
      <c r="M10796"/>
    </row>
    <row r="10797" spans="5:13" x14ac:dyDescent="0.25">
      <c r="E10797"/>
      <c r="M10797"/>
    </row>
    <row r="10798" spans="5:13" x14ac:dyDescent="0.25">
      <c r="E10798"/>
      <c r="M10798"/>
    </row>
    <row r="10799" spans="5:13" x14ac:dyDescent="0.25">
      <c r="E10799"/>
      <c r="M10799"/>
    </row>
    <row r="10800" spans="5:13" x14ac:dyDescent="0.25">
      <c r="E10800"/>
      <c r="M10800"/>
    </row>
    <row r="10801" spans="5:13" x14ac:dyDescent="0.25">
      <c r="E10801"/>
      <c r="M10801"/>
    </row>
    <row r="10802" spans="5:13" x14ac:dyDescent="0.25">
      <c r="E10802"/>
      <c r="M10802"/>
    </row>
    <row r="10803" spans="5:13" x14ac:dyDescent="0.25">
      <c r="E10803"/>
      <c r="M10803"/>
    </row>
    <row r="10804" spans="5:13" x14ac:dyDescent="0.25">
      <c r="E10804"/>
      <c r="M10804"/>
    </row>
    <row r="10805" spans="5:13" x14ac:dyDescent="0.25">
      <c r="E10805"/>
      <c r="M10805"/>
    </row>
    <row r="10806" spans="5:13" x14ac:dyDescent="0.25">
      <c r="E10806"/>
      <c r="M10806"/>
    </row>
    <row r="10807" spans="5:13" x14ac:dyDescent="0.25">
      <c r="E10807"/>
      <c r="M10807"/>
    </row>
    <row r="10808" spans="5:13" x14ac:dyDescent="0.25">
      <c r="E10808"/>
      <c r="M10808"/>
    </row>
    <row r="10809" spans="5:13" x14ac:dyDescent="0.25">
      <c r="E10809"/>
      <c r="M10809"/>
    </row>
    <row r="10810" spans="5:13" x14ac:dyDescent="0.25">
      <c r="E10810"/>
      <c r="M10810"/>
    </row>
    <row r="10811" spans="5:13" x14ac:dyDescent="0.25">
      <c r="E10811"/>
      <c r="M10811"/>
    </row>
    <row r="10812" spans="5:13" x14ac:dyDescent="0.25">
      <c r="E10812"/>
      <c r="M10812"/>
    </row>
    <row r="10813" spans="5:13" x14ac:dyDescent="0.25">
      <c r="E10813"/>
      <c r="M10813"/>
    </row>
    <row r="10814" spans="5:13" x14ac:dyDescent="0.25">
      <c r="E10814"/>
      <c r="M10814"/>
    </row>
    <row r="10815" spans="5:13" x14ac:dyDescent="0.25">
      <c r="E10815"/>
      <c r="M10815"/>
    </row>
    <row r="10816" spans="5:13" x14ac:dyDescent="0.25">
      <c r="E10816"/>
      <c r="M10816"/>
    </row>
    <row r="10817" spans="5:13" x14ac:dyDescent="0.25">
      <c r="E10817"/>
      <c r="M10817"/>
    </row>
    <row r="10818" spans="5:13" x14ac:dyDescent="0.25">
      <c r="E10818"/>
      <c r="M10818"/>
    </row>
    <row r="10819" spans="5:13" x14ac:dyDescent="0.25">
      <c r="E10819"/>
      <c r="M10819"/>
    </row>
    <row r="10820" spans="5:13" x14ac:dyDescent="0.25">
      <c r="E10820"/>
      <c r="M10820"/>
    </row>
    <row r="10821" spans="5:13" x14ac:dyDescent="0.25">
      <c r="E10821"/>
      <c r="M10821"/>
    </row>
    <row r="10822" spans="5:13" x14ac:dyDescent="0.25">
      <c r="E10822"/>
      <c r="M10822"/>
    </row>
    <row r="10823" spans="5:13" x14ac:dyDescent="0.25">
      <c r="E10823"/>
      <c r="M10823"/>
    </row>
    <row r="10824" spans="5:13" x14ac:dyDescent="0.25">
      <c r="E10824"/>
      <c r="M10824"/>
    </row>
    <row r="10825" spans="5:13" x14ac:dyDescent="0.25">
      <c r="E10825"/>
      <c r="M10825"/>
    </row>
    <row r="10826" spans="5:13" x14ac:dyDescent="0.25">
      <c r="E10826"/>
      <c r="M10826"/>
    </row>
    <row r="10827" spans="5:13" x14ac:dyDescent="0.25">
      <c r="E10827"/>
      <c r="M10827"/>
    </row>
    <row r="10828" spans="5:13" x14ac:dyDescent="0.25">
      <c r="E10828"/>
      <c r="M10828"/>
    </row>
    <row r="10829" spans="5:13" x14ac:dyDescent="0.25">
      <c r="E10829"/>
      <c r="M10829"/>
    </row>
    <row r="10830" spans="5:13" x14ac:dyDescent="0.25">
      <c r="E10830"/>
      <c r="M10830"/>
    </row>
    <row r="10831" spans="5:13" x14ac:dyDescent="0.25">
      <c r="E10831"/>
      <c r="M10831"/>
    </row>
    <row r="10832" spans="5:13" x14ac:dyDescent="0.25">
      <c r="E10832"/>
      <c r="M10832"/>
    </row>
    <row r="10833" spans="5:13" x14ac:dyDescent="0.25">
      <c r="E10833"/>
      <c r="M10833"/>
    </row>
    <row r="10834" spans="5:13" x14ac:dyDescent="0.25">
      <c r="E10834"/>
      <c r="M10834"/>
    </row>
    <row r="10835" spans="5:13" x14ac:dyDescent="0.25">
      <c r="E10835"/>
      <c r="M10835"/>
    </row>
    <row r="10836" spans="5:13" x14ac:dyDescent="0.25">
      <c r="E10836"/>
      <c r="M10836"/>
    </row>
    <row r="10837" spans="5:13" x14ac:dyDescent="0.25">
      <c r="E10837"/>
      <c r="M10837"/>
    </row>
    <row r="10838" spans="5:13" x14ac:dyDescent="0.25">
      <c r="E10838"/>
      <c r="M10838"/>
    </row>
    <row r="10839" spans="5:13" x14ac:dyDescent="0.25">
      <c r="E10839"/>
      <c r="M10839"/>
    </row>
    <row r="10840" spans="5:13" x14ac:dyDescent="0.25">
      <c r="E10840"/>
      <c r="M10840"/>
    </row>
    <row r="10841" spans="5:13" x14ac:dyDescent="0.25">
      <c r="E10841"/>
      <c r="M10841"/>
    </row>
    <row r="10842" spans="5:13" x14ac:dyDescent="0.25">
      <c r="E10842"/>
      <c r="M10842"/>
    </row>
    <row r="10843" spans="5:13" x14ac:dyDescent="0.25">
      <c r="E10843"/>
      <c r="M10843"/>
    </row>
    <row r="10844" spans="5:13" x14ac:dyDescent="0.25">
      <c r="E10844"/>
      <c r="M10844"/>
    </row>
    <row r="10845" spans="5:13" x14ac:dyDescent="0.25">
      <c r="E10845"/>
      <c r="M10845"/>
    </row>
    <row r="10846" spans="5:13" x14ac:dyDescent="0.25">
      <c r="E10846"/>
      <c r="M10846"/>
    </row>
    <row r="10847" spans="5:13" x14ac:dyDescent="0.25">
      <c r="E10847"/>
      <c r="M10847"/>
    </row>
    <row r="10848" spans="5:13" x14ac:dyDescent="0.25">
      <c r="E10848"/>
      <c r="M10848"/>
    </row>
    <row r="10849" spans="5:13" x14ac:dyDescent="0.25">
      <c r="E10849"/>
      <c r="M10849"/>
    </row>
    <row r="10850" spans="5:13" x14ac:dyDescent="0.25">
      <c r="E10850"/>
      <c r="M10850"/>
    </row>
    <row r="10851" spans="5:13" x14ac:dyDescent="0.25">
      <c r="E10851"/>
      <c r="M10851"/>
    </row>
    <row r="10852" spans="5:13" x14ac:dyDescent="0.25">
      <c r="E10852"/>
      <c r="M10852"/>
    </row>
    <row r="10853" spans="5:13" x14ac:dyDescent="0.25">
      <c r="E10853"/>
      <c r="M10853"/>
    </row>
    <row r="10854" spans="5:13" x14ac:dyDescent="0.25">
      <c r="E10854"/>
      <c r="M10854"/>
    </row>
    <row r="10855" spans="5:13" x14ac:dyDescent="0.25">
      <c r="E10855"/>
      <c r="M10855"/>
    </row>
    <row r="10856" spans="5:13" x14ac:dyDescent="0.25">
      <c r="E10856"/>
      <c r="M10856"/>
    </row>
    <row r="10857" spans="5:13" x14ac:dyDescent="0.25">
      <c r="E10857"/>
      <c r="M10857"/>
    </row>
    <row r="10858" spans="5:13" x14ac:dyDescent="0.25">
      <c r="E10858"/>
      <c r="M10858"/>
    </row>
    <row r="10859" spans="5:13" x14ac:dyDescent="0.25">
      <c r="E10859"/>
      <c r="M10859"/>
    </row>
    <row r="10860" spans="5:13" x14ac:dyDescent="0.25">
      <c r="E10860"/>
      <c r="M10860"/>
    </row>
    <row r="10861" spans="5:13" x14ac:dyDescent="0.25">
      <c r="E10861"/>
      <c r="M10861"/>
    </row>
    <row r="10862" spans="5:13" x14ac:dyDescent="0.25">
      <c r="E10862"/>
      <c r="M10862"/>
    </row>
    <row r="10863" spans="5:13" x14ac:dyDescent="0.25">
      <c r="E10863"/>
      <c r="M10863"/>
    </row>
    <row r="10864" spans="5:13" x14ac:dyDescent="0.25">
      <c r="E10864"/>
      <c r="M10864"/>
    </row>
    <row r="10865" spans="5:13" x14ac:dyDescent="0.25">
      <c r="E10865"/>
      <c r="M10865"/>
    </row>
    <row r="10866" spans="5:13" x14ac:dyDescent="0.25">
      <c r="E10866"/>
      <c r="M10866"/>
    </row>
    <row r="10867" spans="5:13" x14ac:dyDescent="0.25">
      <c r="E10867"/>
      <c r="M10867"/>
    </row>
    <row r="10868" spans="5:13" x14ac:dyDescent="0.25">
      <c r="E10868"/>
      <c r="M10868"/>
    </row>
    <row r="10869" spans="5:13" x14ac:dyDescent="0.25">
      <c r="E10869"/>
      <c r="M10869"/>
    </row>
    <row r="10870" spans="5:13" x14ac:dyDescent="0.25">
      <c r="E10870"/>
      <c r="M10870"/>
    </row>
    <row r="10871" spans="5:13" x14ac:dyDescent="0.25">
      <c r="E10871"/>
      <c r="M10871"/>
    </row>
    <row r="10872" spans="5:13" x14ac:dyDescent="0.25">
      <c r="E10872"/>
      <c r="M10872"/>
    </row>
    <row r="10873" spans="5:13" x14ac:dyDescent="0.25">
      <c r="E10873"/>
      <c r="M10873"/>
    </row>
    <row r="10874" spans="5:13" x14ac:dyDescent="0.25">
      <c r="E10874"/>
      <c r="M10874"/>
    </row>
    <row r="10875" spans="5:13" x14ac:dyDescent="0.25">
      <c r="E10875"/>
      <c r="M10875"/>
    </row>
    <row r="10876" spans="5:13" x14ac:dyDescent="0.25">
      <c r="E10876"/>
      <c r="M10876"/>
    </row>
    <row r="10877" spans="5:13" x14ac:dyDescent="0.25">
      <c r="E10877"/>
      <c r="M10877"/>
    </row>
    <row r="10878" spans="5:13" x14ac:dyDescent="0.25">
      <c r="E10878"/>
      <c r="M10878"/>
    </row>
    <row r="10879" spans="5:13" x14ac:dyDescent="0.25">
      <c r="E10879"/>
      <c r="M10879"/>
    </row>
    <row r="10880" spans="5:13" x14ac:dyDescent="0.25">
      <c r="E10880"/>
      <c r="M10880"/>
    </row>
    <row r="10881" spans="5:13" x14ac:dyDescent="0.25">
      <c r="E10881"/>
      <c r="M10881"/>
    </row>
    <row r="10882" spans="5:13" x14ac:dyDescent="0.25">
      <c r="E10882"/>
      <c r="M10882"/>
    </row>
    <row r="10883" spans="5:13" x14ac:dyDescent="0.25">
      <c r="E10883"/>
      <c r="M10883"/>
    </row>
    <row r="10884" spans="5:13" x14ac:dyDescent="0.25">
      <c r="E10884"/>
      <c r="M10884"/>
    </row>
    <row r="10885" spans="5:13" x14ac:dyDescent="0.25">
      <c r="E10885"/>
      <c r="M10885"/>
    </row>
    <row r="10886" spans="5:13" x14ac:dyDescent="0.25">
      <c r="E10886"/>
      <c r="M10886"/>
    </row>
    <row r="10887" spans="5:13" x14ac:dyDescent="0.25">
      <c r="E10887"/>
      <c r="M10887"/>
    </row>
    <row r="10888" spans="5:13" x14ac:dyDescent="0.25">
      <c r="E10888"/>
      <c r="M10888"/>
    </row>
    <row r="10889" spans="5:13" x14ac:dyDescent="0.25">
      <c r="E10889"/>
      <c r="M10889"/>
    </row>
    <row r="10890" spans="5:13" x14ac:dyDescent="0.25">
      <c r="E10890"/>
      <c r="M10890"/>
    </row>
    <row r="10891" spans="5:13" x14ac:dyDescent="0.25">
      <c r="E10891"/>
      <c r="M10891"/>
    </row>
    <row r="10892" spans="5:13" x14ac:dyDescent="0.25">
      <c r="E10892"/>
      <c r="M10892"/>
    </row>
    <row r="10893" spans="5:13" x14ac:dyDescent="0.25">
      <c r="E10893"/>
      <c r="M10893"/>
    </row>
    <row r="10894" spans="5:13" x14ac:dyDescent="0.25">
      <c r="E10894"/>
      <c r="M10894"/>
    </row>
    <row r="10895" spans="5:13" x14ac:dyDescent="0.25">
      <c r="E10895"/>
      <c r="M10895"/>
    </row>
    <row r="10896" spans="5:13" x14ac:dyDescent="0.25">
      <c r="E10896"/>
      <c r="M10896"/>
    </row>
    <row r="10897" spans="5:13" x14ac:dyDescent="0.25">
      <c r="E10897"/>
      <c r="M10897"/>
    </row>
    <row r="10898" spans="5:13" x14ac:dyDescent="0.25">
      <c r="E10898"/>
      <c r="M10898"/>
    </row>
    <row r="10899" spans="5:13" x14ac:dyDescent="0.25">
      <c r="E10899"/>
      <c r="M10899"/>
    </row>
    <row r="10900" spans="5:13" x14ac:dyDescent="0.25">
      <c r="E10900"/>
      <c r="M10900"/>
    </row>
    <row r="10901" spans="5:13" x14ac:dyDescent="0.25">
      <c r="E10901"/>
      <c r="M10901"/>
    </row>
    <row r="10902" spans="5:13" x14ac:dyDescent="0.25">
      <c r="E10902"/>
      <c r="M10902"/>
    </row>
    <row r="10903" spans="5:13" x14ac:dyDescent="0.25">
      <c r="E10903"/>
      <c r="M10903"/>
    </row>
    <row r="10904" spans="5:13" x14ac:dyDescent="0.25">
      <c r="E10904"/>
      <c r="M10904"/>
    </row>
    <row r="10905" spans="5:13" x14ac:dyDescent="0.25">
      <c r="E10905"/>
      <c r="M10905"/>
    </row>
    <row r="10906" spans="5:13" x14ac:dyDescent="0.25">
      <c r="E10906"/>
      <c r="M10906"/>
    </row>
    <row r="10907" spans="5:13" x14ac:dyDescent="0.25">
      <c r="E10907"/>
      <c r="M10907"/>
    </row>
    <row r="10908" spans="5:13" x14ac:dyDescent="0.25">
      <c r="E10908"/>
      <c r="M10908"/>
    </row>
    <row r="10909" spans="5:13" x14ac:dyDescent="0.25">
      <c r="E10909"/>
      <c r="M10909"/>
    </row>
    <row r="10910" spans="5:13" x14ac:dyDescent="0.25">
      <c r="E10910"/>
      <c r="M10910"/>
    </row>
    <row r="10911" spans="5:13" x14ac:dyDescent="0.25">
      <c r="E10911"/>
      <c r="M10911"/>
    </row>
    <row r="10912" spans="5:13" x14ac:dyDescent="0.25">
      <c r="E10912"/>
      <c r="M10912"/>
    </row>
    <row r="10913" spans="5:13" x14ac:dyDescent="0.25">
      <c r="E10913"/>
      <c r="M10913"/>
    </row>
    <row r="10914" spans="5:13" x14ac:dyDescent="0.25">
      <c r="E10914"/>
      <c r="M10914"/>
    </row>
    <row r="10915" spans="5:13" x14ac:dyDescent="0.25">
      <c r="E10915"/>
      <c r="M10915"/>
    </row>
    <row r="10916" spans="5:13" x14ac:dyDescent="0.25">
      <c r="E10916"/>
      <c r="M10916"/>
    </row>
    <row r="10917" spans="5:13" x14ac:dyDescent="0.25">
      <c r="E10917"/>
      <c r="M10917"/>
    </row>
    <row r="10918" spans="5:13" x14ac:dyDescent="0.25">
      <c r="E10918"/>
      <c r="M10918"/>
    </row>
    <row r="10919" spans="5:13" x14ac:dyDescent="0.25">
      <c r="E10919"/>
      <c r="M10919"/>
    </row>
    <row r="10920" spans="5:13" x14ac:dyDescent="0.25">
      <c r="E10920"/>
      <c r="M10920"/>
    </row>
    <row r="10921" spans="5:13" x14ac:dyDescent="0.25">
      <c r="E10921"/>
      <c r="M10921"/>
    </row>
    <row r="10922" spans="5:13" x14ac:dyDescent="0.25">
      <c r="E10922"/>
      <c r="M10922"/>
    </row>
    <row r="10923" spans="5:13" x14ac:dyDescent="0.25">
      <c r="E10923"/>
      <c r="M10923"/>
    </row>
    <row r="10924" spans="5:13" x14ac:dyDescent="0.25">
      <c r="E10924"/>
      <c r="M10924"/>
    </row>
    <row r="10925" spans="5:13" x14ac:dyDescent="0.25">
      <c r="E10925"/>
      <c r="M10925"/>
    </row>
    <row r="10926" spans="5:13" x14ac:dyDescent="0.25">
      <c r="E10926"/>
      <c r="M10926"/>
    </row>
    <row r="10927" spans="5:13" x14ac:dyDescent="0.25">
      <c r="E10927"/>
      <c r="M10927"/>
    </row>
    <row r="10928" spans="5:13" x14ac:dyDescent="0.25">
      <c r="E10928"/>
      <c r="M10928"/>
    </row>
    <row r="10929" spans="5:13" x14ac:dyDescent="0.25">
      <c r="E10929"/>
      <c r="M10929"/>
    </row>
    <row r="10930" spans="5:13" x14ac:dyDescent="0.25">
      <c r="E10930"/>
      <c r="M10930"/>
    </row>
    <row r="10931" spans="5:13" x14ac:dyDescent="0.25">
      <c r="E10931"/>
      <c r="M10931"/>
    </row>
    <row r="10932" spans="5:13" x14ac:dyDescent="0.25">
      <c r="E10932"/>
      <c r="M10932"/>
    </row>
    <row r="10933" spans="5:13" x14ac:dyDescent="0.25">
      <c r="E10933"/>
      <c r="M10933"/>
    </row>
    <row r="10934" spans="5:13" x14ac:dyDescent="0.25">
      <c r="E10934"/>
      <c r="M10934"/>
    </row>
    <row r="10935" spans="5:13" x14ac:dyDescent="0.25">
      <c r="E10935"/>
      <c r="M10935"/>
    </row>
    <row r="10936" spans="5:13" x14ac:dyDescent="0.25">
      <c r="E10936"/>
      <c r="M10936"/>
    </row>
    <row r="10937" spans="5:13" x14ac:dyDescent="0.25">
      <c r="E10937"/>
      <c r="M10937"/>
    </row>
    <row r="10938" spans="5:13" x14ac:dyDescent="0.25">
      <c r="E10938"/>
      <c r="M10938"/>
    </row>
    <row r="10939" spans="5:13" x14ac:dyDescent="0.25">
      <c r="E10939"/>
      <c r="M10939"/>
    </row>
    <row r="10940" spans="5:13" x14ac:dyDescent="0.25">
      <c r="E10940"/>
      <c r="M10940"/>
    </row>
    <row r="10941" spans="5:13" x14ac:dyDescent="0.25">
      <c r="E10941"/>
      <c r="M10941"/>
    </row>
    <row r="10942" spans="5:13" x14ac:dyDescent="0.25">
      <c r="E10942"/>
      <c r="M10942"/>
    </row>
    <row r="10943" spans="5:13" x14ac:dyDescent="0.25">
      <c r="E10943"/>
      <c r="M10943"/>
    </row>
    <row r="10944" spans="5:13" x14ac:dyDescent="0.25">
      <c r="E10944"/>
      <c r="M10944"/>
    </row>
    <row r="10945" spans="5:13" x14ac:dyDescent="0.25">
      <c r="E10945"/>
      <c r="M10945"/>
    </row>
    <row r="10946" spans="5:13" x14ac:dyDescent="0.25">
      <c r="E10946"/>
      <c r="M10946"/>
    </row>
    <row r="10947" spans="5:13" x14ac:dyDescent="0.25">
      <c r="E10947"/>
      <c r="M10947"/>
    </row>
    <row r="10948" spans="5:13" x14ac:dyDescent="0.25">
      <c r="E10948"/>
      <c r="M10948"/>
    </row>
    <row r="10949" spans="5:13" x14ac:dyDescent="0.25">
      <c r="E10949"/>
      <c r="M10949"/>
    </row>
    <row r="10950" spans="5:13" x14ac:dyDescent="0.25">
      <c r="E10950"/>
      <c r="M10950"/>
    </row>
    <row r="10951" spans="5:13" x14ac:dyDescent="0.25">
      <c r="E10951"/>
      <c r="M10951"/>
    </row>
    <row r="10952" spans="5:13" x14ac:dyDescent="0.25">
      <c r="E10952"/>
      <c r="M10952"/>
    </row>
    <row r="10953" spans="5:13" x14ac:dyDescent="0.25">
      <c r="E10953"/>
      <c r="M10953"/>
    </row>
    <row r="10954" spans="5:13" x14ac:dyDescent="0.25">
      <c r="E10954"/>
      <c r="M10954"/>
    </row>
    <row r="10955" spans="5:13" x14ac:dyDescent="0.25">
      <c r="E10955"/>
      <c r="M10955"/>
    </row>
    <row r="10956" spans="5:13" x14ac:dyDescent="0.25">
      <c r="E10956"/>
      <c r="M10956"/>
    </row>
    <row r="10957" spans="5:13" x14ac:dyDescent="0.25">
      <c r="E10957"/>
      <c r="M10957"/>
    </row>
    <row r="10958" spans="5:13" x14ac:dyDescent="0.25">
      <c r="E10958"/>
      <c r="M10958"/>
    </row>
    <row r="10959" spans="5:13" x14ac:dyDescent="0.25">
      <c r="E10959"/>
      <c r="M10959"/>
    </row>
    <row r="10960" spans="5:13" x14ac:dyDescent="0.25">
      <c r="E10960"/>
      <c r="M10960"/>
    </row>
    <row r="10961" spans="5:13" x14ac:dyDescent="0.25">
      <c r="E10961"/>
      <c r="M10961"/>
    </row>
    <row r="10962" spans="5:13" x14ac:dyDescent="0.25">
      <c r="E10962"/>
      <c r="M10962"/>
    </row>
    <row r="10963" spans="5:13" x14ac:dyDescent="0.25">
      <c r="E10963"/>
      <c r="M10963"/>
    </row>
    <row r="10964" spans="5:13" x14ac:dyDescent="0.25">
      <c r="E10964"/>
      <c r="M10964"/>
    </row>
    <row r="10965" spans="5:13" x14ac:dyDescent="0.25">
      <c r="E10965"/>
      <c r="M10965"/>
    </row>
    <row r="10966" spans="5:13" x14ac:dyDescent="0.25">
      <c r="E10966"/>
      <c r="M10966"/>
    </row>
    <row r="10967" spans="5:13" x14ac:dyDescent="0.25">
      <c r="E10967"/>
      <c r="M10967"/>
    </row>
    <row r="10968" spans="5:13" x14ac:dyDescent="0.25">
      <c r="E10968"/>
      <c r="M10968"/>
    </row>
    <row r="10969" spans="5:13" x14ac:dyDescent="0.25">
      <c r="E10969"/>
      <c r="M10969"/>
    </row>
    <row r="10970" spans="5:13" x14ac:dyDescent="0.25">
      <c r="E10970"/>
      <c r="M10970"/>
    </row>
    <row r="10971" spans="5:13" x14ac:dyDescent="0.25">
      <c r="E10971"/>
      <c r="M10971"/>
    </row>
    <row r="10972" spans="5:13" x14ac:dyDescent="0.25">
      <c r="E10972"/>
      <c r="M10972"/>
    </row>
    <row r="10973" spans="5:13" x14ac:dyDescent="0.25">
      <c r="E10973"/>
      <c r="M10973"/>
    </row>
    <row r="10974" spans="5:13" x14ac:dyDescent="0.25">
      <c r="E10974"/>
      <c r="M10974"/>
    </row>
    <row r="10975" spans="5:13" x14ac:dyDescent="0.25">
      <c r="E10975"/>
      <c r="M10975"/>
    </row>
    <row r="10976" spans="5:13" x14ac:dyDescent="0.25">
      <c r="E10976"/>
      <c r="M10976"/>
    </row>
    <row r="10977" spans="5:13" x14ac:dyDescent="0.25">
      <c r="E10977"/>
      <c r="M10977"/>
    </row>
    <row r="10978" spans="5:13" x14ac:dyDescent="0.25">
      <c r="E10978"/>
      <c r="M10978"/>
    </row>
    <row r="10979" spans="5:13" x14ac:dyDescent="0.25">
      <c r="E10979"/>
      <c r="M10979"/>
    </row>
    <row r="10980" spans="5:13" x14ac:dyDescent="0.25">
      <c r="E10980"/>
      <c r="M10980"/>
    </row>
    <row r="10981" spans="5:13" x14ac:dyDescent="0.25">
      <c r="E10981"/>
      <c r="M10981"/>
    </row>
    <row r="10982" spans="5:13" x14ac:dyDescent="0.25">
      <c r="E10982"/>
      <c r="M10982"/>
    </row>
    <row r="10983" spans="5:13" x14ac:dyDescent="0.25">
      <c r="E10983"/>
      <c r="M10983"/>
    </row>
    <row r="10984" spans="5:13" x14ac:dyDescent="0.25">
      <c r="E10984"/>
      <c r="M10984"/>
    </row>
    <row r="10985" spans="5:13" x14ac:dyDescent="0.25">
      <c r="E10985"/>
      <c r="M10985"/>
    </row>
    <row r="10986" spans="5:13" x14ac:dyDescent="0.25">
      <c r="E10986"/>
      <c r="M10986"/>
    </row>
    <row r="10987" spans="5:13" x14ac:dyDescent="0.25">
      <c r="E10987"/>
      <c r="M10987"/>
    </row>
    <row r="10988" spans="5:13" x14ac:dyDescent="0.25">
      <c r="E10988"/>
      <c r="M10988"/>
    </row>
    <row r="10989" spans="5:13" x14ac:dyDescent="0.25">
      <c r="E10989"/>
      <c r="M10989"/>
    </row>
    <row r="10990" spans="5:13" x14ac:dyDescent="0.25">
      <c r="E10990"/>
      <c r="M10990"/>
    </row>
    <row r="10991" spans="5:13" x14ac:dyDescent="0.25">
      <c r="E10991"/>
      <c r="M10991"/>
    </row>
    <row r="10992" spans="5:13" x14ac:dyDescent="0.25">
      <c r="E10992"/>
      <c r="M10992"/>
    </row>
    <row r="10993" spans="5:13" x14ac:dyDescent="0.25">
      <c r="E10993"/>
      <c r="M10993"/>
    </row>
    <row r="10994" spans="5:13" x14ac:dyDescent="0.25">
      <c r="E10994"/>
      <c r="M10994"/>
    </row>
    <row r="10995" spans="5:13" x14ac:dyDescent="0.25">
      <c r="E10995"/>
      <c r="M10995"/>
    </row>
    <row r="10996" spans="5:13" x14ac:dyDescent="0.25">
      <c r="E10996"/>
      <c r="M10996"/>
    </row>
    <row r="10997" spans="5:13" x14ac:dyDescent="0.25">
      <c r="E10997"/>
      <c r="M10997"/>
    </row>
    <row r="10998" spans="5:13" x14ac:dyDescent="0.25">
      <c r="E10998"/>
      <c r="M10998"/>
    </row>
    <row r="10999" spans="5:13" x14ac:dyDescent="0.25">
      <c r="E10999"/>
      <c r="M10999"/>
    </row>
    <row r="11000" spans="5:13" x14ac:dyDescent="0.25">
      <c r="E11000"/>
      <c r="M11000"/>
    </row>
    <row r="11001" spans="5:13" x14ac:dyDescent="0.25">
      <c r="E11001"/>
      <c r="M11001"/>
    </row>
    <row r="11002" spans="5:13" x14ac:dyDescent="0.25">
      <c r="E11002"/>
      <c r="M11002"/>
    </row>
    <row r="11003" spans="5:13" x14ac:dyDescent="0.25">
      <c r="E11003"/>
      <c r="M11003"/>
    </row>
    <row r="11004" spans="5:13" x14ac:dyDescent="0.25">
      <c r="E11004"/>
      <c r="M11004"/>
    </row>
    <row r="11005" spans="5:13" x14ac:dyDescent="0.25">
      <c r="E11005"/>
      <c r="M11005"/>
    </row>
    <row r="11006" spans="5:13" x14ac:dyDescent="0.25">
      <c r="E11006"/>
      <c r="M11006"/>
    </row>
    <row r="11007" spans="5:13" x14ac:dyDescent="0.25">
      <c r="E11007"/>
      <c r="M11007"/>
    </row>
    <row r="11008" spans="5:13" x14ac:dyDescent="0.25">
      <c r="E11008"/>
      <c r="M11008"/>
    </row>
    <row r="11009" spans="5:13" x14ac:dyDescent="0.25">
      <c r="E11009"/>
      <c r="M11009"/>
    </row>
    <row r="11010" spans="5:13" x14ac:dyDescent="0.25">
      <c r="E11010"/>
      <c r="M11010"/>
    </row>
    <row r="11011" spans="5:13" x14ac:dyDescent="0.25">
      <c r="E11011"/>
      <c r="M11011"/>
    </row>
    <row r="11012" spans="5:13" x14ac:dyDescent="0.25">
      <c r="E11012"/>
      <c r="M11012"/>
    </row>
    <row r="11013" spans="5:13" x14ac:dyDescent="0.25">
      <c r="E11013"/>
      <c r="M11013"/>
    </row>
    <row r="11014" spans="5:13" x14ac:dyDescent="0.25">
      <c r="E11014"/>
      <c r="M11014"/>
    </row>
    <row r="11015" spans="5:13" x14ac:dyDescent="0.25">
      <c r="E11015"/>
      <c r="M11015"/>
    </row>
    <row r="11016" spans="5:13" x14ac:dyDescent="0.25">
      <c r="E11016"/>
      <c r="M11016"/>
    </row>
    <row r="11017" spans="5:13" x14ac:dyDescent="0.25">
      <c r="E11017"/>
      <c r="M11017"/>
    </row>
    <row r="11018" spans="5:13" x14ac:dyDescent="0.25">
      <c r="E11018"/>
      <c r="M11018"/>
    </row>
    <row r="11019" spans="5:13" x14ac:dyDescent="0.25">
      <c r="E11019"/>
      <c r="M11019"/>
    </row>
    <row r="11020" spans="5:13" x14ac:dyDescent="0.25">
      <c r="E11020"/>
      <c r="M11020"/>
    </row>
    <row r="11021" spans="5:13" x14ac:dyDescent="0.25">
      <c r="E11021"/>
      <c r="M11021"/>
    </row>
    <row r="11022" spans="5:13" x14ac:dyDescent="0.25">
      <c r="E11022"/>
      <c r="M11022"/>
    </row>
    <row r="11023" spans="5:13" x14ac:dyDescent="0.25">
      <c r="E11023"/>
      <c r="M11023"/>
    </row>
    <row r="11024" spans="5:13" x14ac:dyDescent="0.25">
      <c r="E11024"/>
      <c r="M11024"/>
    </row>
    <row r="11025" spans="5:13" x14ac:dyDescent="0.25">
      <c r="E11025"/>
      <c r="M11025"/>
    </row>
    <row r="11026" spans="5:13" x14ac:dyDescent="0.25">
      <c r="E11026"/>
      <c r="M11026"/>
    </row>
    <row r="11027" spans="5:13" x14ac:dyDescent="0.25">
      <c r="E11027"/>
      <c r="M11027"/>
    </row>
    <row r="11028" spans="5:13" x14ac:dyDescent="0.25">
      <c r="E11028"/>
      <c r="M11028"/>
    </row>
    <row r="11029" spans="5:13" x14ac:dyDescent="0.25">
      <c r="E11029"/>
      <c r="M11029"/>
    </row>
    <row r="11030" spans="5:13" x14ac:dyDescent="0.25">
      <c r="E11030"/>
      <c r="M11030"/>
    </row>
    <row r="11031" spans="5:13" x14ac:dyDescent="0.25">
      <c r="E11031"/>
      <c r="M11031"/>
    </row>
    <row r="11032" spans="5:13" x14ac:dyDescent="0.25">
      <c r="E11032"/>
      <c r="M11032"/>
    </row>
    <row r="11033" spans="5:13" x14ac:dyDescent="0.25">
      <c r="E11033"/>
      <c r="M11033"/>
    </row>
    <row r="11034" spans="5:13" x14ac:dyDescent="0.25">
      <c r="E11034"/>
      <c r="M11034"/>
    </row>
    <row r="11035" spans="5:13" x14ac:dyDescent="0.25">
      <c r="E11035"/>
      <c r="M11035"/>
    </row>
    <row r="11036" spans="5:13" x14ac:dyDescent="0.25">
      <c r="E11036"/>
      <c r="M11036"/>
    </row>
    <row r="11037" spans="5:13" x14ac:dyDescent="0.25">
      <c r="E11037"/>
      <c r="M11037"/>
    </row>
    <row r="11038" spans="5:13" x14ac:dyDescent="0.25">
      <c r="E11038"/>
      <c r="M11038"/>
    </row>
    <row r="11039" spans="5:13" x14ac:dyDescent="0.25">
      <c r="E11039"/>
      <c r="M11039"/>
    </row>
    <row r="11040" spans="5:13" x14ac:dyDescent="0.25">
      <c r="E11040"/>
      <c r="M11040"/>
    </row>
    <row r="11041" spans="5:13" x14ac:dyDescent="0.25">
      <c r="E11041"/>
      <c r="M11041"/>
    </row>
    <row r="11042" spans="5:13" x14ac:dyDescent="0.25">
      <c r="E11042"/>
      <c r="M11042"/>
    </row>
    <row r="11043" spans="5:13" x14ac:dyDescent="0.25">
      <c r="E11043"/>
      <c r="M11043"/>
    </row>
    <row r="11044" spans="5:13" x14ac:dyDescent="0.25">
      <c r="E11044"/>
      <c r="M11044"/>
    </row>
    <row r="11045" spans="5:13" x14ac:dyDescent="0.25">
      <c r="E11045"/>
      <c r="M11045"/>
    </row>
    <row r="11046" spans="5:13" x14ac:dyDescent="0.25">
      <c r="E11046"/>
      <c r="M11046"/>
    </row>
    <row r="11047" spans="5:13" x14ac:dyDescent="0.25">
      <c r="E11047"/>
      <c r="M11047"/>
    </row>
    <row r="11048" spans="5:13" x14ac:dyDescent="0.25">
      <c r="E11048"/>
      <c r="M11048"/>
    </row>
    <row r="11049" spans="5:13" x14ac:dyDescent="0.25">
      <c r="E11049"/>
      <c r="M11049"/>
    </row>
    <row r="11050" spans="5:13" x14ac:dyDescent="0.25">
      <c r="E11050"/>
      <c r="M11050"/>
    </row>
    <row r="11051" spans="5:13" x14ac:dyDescent="0.25">
      <c r="E11051"/>
      <c r="M11051"/>
    </row>
    <row r="11052" spans="5:13" x14ac:dyDescent="0.25">
      <c r="E11052"/>
      <c r="M11052"/>
    </row>
    <row r="11053" spans="5:13" x14ac:dyDescent="0.25">
      <c r="E11053"/>
      <c r="M11053"/>
    </row>
    <row r="11054" spans="5:13" x14ac:dyDescent="0.25">
      <c r="E11054"/>
      <c r="M11054"/>
    </row>
    <row r="11055" spans="5:13" x14ac:dyDescent="0.25">
      <c r="E11055"/>
      <c r="M11055"/>
    </row>
    <row r="11056" spans="5:13" x14ac:dyDescent="0.25">
      <c r="E11056"/>
      <c r="M11056"/>
    </row>
    <row r="11057" spans="5:13" x14ac:dyDescent="0.25">
      <c r="E11057"/>
      <c r="M11057"/>
    </row>
    <row r="11058" spans="5:13" x14ac:dyDescent="0.25">
      <c r="E11058"/>
      <c r="M11058"/>
    </row>
    <row r="11059" spans="5:13" x14ac:dyDescent="0.25">
      <c r="E11059"/>
      <c r="M11059"/>
    </row>
    <row r="11060" spans="5:13" x14ac:dyDescent="0.25">
      <c r="E11060"/>
      <c r="M11060"/>
    </row>
    <row r="11061" spans="5:13" x14ac:dyDescent="0.25">
      <c r="E11061"/>
      <c r="M11061"/>
    </row>
    <row r="11062" spans="5:13" x14ac:dyDescent="0.25">
      <c r="E11062"/>
      <c r="M11062"/>
    </row>
    <row r="11063" spans="5:13" x14ac:dyDescent="0.25">
      <c r="E11063"/>
      <c r="M11063"/>
    </row>
    <row r="11064" spans="5:13" x14ac:dyDescent="0.25">
      <c r="E11064"/>
      <c r="M11064"/>
    </row>
    <row r="11065" spans="5:13" x14ac:dyDescent="0.25">
      <c r="E11065"/>
      <c r="M11065"/>
    </row>
    <row r="11066" spans="5:13" x14ac:dyDescent="0.25">
      <c r="E11066"/>
      <c r="M11066"/>
    </row>
    <row r="11067" spans="5:13" x14ac:dyDescent="0.25">
      <c r="E11067"/>
      <c r="M11067"/>
    </row>
    <row r="11068" spans="5:13" x14ac:dyDescent="0.25">
      <c r="E11068"/>
      <c r="M11068"/>
    </row>
    <row r="11069" spans="5:13" x14ac:dyDescent="0.25">
      <c r="E11069"/>
      <c r="M11069"/>
    </row>
    <row r="11070" spans="5:13" x14ac:dyDescent="0.25">
      <c r="E11070"/>
      <c r="M11070"/>
    </row>
    <row r="11071" spans="5:13" x14ac:dyDescent="0.25">
      <c r="E11071"/>
      <c r="M11071"/>
    </row>
    <row r="11072" spans="5:13" x14ac:dyDescent="0.25">
      <c r="E11072"/>
      <c r="M11072"/>
    </row>
    <row r="11073" spans="5:13" x14ac:dyDescent="0.25">
      <c r="E11073"/>
      <c r="M11073"/>
    </row>
    <row r="11074" spans="5:13" x14ac:dyDescent="0.25">
      <c r="E11074"/>
      <c r="M11074"/>
    </row>
    <row r="11075" spans="5:13" x14ac:dyDescent="0.25">
      <c r="E11075"/>
      <c r="M11075"/>
    </row>
    <row r="11076" spans="5:13" x14ac:dyDescent="0.25">
      <c r="E11076"/>
      <c r="M11076"/>
    </row>
    <row r="11077" spans="5:13" x14ac:dyDescent="0.25">
      <c r="E11077"/>
      <c r="M11077"/>
    </row>
    <row r="11078" spans="5:13" x14ac:dyDescent="0.25">
      <c r="E11078"/>
      <c r="M11078"/>
    </row>
    <row r="11079" spans="5:13" x14ac:dyDescent="0.25">
      <c r="E11079"/>
      <c r="M11079"/>
    </row>
    <row r="11080" spans="5:13" x14ac:dyDescent="0.25">
      <c r="E11080"/>
      <c r="M11080"/>
    </row>
    <row r="11081" spans="5:13" x14ac:dyDescent="0.25">
      <c r="E11081"/>
      <c r="M11081"/>
    </row>
    <row r="11082" spans="5:13" x14ac:dyDescent="0.25">
      <c r="E11082"/>
      <c r="M11082"/>
    </row>
    <row r="11083" spans="5:13" x14ac:dyDescent="0.25">
      <c r="E11083"/>
      <c r="M11083"/>
    </row>
    <row r="11084" spans="5:13" x14ac:dyDescent="0.25">
      <c r="E11084"/>
      <c r="M11084"/>
    </row>
    <row r="11085" spans="5:13" x14ac:dyDescent="0.25">
      <c r="E11085"/>
      <c r="M11085"/>
    </row>
    <row r="11086" spans="5:13" x14ac:dyDescent="0.25">
      <c r="E11086"/>
      <c r="M11086"/>
    </row>
    <row r="11087" spans="5:13" x14ac:dyDescent="0.25">
      <c r="E11087"/>
      <c r="M11087"/>
    </row>
    <row r="11088" spans="5:13" x14ac:dyDescent="0.25">
      <c r="E11088"/>
      <c r="M11088"/>
    </row>
    <row r="11089" spans="5:13" x14ac:dyDescent="0.25">
      <c r="E11089"/>
      <c r="M11089"/>
    </row>
    <row r="11090" spans="5:13" x14ac:dyDescent="0.25">
      <c r="E11090"/>
      <c r="M11090"/>
    </row>
    <row r="11091" spans="5:13" x14ac:dyDescent="0.25">
      <c r="E11091"/>
      <c r="M11091"/>
    </row>
    <row r="11092" spans="5:13" x14ac:dyDescent="0.25">
      <c r="E11092"/>
      <c r="M11092"/>
    </row>
    <row r="11093" spans="5:13" x14ac:dyDescent="0.25">
      <c r="E11093"/>
      <c r="M11093"/>
    </row>
    <row r="11094" spans="5:13" x14ac:dyDescent="0.25">
      <c r="E11094"/>
      <c r="M11094"/>
    </row>
    <row r="11095" spans="5:13" x14ac:dyDescent="0.25">
      <c r="E11095"/>
      <c r="M11095"/>
    </row>
    <row r="11096" spans="5:13" x14ac:dyDescent="0.25">
      <c r="E11096"/>
      <c r="M11096"/>
    </row>
    <row r="11097" spans="5:13" x14ac:dyDescent="0.25">
      <c r="E11097"/>
      <c r="M11097"/>
    </row>
    <row r="11098" spans="5:13" x14ac:dyDescent="0.25">
      <c r="E11098"/>
      <c r="M11098"/>
    </row>
    <row r="11099" spans="5:13" x14ac:dyDescent="0.25">
      <c r="E11099"/>
      <c r="M11099"/>
    </row>
    <row r="11100" spans="5:13" x14ac:dyDescent="0.25">
      <c r="E11100"/>
      <c r="M11100"/>
    </row>
    <row r="11101" spans="5:13" x14ac:dyDescent="0.25">
      <c r="E11101"/>
      <c r="M11101"/>
    </row>
    <row r="11102" spans="5:13" x14ac:dyDescent="0.25">
      <c r="E11102"/>
      <c r="M11102"/>
    </row>
    <row r="11103" spans="5:13" x14ac:dyDescent="0.25">
      <c r="E11103"/>
      <c r="M11103"/>
    </row>
    <row r="11104" spans="5:13" x14ac:dyDescent="0.25">
      <c r="E11104"/>
      <c r="M11104"/>
    </row>
    <row r="11105" spans="5:13" x14ac:dyDescent="0.25">
      <c r="E11105"/>
      <c r="M11105"/>
    </row>
    <row r="11106" spans="5:13" x14ac:dyDescent="0.25">
      <c r="E11106"/>
      <c r="M11106"/>
    </row>
    <row r="11107" spans="5:13" x14ac:dyDescent="0.25">
      <c r="E11107"/>
      <c r="M11107"/>
    </row>
    <row r="11108" spans="5:13" x14ac:dyDescent="0.25">
      <c r="E11108"/>
      <c r="M11108"/>
    </row>
    <row r="11109" spans="5:13" x14ac:dyDescent="0.25">
      <c r="E11109"/>
      <c r="M11109"/>
    </row>
    <row r="11110" spans="5:13" x14ac:dyDescent="0.25">
      <c r="E11110"/>
      <c r="M11110"/>
    </row>
    <row r="11111" spans="5:13" x14ac:dyDescent="0.25">
      <c r="E11111"/>
      <c r="M11111"/>
    </row>
    <row r="11112" spans="5:13" x14ac:dyDescent="0.25">
      <c r="E11112"/>
      <c r="M11112"/>
    </row>
    <row r="11113" spans="5:13" x14ac:dyDescent="0.25">
      <c r="E11113"/>
      <c r="M11113"/>
    </row>
    <row r="11114" spans="5:13" x14ac:dyDescent="0.25">
      <c r="E11114"/>
      <c r="M11114"/>
    </row>
    <row r="11115" spans="5:13" x14ac:dyDescent="0.25">
      <c r="E11115"/>
      <c r="M11115"/>
    </row>
    <row r="11116" spans="5:13" x14ac:dyDescent="0.25">
      <c r="E11116"/>
      <c r="M11116"/>
    </row>
    <row r="11117" spans="5:13" x14ac:dyDescent="0.25">
      <c r="E11117"/>
      <c r="M11117"/>
    </row>
    <row r="11118" spans="5:13" x14ac:dyDescent="0.25">
      <c r="E11118"/>
      <c r="M11118"/>
    </row>
    <row r="11119" spans="5:13" x14ac:dyDescent="0.25">
      <c r="E11119"/>
      <c r="M11119"/>
    </row>
    <row r="11120" spans="5:13" x14ac:dyDescent="0.25">
      <c r="E11120"/>
      <c r="M11120"/>
    </row>
    <row r="11121" spans="5:13" x14ac:dyDescent="0.25">
      <c r="E11121"/>
      <c r="M11121"/>
    </row>
    <row r="11122" spans="5:13" x14ac:dyDescent="0.25">
      <c r="E11122"/>
      <c r="M11122"/>
    </row>
    <row r="11123" spans="5:13" x14ac:dyDescent="0.25">
      <c r="E11123"/>
      <c r="M11123"/>
    </row>
    <row r="11124" spans="5:13" x14ac:dyDescent="0.25">
      <c r="E11124"/>
      <c r="M11124"/>
    </row>
    <row r="11125" spans="5:13" x14ac:dyDescent="0.25">
      <c r="E11125"/>
      <c r="M11125"/>
    </row>
    <row r="11126" spans="5:13" x14ac:dyDescent="0.25">
      <c r="E11126"/>
      <c r="M11126"/>
    </row>
    <row r="11127" spans="5:13" x14ac:dyDescent="0.25">
      <c r="E11127"/>
      <c r="M11127"/>
    </row>
    <row r="11128" spans="5:13" x14ac:dyDescent="0.25">
      <c r="E11128"/>
      <c r="M11128"/>
    </row>
    <row r="11129" spans="5:13" x14ac:dyDescent="0.25">
      <c r="E11129"/>
      <c r="M11129"/>
    </row>
    <row r="11130" spans="5:13" x14ac:dyDescent="0.25">
      <c r="E11130"/>
      <c r="M11130"/>
    </row>
    <row r="11131" spans="5:13" x14ac:dyDescent="0.25">
      <c r="E11131"/>
      <c r="M11131"/>
    </row>
    <row r="11132" spans="5:13" x14ac:dyDescent="0.25">
      <c r="E11132"/>
      <c r="M11132"/>
    </row>
    <row r="11133" spans="5:13" x14ac:dyDescent="0.25">
      <c r="E11133"/>
      <c r="M11133"/>
    </row>
    <row r="11134" spans="5:13" x14ac:dyDescent="0.25">
      <c r="E11134"/>
      <c r="M11134"/>
    </row>
    <row r="11135" spans="5:13" x14ac:dyDescent="0.25">
      <c r="E11135"/>
      <c r="M11135"/>
    </row>
    <row r="11136" spans="5:13" x14ac:dyDescent="0.25">
      <c r="E11136"/>
      <c r="M11136"/>
    </row>
    <row r="11137" spans="5:13" x14ac:dyDescent="0.25">
      <c r="E11137"/>
      <c r="M11137"/>
    </row>
    <row r="11138" spans="5:13" x14ac:dyDescent="0.25">
      <c r="E11138"/>
      <c r="M11138"/>
    </row>
    <row r="11139" spans="5:13" x14ac:dyDescent="0.25">
      <c r="E11139"/>
      <c r="M11139"/>
    </row>
    <row r="11140" spans="5:13" x14ac:dyDescent="0.25">
      <c r="E11140"/>
      <c r="M11140"/>
    </row>
    <row r="11141" spans="5:13" x14ac:dyDescent="0.25">
      <c r="E11141"/>
      <c r="M11141"/>
    </row>
    <row r="11142" spans="5:13" x14ac:dyDescent="0.25">
      <c r="E11142"/>
      <c r="M11142"/>
    </row>
    <row r="11143" spans="5:13" x14ac:dyDescent="0.25">
      <c r="E11143"/>
      <c r="M11143"/>
    </row>
    <row r="11144" spans="5:13" x14ac:dyDescent="0.25">
      <c r="E11144"/>
      <c r="M11144"/>
    </row>
    <row r="11145" spans="5:13" x14ac:dyDescent="0.25">
      <c r="E11145"/>
      <c r="M11145"/>
    </row>
    <row r="11146" spans="5:13" x14ac:dyDescent="0.25">
      <c r="E11146"/>
      <c r="M11146"/>
    </row>
    <row r="11147" spans="5:13" x14ac:dyDescent="0.25">
      <c r="E11147"/>
      <c r="M11147"/>
    </row>
    <row r="11148" spans="5:13" x14ac:dyDescent="0.25">
      <c r="E11148"/>
      <c r="M11148"/>
    </row>
    <row r="11149" spans="5:13" x14ac:dyDescent="0.25">
      <c r="E11149"/>
      <c r="M11149"/>
    </row>
    <row r="11150" spans="5:13" x14ac:dyDescent="0.25">
      <c r="E11150"/>
      <c r="M11150"/>
    </row>
    <row r="11151" spans="5:13" x14ac:dyDescent="0.25">
      <c r="E11151"/>
      <c r="M11151"/>
    </row>
    <row r="11152" spans="5:13" x14ac:dyDescent="0.25">
      <c r="E11152"/>
      <c r="M11152"/>
    </row>
    <row r="11153" spans="5:13" x14ac:dyDescent="0.25">
      <c r="E11153"/>
      <c r="M11153"/>
    </row>
    <row r="11154" spans="5:13" x14ac:dyDescent="0.25">
      <c r="E11154"/>
      <c r="M11154"/>
    </row>
    <row r="11155" spans="5:13" x14ac:dyDescent="0.25">
      <c r="E11155"/>
      <c r="M11155"/>
    </row>
    <row r="11156" spans="5:13" x14ac:dyDescent="0.25">
      <c r="E11156"/>
      <c r="M11156"/>
    </row>
    <row r="11157" spans="5:13" x14ac:dyDescent="0.25">
      <c r="E11157"/>
      <c r="M11157"/>
    </row>
    <row r="11158" spans="5:13" x14ac:dyDescent="0.25">
      <c r="E11158"/>
      <c r="M11158"/>
    </row>
    <row r="11159" spans="5:13" x14ac:dyDescent="0.25">
      <c r="E11159"/>
      <c r="M11159"/>
    </row>
    <row r="11160" spans="5:13" x14ac:dyDescent="0.25">
      <c r="E11160"/>
      <c r="M11160"/>
    </row>
    <row r="11161" spans="5:13" x14ac:dyDescent="0.25">
      <c r="E11161"/>
      <c r="M11161"/>
    </row>
    <row r="11162" spans="5:13" x14ac:dyDescent="0.25">
      <c r="E11162"/>
      <c r="M11162"/>
    </row>
    <row r="11163" spans="5:13" x14ac:dyDescent="0.25">
      <c r="E11163"/>
      <c r="M11163"/>
    </row>
    <row r="11164" spans="5:13" x14ac:dyDescent="0.25">
      <c r="E11164"/>
      <c r="M11164"/>
    </row>
    <row r="11165" spans="5:13" x14ac:dyDescent="0.25">
      <c r="E11165"/>
      <c r="M11165"/>
    </row>
    <row r="11166" spans="5:13" x14ac:dyDescent="0.25">
      <c r="E11166"/>
      <c r="M11166"/>
    </row>
    <row r="11167" spans="5:13" x14ac:dyDescent="0.25">
      <c r="E11167"/>
      <c r="M11167"/>
    </row>
    <row r="11168" spans="5:13" x14ac:dyDescent="0.25">
      <c r="E11168"/>
      <c r="M11168"/>
    </row>
    <row r="11169" spans="5:13" x14ac:dyDescent="0.25">
      <c r="E11169"/>
      <c r="M11169"/>
    </row>
    <row r="11170" spans="5:13" x14ac:dyDescent="0.25">
      <c r="E11170"/>
      <c r="M11170"/>
    </row>
    <row r="11171" spans="5:13" x14ac:dyDescent="0.25">
      <c r="E11171"/>
      <c r="M11171"/>
    </row>
    <row r="11172" spans="5:13" x14ac:dyDescent="0.25">
      <c r="E11172"/>
      <c r="M11172"/>
    </row>
    <row r="11173" spans="5:13" x14ac:dyDescent="0.25">
      <c r="E11173"/>
      <c r="M11173"/>
    </row>
    <row r="11174" spans="5:13" x14ac:dyDescent="0.25">
      <c r="E11174"/>
      <c r="M11174"/>
    </row>
    <row r="11175" spans="5:13" x14ac:dyDescent="0.25">
      <c r="E11175"/>
      <c r="M11175"/>
    </row>
    <row r="11176" spans="5:13" x14ac:dyDescent="0.25">
      <c r="E11176"/>
      <c r="M11176"/>
    </row>
    <row r="11177" spans="5:13" x14ac:dyDescent="0.25">
      <c r="E11177"/>
      <c r="M11177"/>
    </row>
    <row r="11178" spans="5:13" x14ac:dyDescent="0.25">
      <c r="E11178"/>
      <c r="M11178"/>
    </row>
    <row r="11179" spans="5:13" x14ac:dyDescent="0.25">
      <c r="E11179"/>
      <c r="M11179"/>
    </row>
    <row r="11180" spans="5:13" x14ac:dyDescent="0.25">
      <c r="E11180"/>
      <c r="M11180"/>
    </row>
    <row r="11181" spans="5:13" x14ac:dyDescent="0.25">
      <c r="E11181"/>
      <c r="M11181"/>
    </row>
    <row r="11182" spans="5:13" x14ac:dyDescent="0.25">
      <c r="E11182"/>
      <c r="M11182"/>
    </row>
    <row r="11183" spans="5:13" x14ac:dyDescent="0.25">
      <c r="E11183"/>
      <c r="M11183"/>
    </row>
    <row r="11184" spans="5:13" x14ac:dyDescent="0.25">
      <c r="E11184"/>
      <c r="M11184"/>
    </row>
    <row r="11185" spans="5:13" x14ac:dyDescent="0.25">
      <c r="E11185"/>
      <c r="M11185"/>
    </row>
    <row r="11186" spans="5:13" x14ac:dyDescent="0.25">
      <c r="E11186"/>
      <c r="M11186"/>
    </row>
    <row r="11187" spans="5:13" x14ac:dyDescent="0.25">
      <c r="E11187"/>
      <c r="M11187"/>
    </row>
    <row r="11188" spans="5:13" x14ac:dyDescent="0.25">
      <c r="E11188"/>
      <c r="M11188"/>
    </row>
    <row r="11189" spans="5:13" x14ac:dyDescent="0.25">
      <c r="E11189"/>
      <c r="M11189"/>
    </row>
    <row r="11190" spans="5:13" x14ac:dyDescent="0.25">
      <c r="E11190"/>
      <c r="M11190"/>
    </row>
    <row r="11191" spans="5:13" x14ac:dyDescent="0.25">
      <c r="E11191"/>
      <c r="M11191"/>
    </row>
    <row r="11192" spans="5:13" x14ac:dyDescent="0.25">
      <c r="E11192"/>
      <c r="M11192"/>
    </row>
    <row r="11193" spans="5:13" x14ac:dyDescent="0.25">
      <c r="E11193"/>
      <c r="M11193"/>
    </row>
    <row r="11194" spans="5:13" x14ac:dyDescent="0.25">
      <c r="E11194"/>
      <c r="M11194"/>
    </row>
    <row r="11195" spans="5:13" x14ac:dyDescent="0.25">
      <c r="E11195"/>
      <c r="M11195"/>
    </row>
    <row r="11196" spans="5:13" x14ac:dyDescent="0.25">
      <c r="E11196"/>
      <c r="M11196"/>
    </row>
    <row r="11197" spans="5:13" x14ac:dyDescent="0.25">
      <c r="E11197"/>
      <c r="M11197"/>
    </row>
    <row r="11198" spans="5:13" x14ac:dyDescent="0.25">
      <c r="E11198"/>
      <c r="M11198"/>
    </row>
    <row r="11199" spans="5:13" x14ac:dyDescent="0.25">
      <c r="E11199"/>
      <c r="M11199"/>
    </row>
    <row r="11200" spans="5:13" x14ac:dyDescent="0.25">
      <c r="E11200"/>
      <c r="M11200"/>
    </row>
    <row r="11201" spans="5:13" x14ac:dyDescent="0.25">
      <c r="E11201"/>
      <c r="M11201"/>
    </row>
    <row r="11202" spans="5:13" x14ac:dyDescent="0.25">
      <c r="E11202"/>
      <c r="M11202"/>
    </row>
    <row r="11203" spans="5:13" x14ac:dyDescent="0.25">
      <c r="E11203"/>
      <c r="M11203"/>
    </row>
    <row r="11204" spans="5:13" x14ac:dyDescent="0.25">
      <c r="E11204"/>
      <c r="M11204"/>
    </row>
    <row r="11205" spans="5:13" x14ac:dyDescent="0.25">
      <c r="E11205"/>
      <c r="M11205"/>
    </row>
    <row r="11206" spans="5:13" x14ac:dyDescent="0.25">
      <c r="E11206"/>
      <c r="M11206"/>
    </row>
    <row r="11207" spans="5:13" x14ac:dyDescent="0.25">
      <c r="E11207"/>
      <c r="M11207"/>
    </row>
    <row r="11208" spans="5:13" x14ac:dyDescent="0.25">
      <c r="E11208"/>
      <c r="M11208"/>
    </row>
    <row r="11209" spans="5:13" x14ac:dyDescent="0.25">
      <c r="E11209"/>
      <c r="M11209"/>
    </row>
    <row r="11210" spans="5:13" x14ac:dyDescent="0.25">
      <c r="E11210"/>
      <c r="M11210"/>
    </row>
    <row r="11211" spans="5:13" x14ac:dyDescent="0.25">
      <c r="E11211"/>
      <c r="M11211"/>
    </row>
    <row r="11212" spans="5:13" x14ac:dyDescent="0.25">
      <c r="E11212"/>
      <c r="M11212"/>
    </row>
    <row r="11213" spans="5:13" x14ac:dyDescent="0.25">
      <c r="E11213"/>
      <c r="M11213"/>
    </row>
    <row r="11214" spans="5:13" x14ac:dyDescent="0.25">
      <c r="E11214"/>
      <c r="M11214"/>
    </row>
    <row r="11215" spans="5:13" x14ac:dyDescent="0.25">
      <c r="E11215"/>
      <c r="M11215"/>
    </row>
    <row r="11216" spans="5:13" x14ac:dyDescent="0.25">
      <c r="E11216"/>
      <c r="M11216"/>
    </row>
    <row r="11217" spans="5:13" x14ac:dyDescent="0.25">
      <c r="E11217"/>
      <c r="M11217"/>
    </row>
    <row r="11218" spans="5:13" x14ac:dyDescent="0.25">
      <c r="E11218"/>
      <c r="M11218"/>
    </row>
    <row r="11219" spans="5:13" x14ac:dyDescent="0.25">
      <c r="E11219"/>
      <c r="M11219"/>
    </row>
    <row r="11220" spans="5:13" x14ac:dyDescent="0.25">
      <c r="E11220"/>
      <c r="M11220"/>
    </row>
    <row r="11221" spans="5:13" x14ac:dyDescent="0.25">
      <c r="E11221"/>
      <c r="M11221"/>
    </row>
    <row r="11222" spans="5:13" x14ac:dyDescent="0.25">
      <c r="E11222"/>
      <c r="M11222"/>
    </row>
    <row r="11223" spans="5:13" x14ac:dyDescent="0.25">
      <c r="E11223"/>
      <c r="M11223"/>
    </row>
    <row r="11224" spans="5:13" x14ac:dyDescent="0.25">
      <c r="E11224"/>
      <c r="M11224"/>
    </row>
    <row r="11225" spans="5:13" x14ac:dyDescent="0.25">
      <c r="E11225"/>
      <c r="M11225"/>
    </row>
    <row r="11226" spans="5:13" x14ac:dyDescent="0.25">
      <c r="E11226"/>
      <c r="M11226"/>
    </row>
    <row r="11227" spans="5:13" x14ac:dyDescent="0.25">
      <c r="E11227"/>
      <c r="M11227"/>
    </row>
    <row r="11228" spans="5:13" x14ac:dyDescent="0.25">
      <c r="E11228"/>
      <c r="M11228"/>
    </row>
    <row r="11229" spans="5:13" x14ac:dyDescent="0.25">
      <c r="E11229"/>
      <c r="M11229"/>
    </row>
    <row r="11230" spans="5:13" x14ac:dyDescent="0.25">
      <c r="E11230"/>
      <c r="M11230"/>
    </row>
    <row r="11231" spans="5:13" x14ac:dyDescent="0.25">
      <c r="E11231"/>
      <c r="M11231"/>
    </row>
    <row r="11232" spans="5:13" x14ac:dyDescent="0.25">
      <c r="E11232"/>
      <c r="M11232"/>
    </row>
    <row r="11233" spans="5:13" x14ac:dyDescent="0.25">
      <c r="E11233"/>
      <c r="M11233"/>
    </row>
    <row r="11234" spans="5:13" x14ac:dyDescent="0.25">
      <c r="E11234"/>
      <c r="M11234"/>
    </row>
    <row r="11235" spans="5:13" x14ac:dyDescent="0.25">
      <c r="E11235"/>
      <c r="M11235"/>
    </row>
    <row r="11236" spans="5:13" x14ac:dyDescent="0.25">
      <c r="E11236"/>
      <c r="M11236"/>
    </row>
    <row r="11237" spans="5:13" x14ac:dyDescent="0.25">
      <c r="E11237"/>
      <c r="M11237"/>
    </row>
    <row r="11238" spans="5:13" x14ac:dyDescent="0.25">
      <c r="E11238"/>
      <c r="M11238"/>
    </row>
    <row r="11239" spans="5:13" x14ac:dyDescent="0.25">
      <c r="E11239"/>
      <c r="M11239"/>
    </row>
    <row r="11240" spans="5:13" x14ac:dyDescent="0.25">
      <c r="E11240"/>
      <c r="M11240"/>
    </row>
    <row r="11241" spans="5:13" x14ac:dyDescent="0.25">
      <c r="E11241"/>
      <c r="M11241"/>
    </row>
    <row r="11242" spans="5:13" x14ac:dyDescent="0.25">
      <c r="E11242"/>
      <c r="M11242"/>
    </row>
    <row r="11243" spans="5:13" x14ac:dyDescent="0.25">
      <c r="E11243"/>
      <c r="M11243"/>
    </row>
    <row r="11244" spans="5:13" x14ac:dyDescent="0.25">
      <c r="E11244"/>
      <c r="M11244"/>
    </row>
    <row r="11245" spans="5:13" x14ac:dyDescent="0.25">
      <c r="E11245"/>
      <c r="M11245"/>
    </row>
    <row r="11246" spans="5:13" x14ac:dyDescent="0.25">
      <c r="E11246"/>
      <c r="M11246"/>
    </row>
    <row r="11247" spans="5:13" x14ac:dyDescent="0.25">
      <c r="E11247"/>
      <c r="M11247"/>
    </row>
    <row r="11248" spans="5:13" x14ac:dyDescent="0.25">
      <c r="E11248"/>
      <c r="M11248"/>
    </row>
    <row r="11249" spans="5:13" x14ac:dyDescent="0.25">
      <c r="E11249"/>
      <c r="M11249"/>
    </row>
    <row r="11250" spans="5:13" x14ac:dyDescent="0.25">
      <c r="E11250"/>
      <c r="M11250"/>
    </row>
    <row r="11251" spans="5:13" x14ac:dyDescent="0.25">
      <c r="E11251"/>
      <c r="M11251"/>
    </row>
    <row r="11252" spans="5:13" x14ac:dyDescent="0.25">
      <c r="E11252"/>
      <c r="M11252"/>
    </row>
    <row r="11253" spans="5:13" x14ac:dyDescent="0.25">
      <c r="E11253"/>
      <c r="M11253"/>
    </row>
    <row r="11254" spans="5:13" x14ac:dyDescent="0.25">
      <c r="E11254"/>
      <c r="M11254"/>
    </row>
    <row r="11255" spans="5:13" x14ac:dyDescent="0.25">
      <c r="E11255"/>
      <c r="M11255"/>
    </row>
    <row r="11256" spans="5:13" x14ac:dyDescent="0.25">
      <c r="E11256"/>
      <c r="M11256"/>
    </row>
    <row r="11257" spans="5:13" x14ac:dyDescent="0.25">
      <c r="E11257"/>
      <c r="M11257"/>
    </row>
    <row r="11258" spans="5:13" x14ac:dyDescent="0.25">
      <c r="E11258"/>
      <c r="M11258"/>
    </row>
    <row r="11259" spans="5:13" x14ac:dyDescent="0.25">
      <c r="E11259"/>
      <c r="M11259"/>
    </row>
    <row r="11260" spans="5:13" x14ac:dyDescent="0.25">
      <c r="E11260"/>
      <c r="M11260"/>
    </row>
    <row r="11261" spans="5:13" x14ac:dyDescent="0.25">
      <c r="E11261"/>
      <c r="M11261"/>
    </row>
    <row r="11262" spans="5:13" x14ac:dyDescent="0.25">
      <c r="E11262"/>
      <c r="M11262"/>
    </row>
    <row r="11263" spans="5:13" x14ac:dyDescent="0.25">
      <c r="E11263"/>
      <c r="M11263"/>
    </row>
    <row r="11264" spans="5:13" x14ac:dyDescent="0.25">
      <c r="E11264"/>
      <c r="M11264"/>
    </row>
    <row r="11265" spans="5:13" x14ac:dyDescent="0.25">
      <c r="E11265"/>
      <c r="M11265"/>
    </row>
    <row r="11266" spans="5:13" x14ac:dyDescent="0.25">
      <c r="E11266"/>
      <c r="M11266"/>
    </row>
    <row r="11267" spans="5:13" x14ac:dyDescent="0.25">
      <c r="E11267"/>
      <c r="M11267"/>
    </row>
    <row r="11268" spans="5:13" x14ac:dyDescent="0.25">
      <c r="E11268"/>
      <c r="M11268"/>
    </row>
    <row r="11269" spans="5:13" x14ac:dyDescent="0.25">
      <c r="E11269"/>
      <c r="M11269"/>
    </row>
    <row r="11270" spans="5:13" x14ac:dyDescent="0.25">
      <c r="E11270"/>
      <c r="M11270"/>
    </row>
    <row r="11271" spans="5:13" x14ac:dyDescent="0.25">
      <c r="E11271"/>
      <c r="M11271"/>
    </row>
    <row r="11272" spans="5:13" x14ac:dyDescent="0.25">
      <c r="E11272"/>
      <c r="M11272"/>
    </row>
    <row r="11273" spans="5:13" x14ac:dyDescent="0.25">
      <c r="E11273"/>
      <c r="M11273"/>
    </row>
    <row r="11274" spans="5:13" x14ac:dyDescent="0.25">
      <c r="E11274"/>
      <c r="M11274"/>
    </row>
    <row r="11275" spans="5:13" x14ac:dyDescent="0.25">
      <c r="E11275"/>
      <c r="M11275"/>
    </row>
    <row r="11276" spans="5:13" x14ac:dyDescent="0.25">
      <c r="E11276"/>
      <c r="M11276"/>
    </row>
    <row r="11277" spans="5:13" x14ac:dyDescent="0.25">
      <c r="E11277"/>
      <c r="M11277"/>
    </row>
    <row r="11278" spans="5:13" x14ac:dyDescent="0.25">
      <c r="E11278"/>
      <c r="M11278"/>
    </row>
    <row r="11279" spans="5:13" x14ac:dyDescent="0.25">
      <c r="E11279"/>
      <c r="M11279"/>
    </row>
    <row r="11280" spans="5:13" x14ac:dyDescent="0.25">
      <c r="E11280"/>
      <c r="M11280"/>
    </row>
    <row r="11281" spans="5:13" x14ac:dyDescent="0.25">
      <c r="E11281"/>
      <c r="M11281"/>
    </row>
    <row r="11282" spans="5:13" x14ac:dyDescent="0.25">
      <c r="E11282"/>
      <c r="M11282"/>
    </row>
    <row r="11283" spans="5:13" x14ac:dyDescent="0.25">
      <c r="E11283"/>
      <c r="M11283"/>
    </row>
    <row r="11284" spans="5:13" x14ac:dyDescent="0.25">
      <c r="E11284"/>
      <c r="M11284"/>
    </row>
    <row r="11285" spans="5:13" x14ac:dyDescent="0.25">
      <c r="E11285"/>
      <c r="M11285"/>
    </row>
    <row r="11286" spans="5:13" x14ac:dyDescent="0.25">
      <c r="E11286"/>
      <c r="M11286"/>
    </row>
    <row r="11287" spans="5:13" x14ac:dyDescent="0.25">
      <c r="E11287"/>
      <c r="M11287"/>
    </row>
    <row r="11288" spans="5:13" x14ac:dyDescent="0.25">
      <c r="E11288"/>
      <c r="M11288"/>
    </row>
    <row r="11289" spans="5:13" x14ac:dyDescent="0.25">
      <c r="E11289"/>
      <c r="M11289"/>
    </row>
    <row r="11290" spans="5:13" x14ac:dyDescent="0.25">
      <c r="E11290"/>
      <c r="M11290"/>
    </row>
    <row r="11291" spans="5:13" x14ac:dyDescent="0.25">
      <c r="E11291"/>
      <c r="M11291"/>
    </row>
    <row r="11292" spans="5:13" x14ac:dyDescent="0.25">
      <c r="E11292"/>
      <c r="M11292"/>
    </row>
    <row r="11293" spans="5:13" x14ac:dyDescent="0.25">
      <c r="E11293"/>
      <c r="M11293"/>
    </row>
    <row r="11294" spans="5:13" x14ac:dyDescent="0.25">
      <c r="E11294"/>
      <c r="M11294"/>
    </row>
    <row r="11295" spans="5:13" x14ac:dyDescent="0.25">
      <c r="E11295"/>
      <c r="M11295"/>
    </row>
    <row r="11296" spans="5:13" x14ac:dyDescent="0.25">
      <c r="E11296"/>
      <c r="M11296"/>
    </row>
    <row r="11297" spans="5:13" x14ac:dyDescent="0.25">
      <c r="E11297"/>
      <c r="M11297"/>
    </row>
    <row r="11298" spans="5:13" x14ac:dyDescent="0.25">
      <c r="E11298"/>
      <c r="M11298"/>
    </row>
    <row r="11299" spans="5:13" x14ac:dyDescent="0.25">
      <c r="E11299"/>
      <c r="M11299"/>
    </row>
    <row r="11300" spans="5:13" x14ac:dyDescent="0.25">
      <c r="E11300"/>
      <c r="M11300"/>
    </row>
    <row r="11301" spans="5:13" x14ac:dyDescent="0.25">
      <c r="E11301"/>
      <c r="M11301"/>
    </row>
    <row r="11302" spans="5:13" x14ac:dyDescent="0.25">
      <c r="E11302"/>
      <c r="M11302"/>
    </row>
    <row r="11303" spans="5:13" x14ac:dyDescent="0.25">
      <c r="E11303"/>
      <c r="M11303"/>
    </row>
    <row r="11304" spans="5:13" x14ac:dyDescent="0.25">
      <c r="E11304"/>
      <c r="M11304"/>
    </row>
    <row r="11305" spans="5:13" x14ac:dyDescent="0.25">
      <c r="E11305"/>
      <c r="M11305"/>
    </row>
    <row r="11306" spans="5:13" x14ac:dyDescent="0.25">
      <c r="E11306"/>
      <c r="M11306"/>
    </row>
    <row r="11307" spans="5:13" x14ac:dyDescent="0.25">
      <c r="E11307"/>
      <c r="M11307"/>
    </row>
    <row r="11308" spans="5:13" x14ac:dyDescent="0.25">
      <c r="E11308"/>
      <c r="M11308"/>
    </row>
    <row r="11309" spans="5:13" x14ac:dyDescent="0.25">
      <c r="E11309"/>
      <c r="M11309"/>
    </row>
    <row r="11310" spans="5:13" x14ac:dyDescent="0.25">
      <c r="E11310"/>
      <c r="M11310"/>
    </row>
    <row r="11311" spans="5:13" x14ac:dyDescent="0.25">
      <c r="E11311"/>
      <c r="M11311"/>
    </row>
    <row r="11312" spans="5:13" x14ac:dyDescent="0.25">
      <c r="E11312"/>
      <c r="M11312"/>
    </row>
    <row r="11313" spans="5:13" x14ac:dyDescent="0.25">
      <c r="E11313"/>
      <c r="M11313"/>
    </row>
    <row r="11314" spans="5:13" x14ac:dyDescent="0.25">
      <c r="E11314"/>
      <c r="M11314"/>
    </row>
    <row r="11315" spans="5:13" x14ac:dyDescent="0.25">
      <c r="E11315"/>
      <c r="M11315"/>
    </row>
    <row r="11316" spans="5:13" x14ac:dyDescent="0.25">
      <c r="E11316"/>
      <c r="M11316"/>
    </row>
    <row r="11317" spans="5:13" x14ac:dyDescent="0.25">
      <c r="E11317"/>
      <c r="M11317"/>
    </row>
    <row r="11318" spans="5:13" x14ac:dyDescent="0.25">
      <c r="E11318"/>
      <c r="M11318"/>
    </row>
    <row r="11319" spans="5:13" x14ac:dyDescent="0.25">
      <c r="E11319"/>
      <c r="M11319"/>
    </row>
    <row r="11320" spans="5:13" x14ac:dyDescent="0.25">
      <c r="E11320"/>
      <c r="M11320"/>
    </row>
    <row r="11321" spans="5:13" x14ac:dyDescent="0.25">
      <c r="E11321"/>
      <c r="M11321"/>
    </row>
    <row r="11322" spans="5:13" x14ac:dyDescent="0.25">
      <c r="E11322"/>
      <c r="M11322"/>
    </row>
    <row r="11323" spans="5:13" x14ac:dyDescent="0.25">
      <c r="E11323"/>
      <c r="M11323"/>
    </row>
    <row r="11324" spans="5:13" x14ac:dyDescent="0.25">
      <c r="E11324"/>
      <c r="M11324"/>
    </row>
    <row r="11325" spans="5:13" x14ac:dyDescent="0.25">
      <c r="E11325"/>
      <c r="M11325"/>
    </row>
    <row r="11326" spans="5:13" x14ac:dyDescent="0.25">
      <c r="E11326"/>
      <c r="M11326"/>
    </row>
    <row r="11327" spans="5:13" x14ac:dyDescent="0.25">
      <c r="E11327"/>
      <c r="M11327"/>
    </row>
    <row r="11328" spans="5:13" x14ac:dyDescent="0.25">
      <c r="E11328"/>
      <c r="M11328"/>
    </row>
    <row r="11329" spans="5:13" x14ac:dyDescent="0.25">
      <c r="E11329"/>
      <c r="M11329"/>
    </row>
    <row r="11330" spans="5:13" x14ac:dyDescent="0.25">
      <c r="E11330"/>
      <c r="M11330"/>
    </row>
    <row r="11331" spans="5:13" x14ac:dyDescent="0.25">
      <c r="E11331"/>
      <c r="M11331"/>
    </row>
    <row r="11332" spans="5:13" x14ac:dyDescent="0.25">
      <c r="E11332"/>
      <c r="M11332"/>
    </row>
    <row r="11333" spans="5:13" x14ac:dyDescent="0.25">
      <c r="E11333"/>
      <c r="M11333"/>
    </row>
    <row r="11334" spans="5:13" x14ac:dyDescent="0.25">
      <c r="E11334"/>
      <c r="M11334"/>
    </row>
    <row r="11335" spans="5:13" x14ac:dyDescent="0.25">
      <c r="E11335"/>
      <c r="M11335"/>
    </row>
    <row r="11336" spans="5:13" x14ac:dyDescent="0.25">
      <c r="E11336"/>
      <c r="M11336"/>
    </row>
    <row r="11337" spans="5:13" x14ac:dyDescent="0.25">
      <c r="E11337"/>
      <c r="M11337"/>
    </row>
    <row r="11338" spans="5:13" x14ac:dyDescent="0.25">
      <c r="E11338"/>
      <c r="M11338"/>
    </row>
    <row r="11339" spans="5:13" x14ac:dyDescent="0.25">
      <c r="E11339"/>
      <c r="M11339"/>
    </row>
    <row r="11340" spans="5:13" x14ac:dyDescent="0.25">
      <c r="E11340"/>
      <c r="M11340"/>
    </row>
    <row r="11341" spans="5:13" x14ac:dyDescent="0.25">
      <c r="E11341"/>
      <c r="M11341"/>
    </row>
    <row r="11342" spans="5:13" x14ac:dyDescent="0.25">
      <c r="E11342"/>
      <c r="M11342"/>
    </row>
    <row r="11343" spans="5:13" x14ac:dyDescent="0.25">
      <c r="E11343"/>
      <c r="M11343"/>
    </row>
    <row r="11344" spans="5:13" x14ac:dyDescent="0.25">
      <c r="E11344"/>
      <c r="M11344"/>
    </row>
    <row r="11345" spans="5:13" x14ac:dyDescent="0.25">
      <c r="E11345"/>
      <c r="M11345"/>
    </row>
    <row r="11346" spans="5:13" x14ac:dyDescent="0.25">
      <c r="E11346"/>
      <c r="M11346"/>
    </row>
    <row r="11347" spans="5:13" x14ac:dyDescent="0.25">
      <c r="E11347"/>
      <c r="M11347"/>
    </row>
    <row r="11348" spans="5:13" x14ac:dyDescent="0.25">
      <c r="E11348"/>
      <c r="M11348"/>
    </row>
    <row r="11349" spans="5:13" x14ac:dyDescent="0.25">
      <c r="E11349"/>
      <c r="M11349"/>
    </row>
    <row r="11350" spans="5:13" x14ac:dyDescent="0.25">
      <c r="E11350"/>
      <c r="M11350"/>
    </row>
    <row r="11351" spans="5:13" x14ac:dyDescent="0.25">
      <c r="E11351"/>
      <c r="M11351"/>
    </row>
    <row r="11352" spans="5:13" x14ac:dyDescent="0.25">
      <c r="E11352"/>
      <c r="M11352"/>
    </row>
    <row r="11353" spans="5:13" x14ac:dyDescent="0.25">
      <c r="E11353"/>
      <c r="M11353"/>
    </row>
    <row r="11354" spans="5:13" x14ac:dyDescent="0.25">
      <c r="E11354"/>
      <c r="M11354"/>
    </row>
    <row r="11355" spans="5:13" x14ac:dyDescent="0.25">
      <c r="E11355"/>
      <c r="M11355"/>
    </row>
    <row r="11356" spans="5:13" x14ac:dyDescent="0.25">
      <c r="E11356"/>
      <c r="M11356"/>
    </row>
    <row r="11357" spans="5:13" x14ac:dyDescent="0.25">
      <c r="E11357"/>
      <c r="M11357"/>
    </row>
    <row r="11358" spans="5:13" x14ac:dyDescent="0.25">
      <c r="E11358"/>
      <c r="M11358"/>
    </row>
    <row r="11359" spans="5:13" x14ac:dyDescent="0.25">
      <c r="E11359"/>
      <c r="M11359"/>
    </row>
    <row r="11360" spans="5:13" x14ac:dyDescent="0.25">
      <c r="E11360"/>
      <c r="M11360"/>
    </row>
    <row r="11361" spans="5:13" x14ac:dyDescent="0.25">
      <c r="E11361"/>
      <c r="M11361"/>
    </row>
    <row r="11362" spans="5:13" x14ac:dyDescent="0.25">
      <c r="E11362"/>
      <c r="M11362"/>
    </row>
    <row r="11363" spans="5:13" x14ac:dyDescent="0.25">
      <c r="E11363"/>
      <c r="M11363"/>
    </row>
    <row r="11364" spans="5:13" x14ac:dyDescent="0.25">
      <c r="E11364"/>
      <c r="M11364"/>
    </row>
    <row r="11365" spans="5:13" x14ac:dyDescent="0.25">
      <c r="E11365"/>
      <c r="M11365"/>
    </row>
    <row r="11366" spans="5:13" x14ac:dyDescent="0.25">
      <c r="E11366"/>
      <c r="M11366"/>
    </row>
    <row r="11367" spans="5:13" x14ac:dyDescent="0.25">
      <c r="E11367"/>
      <c r="M11367"/>
    </row>
    <row r="11368" spans="5:13" x14ac:dyDescent="0.25">
      <c r="E11368"/>
      <c r="M11368"/>
    </row>
    <row r="11369" spans="5:13" x14ac:dyDescent="0.25">
      <c r="E11369"/>
      <c r="M11369"/>
    </row>
    <row r="11370" spans="5:13" x14ac:dyDescent="0.25">
      <c r="E11370"/>
      <c r="M11370"/>
    </row>
    <row r="11371" spans="5:13" x14ac:dyDescent="0.25">
      <c r="E11371"/>
      <c r="M11371"/>
    </row>
    <row r="11372" spans="5:13" x14ac:dyDescent="0.25">
      <c r="E11372"/>
      <c r="M11372"/>
    </row>
    <row r="11373" spans="5:13" x14ac:dyDescent="0.25">
      <c r="E11373"/>
      <c r="M11373"/>
    </row>
    <row r="11374" spans="5:13" x14ac:dyDescent="0.25">
      <c r="E11374"/>
      <c r="M11374"/>
    </row>
    <row r="11375" spans="5:13" x14ac:dyDescent="0.25">
      <c r="E11375"/>
      <c r="M11375"/>
    </row>
    <row r="11376" spans="5:13" x14ac:dyDescent="0.25">
      <c r="E11376"/>
      <c r="M11376"/>
    </row>
    <row r="11377" spans="5:13" x14ac:dyDescent="0.25">
      <c r="E11377"/>
      <c r="M11377"/>
    </row>
    <row r="11378" spans="5:13" x14ac:dyDescent="0.25">
      <c r="E11378"/>
      <c r="M11378"/>
    </row>
    <row r="11379" spans="5:13" x14ac:dyDescent="0.25">
      <c r="E11379"/>
      <c r="M11379"/>
    </row>
    <row r="11380" spans="5:13" x14ac:dyDescent="0.25">
      <c r="E11380"/>
      <c r="M11380"/>
    </row>
    <row r="11381" spans="5:13" x14ac:dyDescent="0.25">
      <c r="E11381"/>
      <c r="M11381"/>
    </row>
    <row r="11382" spans="5:13" x14ac:dyDescent="0.25">
      <c r="E11382"/>
      <c r="M11382"/>
    </row>
    <row r="11383" spans="5:13" x14ac:dyDescent="0.25">
      <c r="E11383"/>
      <c r="M11383"/>
    </row>
    <row r="11384" spans="5:13" x14ac:dyDescent="0.25">
      <c r="E11384"/>
      <c r="M11384"/>
    </row>
    <row r="11385" spans="5:13" x14ac:dyDescent="0.25">
      <c r="E11385"/>
      <c r="M11385"/>
    </row>
    <row r="11386" spans="5:13" x14ac:dyDescent="0.25">
      <c r="E11386"/>
      <c r="M11386"/>
    </row>
    <row r="11387" spans="5:13" x14ac:dyDescent="0.25">
      <c r="E11387"/>
      <c r="M11387"/>
    </row>
    <row r="11388" spans="5:13" x14ac:dyDescent="0.25">
      <c r="E11388"/>
      <c r="M11388"/>
    </row>
    <row r="11389" spans="5:13" x14ac:dyDescent="0.25">
      <c r="E11389"/>
      <c r="M11389"/>
    </row>
    <row r="11390" spans="5:13" x14ac:dyDescent="0.25">
      <c r="E11390"/>
      <c r="M11390"/>
    </row>
    <row r="11391" spans="5:13" x14ac:dyDescent="0.25">
      <c r="E11391"/>
      <c r="M11391"/>
    </row>
    <row r="11392" spans="5:13" x14ac:dyDescent="0.25">
      <c r="E11392"/>
      <c r="M11392"/>
    </row>
    <row r="11393" spans="5:13" x14ac:dyDescent="0.25">
      <c r="E11393"/>
      <c r="M11393"/>
    </row>
    <row r="11394" spans="5:13" x14ac:dyDescent="0.25">
      <c r="E11394"/>
      <c r="M11394"/>
    </row>
    <row r="11395" spans="5:13" x14ac:dyDescent="0.25">
      <c r="E11395"/>
      <c r="M11395"/>
    </row>
    <row r="11396" spans="5:13" x14ac:dyDescent="0.25">
      <c r="E11396"/>
      <c r="M11396"/>
    </row>
    <row r="11397" spans="5:13" x14ac:dyDescent="0.25">
      <c r="E11397"/>
      <c r="M11397"/>
    </row>
    <row r="11398" spans="5:13" x14ac:dyDescent="0.25">
      <c r="E11398"/>
      <c r="M11398"/>
    </row>
    <row r="11399" spans="5:13" x14ac:dyDescent="0.25">
      <c r="E11399"/>
      <c r="M11399"/>
    </row>
    <row r="11400" spans="5:13" x14ac:dyDescent="0.25">
      <c r="E11400"/>
      <c r="M11400"/>
    </row>
    <row r="11401" spans="5:13" x14ac:dyDescent="0.25">
      <c r="E11401"/>
      <c r="M11401"/>
    </row>
    <row r="11402" spans="5:13" x14ac:dyDescent="0.25">
      <c r="E11402"/>
      <c r="M11402"/>
    </row>
    <row r="11403" spans="5:13" x14ac:dyDescent="0.25">
      <c r="E11403"/>
      <c r="M11403"/>
    </row>
    <row r="11404" spans="5:13" x14ac:dyDescent="0.25">
      <c r="E11404"/>
      <c r="M11404"/>
    </row>
    <row r="11405" spans="5:13" x14ac:dyDescent="0.25">
      <c r="E11405"/>
      <c r="M11405"/>
    </row>
    <row r="11406" spans="5:13" x14ac:dyDescent="0.25">
      <c r="E11406"/>
      <c r="M11406"/>
    </row>
    <row r="11407" spans="5:13" x14ac:dyDescent="0.25">
      <c r="E11407"/>
      <c r="M11407"/>
    </row>
    <row r="11408" spans="5:13" x14ac:dyDescent="0.25">
      <c r="E11408"/>
      <c r="M11408"/>
    </row>
    <row r="11409" spans="5:13" x14ac:dyDescent="0.25">
      <c r="E11409"/>
      <c r="M11409"/>
    </row>
    <row r="11410" spans="5:13" x14ac:dyDescent="0.25">
      <c r="E11410"/>
      <c r="M11410"/>
    </row>
    <row r="11411" spans="5:13" x14ac:dyDescent="0.25">
      <c r="E11411"/>
      <c r="M11411"/>
    </row>
    <row r="11412" spans="5:13" x14ac:dyDescent="0.25">
      <c r="E11412"/>
      <c r="M11412"/>
    </row>
    <row r="11413" spans="5:13" x14ac:dyDescent="0.25">
      <c r="E11413"/>
      <c r="M11413"/>
    </row>
    <row r="11414" spans="5:13" x14ac:dyDescent="0.25">
      <c r="E11414"/>
      <c r="M11414"/>
    </row>
    <row r="11415" spans="5:13" x14ac:dyDescent="0.25">
      <c r="E11415"/>
      <c r="M11415"/>
    </row>
    <row r="11416" spans="5:13" x14ac:dyDescent="0.25">
      <c r="E11416"/>
      <c r="M11416"/>
    </row>
    <row r="11417" spans="5:13" x14ac:dyDescent="0.25">
      <c r="E11417"/>
      <c r="M11417"/>
    </row>
    <row r="11418" spans="5:13" x14ac:dyDescent="0.25">
      <c r="E11418"/>
      <c r="M11418"/>
    </row>
    <row r="11419" spans="5:13" x14ac:dyDescent="0.25">
      <c r="E11419"/>
      <c r="M11419"/>
    </row>
    <row r="11420" spans="5:13" x14ac:dyDescent="0.25">
      <c r="E11420"/>
      <c r="M11420"/>
    </row>
    <row r="11421" spans="5:13" x14ac:dyDescent="0.25">
      <c r="E11421"/>
      <c r="M11421"/>
    </row>
    <row r="11422" spans="5:13" x14ac:dyDescent="0.25">
      <c r="E11422"/>
      <c r="M11422"/>
    </row>
    <row r="11423" spans="5:13" x14ac:dyDescent="0.25">
      <c r="E11423"/>
      <c r="M11423"/>
    </row>
    <row r="11424" spans="5:13" x14ac:dyDescent="0.25">
      <c r="E11424"/>
      <c r="M11424"/>
    </row>
    <row r="11425" spans="5:13" x14ac:dyDescent="0.25">
      <c r="E11425"/>
      <c r="M11425"/>
    </row>
    <row r="11426" spans="5:13" x14ac:dyDescent="0.25">
      <c r="E11426"/>
      <c r="M11426"/>
    </row>
    <row r="11427" spans="5:13" x14ac:dyDescent="0.25">
      <c r="E11427"/>
      <c r="M11427"/>
    </row>
    <row r="11428" spans="5:13" x14ac:dyDescent="0.25">
      <c r="E11428"/>
      <c r="M11428"/>
    </row>
    <row r="11429" spans="5:13" x14ac:dyDescent="0.25">
      <c r="E11429"/>
      <c r="M11429"/>
    </row>
    <row r="11430" spans="5:13" x14ac:dyDescent="0.25">
      <c r="E11430"/>
      <c r="M11430"/>
    </row>
    <row r="11431" spans="5:13" x14ac:dyDescent="0.25">
      <c r="E11431"/>
      <c r="M11431"/>
    </row>
    <row r="11432" spans="5:13" x14ac:dyDescent="0.25">
      <c r="E11432"/>
      <c r="M11432"/>
    </row>
    <row r="11433" spans="5:13" x14ac:dyDescent="0.25">
      <c r="E11433"/>
      <c r="M11433"/>
    </row>
    <row r="11434" spans="5:13" x14ac:dyDescent="0.25">
      <c r="E11434"/>
      <c r="M11434"/>
    </row>
    <row r="11435" spans="5:13" x14ac:dyDescent="0.25">
      <c r="E11435"/>
      <c r="M11435"/>
    </row>
    <row r="11436" spans="5:13" x14ac:dyDescent="0.25">
      <c r="E11436"/>
      <c r="M11436"/>
    </row>
    <row r="11437" spans="5:13" x14ac:dyDescent="0.25">
      <c r="E11437"/>
      <c r="M11437"/>
    </row>
    <row r="11438" spans="5:13" x14ac:dyDescent="0.25">
      <c r="E11438"/>
      <c r="M11438"/>
    </row>
    <row r="11439" spans="5:13" x14ac:dyDescent="0.25">
      <c r="E11439"/>
      <c r="M11439"/>
    </row>
    <row r="11440" spans="5:13" x14ac:dyDescent="0.25">
      <c r="E11440"/>
      <c r="M11440"/>
    </row>
    <row r="11441" spans="5:13" x14ac:dyDescent="0.25">
      <c r="E11441"/>
      <c r="M11441"/>
    </row>
    <row r="11442" spans="5:13" x14ac:dyDescent="0.25">
      <c r="E11442"/>
      <c r="M11442"/>
    </row>
    <row r="11443" spans="5:13" x14ac:dyDescent="0.25">
      <c r="E11443"/>
      <c r="M11443"/>
    </row>
    <row r="11444" spans="5:13" x14ac:dyDescent="0.25">
      <c r="E11444"/>
      <c r="M11444"/>
    </row>
    <row r="11445" spans="5:13" x14ac:dyDescent="0.25">
      <c r="E11445"/>
      <c r="M11445"/>
    </row>
    <row r="11446" spans="5:13" x14ac:dyDescent="0.25">
      <c r="E11446"/>
      <c r="M11446"/>
    </row>
    <row r="11447" spans="5:13" x14ac:dyDescent="0.25">
      <c r="E11447"/>
      <c r="M11447"/>
    </row>
    <row r="11448" spans="5:13" x14ac:dyDescent="0.25">
      <c r="E11448"/>
      <c r="M11448"/>
    </row>
    <row r="11449" spans="5:13" x14ac:dyDescent="0.25">
      <c r="E11449"/>
      <c r="M11449"/>
    </row>
    <row r="11450" spans="5:13" x14ac:dyDescent="0.25">
      <c r="E11450"/>
      <c r="M11450"/>
    </row>
    <row r="11451" spans="5:13" x14ac:dyDescent="0.25">
      <c r="E11451"/>
      <c r="M11451"/>
    </row>
    <row r="11452" spans="5:13" x14ac:dyDescent="0.25">
      <c r="E11452"/>
      <c r="M11452"/>
    </row>
    <row r="11453" spans="5:13" x14ac:dyDescent="0.25">
      <c r="E11453"/>
      <c r="M11453"/>
    </row>
    <row r="11454" spans="5:13" x14ac:dyDescent="0.25">
      <c r="E11454"/>
      <c r="M11454"/>
    </row>
    <row r="11455" spans="5:13" x14ac:dyDescent="0.25">
      <c r="E11455"/>
      <c r="M11455"/>
    </row>
    <row r="11456" spans="5:13" x14ac:dyDescent="0.25">
      <c r="E11456"/>
      <c r="M11456"/>
    </row>
    <row r="11457" spans="5:13" x14ac:dyDescent="0.25">
      <c r="E11457"/>
      <c r="M11457"/>
    </row>
    <row r="11458" spans="5:13" x14ac:dyDescent="0.25">
      <c r="E11458"/>
      <c r="M11458"/>
    </row>
    <row r="11459" spans="5:13" x14ac:dyDescent="0.25">
      <c r="E11459"/>
      <c r="M11459"/>
    </row>
    <row r="11460" spans="5:13" x14ac:dyDescent="0.25">
      <c r="E11460"/>
      <c r="M11460"/>
    </row>
    <row r="11461" spans="5:13" x14ac:dyDescent="0.25">
      <c r="E11461"/>
      <c r="M11461"/>
    </row>
    <row r="11462" spans="5:13" x14ac:dyDescent="0.25">
      <c r="E11462"/>
      <c r="M11462"/>
    </row>
    <row r="11463" spans="5:13" x14ac:dyDescent="0.25">
      <c r="E11463"/>
      <c r="M11463"/>
    </row>
    <row r="11464" spans="5:13" x14ac:dyDescent="0.25">
      <c r="E11464"/>
      <c r="M11464"/>
    </row>
    <row r="11465" spans="5:13" x14ac:dyDescent="0.25">
      <c r="E11465"/>
      <c r="M11465"/>
    </row>
    <row r="11466" spans="5:13" x14ac:dyDescent="0.25">
      <c r="E11466"/>
      <c r="M11466"/>
    </row>
    <row r="11467" spans="5:13" x14ac:dyDescent="0.25">
      <c r="E11467"/>
      <c r="M11467"/>
    </row>
    <row r="11468" spans="5:13" x14ac:dyDescent="0.25">
      <c r="E11468"/>
      <c r="M11468"/>
    </row>
    <row r="11469" spans="5:13" x14ac:dyDescent="0.25">
      <c r="E11469"/>
      <c r="M11469"/>
    </row>
    <row r="11470" spans="5:13" x14ac:dyDescent="0.25">
      <c r="E11470"/>
      <c r="M11470"/>
    </row>
    <row r="11471" spans="5:13" x14ac:dyDescent="0.25">
      <c r="E11471"/>
      <c r="M11471"/>
    </row>
    <row r="11472" spans="5:13" x14ac:dyDescent="0.25">
      <c r="E11472"/>
      <c r="M11472"/>
    </row>
    <row r="11473" spans="5:13" x14ac:dyDescent="0.25">
      <c r="E11473"/>
      <c r="M11473"/>
    </row>
    <row r="11474" spans="5:13" x14ac:dyDescent="0.25">
      <c r="E11474"/>
      <c r="M11474"/>
    </row>
    <row r="11475" spans="5:13" x14ac:dyDescent="0.25">
      <c r="E11475"/>
      <c r="M11475"/>
    </row>
    <row r="11476" spans="5:13" x14ac:dyDescent="0.25">
      <c r="E11476"/>
      <c r="M11476"/>
    </row>
    <row r="11477" spans="5:13" x14ac:dyDescent="0.25">
      <c r="E11477"/>
      <c r="M11477"/>
    </row>
    <row r="11478" spans="5:13" x14ac:dyDescent="0.25">
      <c r="E11478"/>
      <c r="M11478"/>
    </row>
    <row r="11479" spans="5:13" x14ac:dyDescent="0.25">
      <c r="E11479"/>
      <c r="M11479"/>
    </row>
    <row r="11480" spans="5:13" x14ac:dyDescent="0.25">
      <c r="E11480"/>
      <c r="M11480"/>
    </row>
    <row r="11481" spans="5:13" x14ac:dyDescent="0.25">
      <c r="E11481"/>
      <c r="M11481"/>
    </row>
    <row r="11482" spans="5:13" x14ac:dyDescent="0.25">
      <c r="E11482"/>
      <c r="M11482"/>
    </row>
    <row r="11483" spans="5:13" x14ac:dyDescent="0.25">
      <c r="E11483"/>
      <c r="M11483"/>
    </row>
    <row r="11484" spans="5:13" x14ac:dyDescent="0.25">
      <c r="E11484"/>
      <c r="M11484"/>
    </row>
    <row r="11485" spans="5:13" x14ac:dyDescent="0.25">
      <c r="E11485"/>
      <c r="M11485"/>
    </row>
    <row r="11486" spans="5:13" x14ac:dyDescent="0.25">
      <c r="E11486"/>
      <c r="M11486"/>
    </row>
    <row r="11487" spans="5:13" x14ac:dyDescent="0.25">
      <c r="E11487"/>
      <c r="M11487"/>
    </row>
    <row r="11488" spans="5:13" x14ac:dyDescent="0.25">
      <c r="E11488"/>
      <c r="M11488"/>
    </row>
    <row r="11489" spans="5:13" x14ac:dyDescent="0.25">
      <c r="E11489"/>
      <c r="M11489"/>
    </row>
    <row r="11490" spans="5:13" x14ac:dyDescent="0.25">
      <c r="E11490"/>
      <c r="M11490"/>
    </row>
    <row r="11491" spans="5:13" x14ac:dyDescent="0.25">
      <c r="E11491"/>
      <c r="M11491"/>
    </row>
    <row r="11492" spans="5:13" x14ac:dyDescent="0.25">
      <c r="E11492"/>
      <c r="M11492"/>
    </row>
    <row r="11493" spans="5:13" x14ac:dyDescent="0.25">
      <c r="E11493"/>
      <c r="M11493"/>
    </row>
    <row r="11494" spans="5:13" x14ac:dyDescent="0.25">
      <c r="E11494"/>
      <c r="M11494"/>
    </row>
    <row r="11495" spans="5:13" x14ac:dyDescent="0.25">
      <c r="E11495"/>
      <c r="M11495"/>
    </row>
    <row r="11496" spans="5:13" x14ac:dyDescent="0.25">
      <c r="E11496"/>
      <c r="M11496"/>
    </row>
    <row r="11497" spans="5:13" x14ac:dyDescent="0.25">
      <c r="E11497"/>
      <c r="M11497"/>
    </row>
    <row r="11498" spans="5:13" x14ac:dyDescent="0.25">
      <c r="E11498"/>
      <c r="M11498"/>
    </row>
    <row r="11499" spans="5:13" x14ac:dyDescent="0.25">
      <c r="E11499"/>
      <c r="M11499"/>
    </row>
    <row r="11500" spans="5:13" x14ac:dyDescent="0.25">
      <c r="E11500"/>
      <c r="M11500"/>
    </row>
    <row r="11501" spans="5:13" x14ac:dyDescent="0.25">
      <c r="E11501"/>
      <c r="M11501"/>
    </row>
    <row r="11502" spans="5:13" x14ac:dyDescent="0.25">
      <c r="E11502"/>
      <c r="M11502"/>
    </row>
    <row r="11503" spans="5:13" x14ac:dyDescent="0.25">
      <c r="E11503"/>
      <c r="M11503"/>
    </row>
    <row r="11504" spans="5:13" x14ac:dyDescent="0.25">
      <c r="E11504"/>
      <c r="M11504"/>
    </row>
    <row r="11505" spans="5:13" x14ac:dyDescent="0.25">
      <c r="E11505"/>
      <c r="M11505"/>
    </row>
    <row r="11506" spans="5:13" x14ac:dyDescent="0.25">
      <c r="E11506"/>
      <c r="M11506"/>
    </row>
    <row r="11507" spans="5:13" x14ac:dyDescent="0.25">
      <c r="E11507"/>
      <c r="M11507"/>
    </row>
    <row r="11508" spans="5:13" x14ac:dyDescent="0.25">
      <c r="E11508"/>
      <c r="M11508"/>
    </row>
    <row r="11509" spans="5:13" x14ac:dyDescent="0.25">
      <c r="E11509"/>
      <c r="M11509"/>
    </row>
    <row r="11510" spans="5:13" x14ac:dyDescent="0.25">
      <c r="E11510"/>
      <c r="M11510"/>
    </row>
    <row r="11511" spans="5:13" x14ac:dyDescent="0.25">
      <c r="E11511"/>
      <c r="M11511"/>
    </row>
    <row r="11512" spans="5:13" x14ac:dyDescent="0.25">
      <c r="E11512"/>
      <c r="M11512"/>
    </row>
    <row r="11513" spans="5:13" x14ac:dyDescent="0.25">
      <c r="E11513"/>
      <c r="M11513"/>
    </row>
    <row r="11514" spans="5:13" x14ac:dyDescent="0.25">
      <c r="E11514"/>
      <c r="M11514"/>
    </row>
    <row r="11515" spans="5:13" x14ac:dyDescent="0.25">
      <c r="E11515"/>
      <c r="M11515"/>
    </row>
    <row r="11516" spans="5:13" x14ac:dyDescent="0.25">
      <c r="E11516"/>
      <c r="M11516"/>
    </row>
    <row r="11517" spans="5:13" x14ac:dyDescent="0.25">
      <c r="E11517"/>
      <c r="M11517"/>
    </row>
    <row r="11518" spans="5:13" x14ac:dyDescent="0.25">
      <c r="E11518"/>
      <c r="M11518"/>
    </row>
    <row r="11519" spans="5:13" x14ac:dyDescent="0.25">
      <c r="E11519"/>
      <c r="M11519"/>
    </row>
    <row r="11520" spans="5:13" x14ac:dyDescent="0.25">
      <c r="E11520"/>
      <c r="M11520"/>
    </row>
    <row r="11521" spans="5:13" x14ac:dyDescent="0.25">
      <c r="E11521"/>
      <c r="M11521"/>
    </row>
    <row r="11522" spans="5:13" x14ac:dyDescent="0.25">
      <c r="E11522"/>
      <c r="M11522"/>
    </row>
    <row r="11523" spans="5:13" x14ac:dyDescent="0.25">
      <c r="E11523"/>
      <c r="M11523"/>
    </row>
    <row r="11524" spans="5:13" x14ac:dyDescent="0.25">
      <c r="E11524"/>
      <c r="M11524"/>
    </row>
    <row r="11525" spans="5:13" x14ac:dyDescent="0.25">
      <c r="E11525"/>
      <c r="M11525"/>
    </row>
    <row r="11526" spans="5:13" x14ac:dyDescent="0.25">
      <c r="E11526"/>
      <c r="M11526"/>
    </row>
    <row r="11527" spans="5:13" x14ac:dyDescent="0.25">
      <c r="E11527"/>
      <c r="M11527"/>
    </row>
    <row r="11528" spans="5:13" x14ac:dyDescent="0.25">
      <c r="E11528"/>
      <c r="M11528"/>
    </row>
    <row r="11529" spans="5:13" x14ac:dyDescent="0.25">
      <c r="E11529"/>
      <c r="M11529"/>
    </row>
    <row r="11530" spans="5:13" x14ac:dyDescent="0.25">
      <c r="E11530"/>
      <c r="M11530"/>
    </row>
    <row r="11531" spans="5:13" x14ac:dyDescent="0.25">
      <c r="E11531"/>
      <c r="M11531"/>
    </row>
    <row r="11532" spans="5:13" x14ac:dyDescent="0.25">
      <c r="E11532"/>
      <c r="M11532"/>
    </row>
    <row r="11533" spans="5:13" x14ac:dyDescent="0.25">
      <c r="E11533"/>
      <c r="M11533"/>
    </row>
    <row r="11534" spans="5:13" x14ac:dyDescent="0.25">
      <c r="E11534"/>
      <c r="M11534"/>
    </row>
    <row r="11535" spans="5:13" x14ac:dyDescent="0.25">
      <c r="E11535"/>
      <c r="M11535"/>
    </row>
    <row r="11536" spans="5:13" x14ac:dyDescent="0.25">
      <c r="E11536"/>
      <c r="M11536"/>
    </row>
    <row r="11537" spans="5:13" x14ac:dyDescent="0.25">
      <c r="E11537"/>
      <c r="M11537"/>
    </row>
    <row r="11538" spans="5:13" x14ac:dyDescent="0.25">
      <c r="E11538"/>
      <c r="M11538"/>
    </row>
    <row r="11539" spans="5:13" x14ac:dyDescent="0.25">
      <c r="E11539"/>
      <c r="M11539"/>
    </row>
    <row r="11540" spans="5:13" x14ac:dyDescent="0.25">
      <c r="E11540"/>
      <c r="M11540"/>
    </row>
    <row r="11541" spans="5:13" x14ac:dyDescent="0.25">
      <c r="E11541"/>
      <c r="M11541"/>
    </row>
    <row r="11542" spans="5:13" x14ac:dyDescent="0.25">
      <c r="E11542"/>
      <c r="M11542"/>
    </row>
    <row r="11543" spans="5:13" x14ac:dyDescent="0.25">
      <c r="E11543"/>
      <c r="M11543"/>
    </row>
    <row r="11544" spans="5:13" x14ac:dyDescent="0.25">
      <c r="E11544"/>
      <c r="M11544"/>
    </row>
    <row r="11545" spans="5:13" x14ac:dyDescent="0.25">
      <c r="E11545"/>
      <c r="M11545"/>
    </row>
    <row r="11546" spans="5:13" x14ac:dyDescent="0.25">
      <c r="E11546"/>
      <c r="M11546"/>
    </row>
    <row r="11547" spans="5:13" x14ac:dyDescent="0.25">
      <c r="E11547"/>
      <c r="M11547"/>
    </row>
    <row r="11548" spans="5:13" x14ac:dyDescent="0.25">
      <c r="E11548"/>
      <c r="M11548"/>
    </row>
    <row r="11549" spans="5:13" x14ac:dyDescent="0.25">
      <c r="E11549"/>
      <c r="M11549"/>
    </row>
    <row r="11550" spans="5:13" x14ac:dyDescent="0.25">
      <c r="E11550"/>
      <c r="M11550"/>
    </row>
    <row r="11551" spans="5:13" x14ac:dyDescent="0.25">
      <c r="E11551"/>
      <c r="M11551"/>
    </row>
    <row r="11552" spans="5:13" x14ac:dyDescent="0.25">
      <c r="E11552"/>
      <c r="M11552"/>
    </row>
    <row r="11553" spans="5:13" x14ac:dyDescent="0.25">
      <c r="E11553"/>
      <c r="M11553"/>
    </row>
    <row r="11554" spans="5:13" x14ac:dyDescent="0.25">
      <c r="E11554"/>
      <c r="M11554"/>
    </row>
    <row r="11555" spans="5:13" x14ac:dyDescent="0.25">
      <c r="E11555"/>
      <c r="M11555"/>
    </row>
    <row r="11556" spans="5:13" x14ac:dyDescent="0.25">
      <c r="E11556"/>
      <c r="M11556"/>
    </row>
    <row r="11557" spans="5:13" x14ac:dyDescent="0.25">
      <c r="E11557"/>
      <c r="M11557"/>
    </row>
    <row r="11558" spans="5:13" x14ac:dyDescent="0.25">
      <c r="E11558"/>
      <c r="M11558"/>
    </row>
    <row r="11559" spans="5:13" x14ac:dyDescent="0.25">
      <c r="E11559"/>
      <c r="M11559"/>
    </row>
    <row r="11560" spans="5:13" x14ac:dyDescent="0.25">
      <c r="E11560"/>
      <c r="M11560"/>
    </row>
    <row r="11561" spans="5:13" x14ac:dyDescent="0.25">
      <c r="E11561"/>
      <c r="M11561"/>
    </row>
    <row r="11562" spans="5:13" x14ac:dyDescent="0.25">
      <c r="E11562"/>
      <c r="M11562"/>
    </row>
    <row r="11563" spans="5:13" x14ac:dyDescent="0.25">
      <c r="E11563"/>
      <c r="M11563"/>
    </row>
    <row r="11564" spans="5:13" x14ac:dyDescent="0.25">
      <c r="E11564"/>
      <c r="M11564"/>
    </row>
    <row r="11565" spans="5:13" x14ac:dyDescent="0.25">
      <c r="E11565"/>
      <c r="M11565"/>
    </row>
    <row r="11566" spans="5:13" x14ac:dyDescent="0.25">
      <c r="E11566"/>
      <c r="M11566"/>
    </row>
    <row r="11567" spans="5:13" x14ac:dyDescent="0.25">
      <c r="E11567"/>
      <c r="M11567"/>
    </row>
    <row r="11568" spans="5:13" x14ac:dyDescent="0.25">
      <c r="E11568"/>
      <c r="M11568"/>
    </row>
    <row r="11569" spans="5:13" x14ac:dyDescent="0.25">
      <c r="E11569"/>
      <c r="M11569"/>
    </row>
    <row r="11570" spans="5:13" x14ac:dyDescent="0.25">
      <c r="E11570"/>
      <c r="M11570"/>
    </row>
    <row r="11571" spans="5:13" x14ac:dyDescent="0.25">
      <c r="E11571"/>
      <c r="M11571"/>
    </row>
    <row r="11572" spans="5:13" x14ac:dyDescent="0.25">
      <c r="E11572"/>
      <c r="M11572"/>
    </row>
    <row r="11573" spans="5:13" x14ac:dyDescent="0.25">
      <c r="E11573"/>
      <c r="M11573"/>
    </row>
    <row r="11574" spans="5:13" x14ac:dyDescent="0.25">
      <c r="E11574"/>
      <c r="M11574"/>
    </row>
    <row r="11575" spans="5:13" x14ac:dyDescent="0.25">
      <c r="E11575"/>
      <c r="M11575"/>
    </row>
    <row r="11576" spans="5:13" x14ac:dyDescent="0.25">
      <c r="E11576"/>
      <c r="M11576"/>
    </row>
    <row r="11577" spans="5:13" x14ac:dyDescent="0.25">
      <c r="E11577"/>
      <c r="M11577"/>
    </row>
    <row r="11578" spans="5:13" x14ac:dyDescent="0.25">
      <c r="E11578"/>
      <c r="M11578"/>
    </row>
    <row r="11579" spans="5:13" x14ac:dyDescent="0.25">
      <c r="E11579"/>
      <c r="M11579"/>
    </row>
    <row r="11580" spans="5:13" x14ac:dyDescent="0.25">
      <c r="E11580"/>
      <c r="M11580"/>
    </row>
    <row r="11581" spans="5:13" x14ac:dyDescent="0.25">
      <c r="E11581"/>
      <c r="M11581"/>
    </row>
    <row r="11582" spans="5:13" x14ac:dyDescent="0.25">
      <c r="E11582"/>
      <c r="M11582"/>
    </row>
    <row r="11583" spans="5:13" x14ac:dyDescent="0.25">
      <c r="E11583"/>
      <c r="M11583"/>
    </row>
    <row r="11584" spans="5:13" x14ac:dyDescent="0.25">
      <c r="E11584"/>
      <c r="M11584"/>
    </row>
    <row r="11585" spans="5:13" x14ac:dyDescent="0.25">
      <c r="E11585"/>
      <c r="M11585"/>
    </row>
    <row r="11586" spans="5:13" x14ac:dyDescent="0.25">
      <c r="E11586"/>
      <c r="M11586"/>
    </row>
    <row r="11587" spans="5:13" x14ac:dyDescent="0.25">
      <c r="E11587"/>
      <c r="M11587"/>
    </row>
    <row r="11588" spans="5:13" x14ac:dyDescent="0.25">
      <c r="E11588"/>
      <c r="M11588"/>
    </row>
    <row r="11589" spans="5:13" x14ac:dyDescent="0.25">
      <c r="E11589"/>
      <c r="M11589"/>
    </row>
    <row r="11590" spans="5:13" x14ac:dyDescent="0.25">
      <c r="E11590"/>
      <c r="M11590"/>
    </row>
    <row r="11591" spans="5:13" x14ac:dyDescent="0.25">
      <c r="E11591"/>
      <c r="M11591"/>
    </row>
    <row r="11592" spans="5:13" x14ac:dyDescent="0.25">
      <c r="E11592"/>
      <c r="M11592"/>
    </row>
    <row r="11593" spans="5:13" x14ac:dyDescent="0.25">
      <c r="E11593"/>
      <c r="M11593"/>
    </row>
    <row r="11594" spans="5:13" x14ac:dyDescent="0.25">
      <c r="E11594"/>
      <c r="M11594"/>
    </row>
    <row r="11595" spans="5:13" x14ac:dyDescent="0.25">
      <c r="E11595"/>
      <c r="M11595"/>
    </row>
    <row r="11596" spans="5:13" x14ac:dyDescent="0.25">
      <c r="E11596"/>
      <c r="M11596"/>
    </row>
    <row r="11597" spans="5:13" x14ac:dyDescent="0.25">
      <c r="E11597"/>
      <c r="M11597"/>
    </row>
    <row r="11598" spans="5:13" x14ac:dyDescent="0.25">
      <c r="E11598"/>
      <c r="M11598"/>
    </row>
    <row r="11599" spans="5:13" x14ac:dyDescent="0.25">
      <c r="E11599"/>
      <c r="M11599"/>
    </row>
    <row r="11600" spans="5:13" x14ac:dyDescent="0.25">
      <c r="E11600"/>
      <c r="M11600"/>
    </row>
    <row r="11601" spans="5:13" x14ac:dyDescent="0.25">
      <c r="E11601"/>
      <c r="M11601"/>
    </row>
    <row r="11602" spans="5:13" x14ac:dyDescent="0.25">
      <c r="E11602"/>
      <c r="M11602"/>
    </row>
    <row r="11603" spans="5:13" x14ac:dyDescent="0.25">
      <c r="E11603"/>
      <c r="M11603"/>
    </row>
    <row r="11604" spans="5:13" x14ac:dyDescent="0.25">
      <c r="E11604"/>
      <c r="M11604"/>
    </row>
    <row r="11605" spans="5:13" x14ac:dyDescent="0.25">
      <c r="E11605"/>
      <c r="M11605"/>
    </row>
    <row r="11606" spans="5:13" x14ac:dyDescent="0.25">
      <c r="E11606"/>
      <c r="M11606"/>
    </row>
    <row r="11607" spans="5:13" x14ac:dyDescent="0.25">
      <c r="E11607"/>
      <c r="M11607"/>
    </row>
    <row r="11608" spans="5:13" x14ac:dyDescent="0.25">
      <c r="E11608"/>
      <c r="M11608"/>
    </row>
    <row r="11609" spans="5:13" x14ac:dyDescent="0.25">
      <c r="E11609"/>
      <c r="M11609"/>
    </row>
    <row r="11610" spans="5:13" x14ac:dyDescent="0.25">
      <c r="E11610"/>
      <c r="M11610"/>
    </row>
    <row r="11611" spans="5:13" x14ac:dyDescent="0.25">
      <c r="E11611"/>
      <c r="M11611"/>
    </row>
    <row r="11612" spans="5:13" x14ac:dyDescent="0.25">
      <c r="E11612"/>
      <c r="M11612"/>
    </row>
    <row r="11613" spans="5:13" x14ac:dyDescent="0.25">
      <c r="E11613"/>
      <c r="M11613"/>
    </row>
    <row r="11614" spans="5:13" x14ac:dyDescent="0.25">
      <c r="E11614"/>
      <c r="M11614"/>
    </row>
    <row r="11615" spans="5:13" x14ac:dyDescent="0.25">
      <c r="E11615"/>
      <c r="M11615"/>
    </row>
    <row r="11616" spans="5:13" x14ac:dyDescent="0.25">
      <c r="E11616"/>
      <c r="M11616"/>
    </row>
    <row r="11617" spans="5:13" x14ac:dyDescent="0.25">
      <c r="E11617"/>
      <c r="M11617"/>
    </row>
    <row r="11618" spans="5:13" x14ac:dyDescent="0.25">
      <c r="E11618"/>
      <c r="M11618"/>
    </row>
    <row r="11619" spans="5:13" x14ac:dyDescent="0.25">
      <c r="E11619"/>
      <c r="M11619"/>
    </row>
    <row r="11620" spans="5:13" x14ac:dyDescent="0.25">
      <c r="E11620"/>
      <c r="M11620"/>
    </row>
    <row r="11621" spans="5:13" x14ac:dyDescent="0.25">
      <c r="E11621"/>
      <c r="M11621"/>
    </row>
    <row r="11622" spans="5:13" x14ac:dyDescent="0.25">
      <c r="E11622"/>
      <c r="M11622"/>
    </row>
    <row r="11623" spans="5:13" x14ac:dyDescent="0.25">
      <c r="E11623"/>
      <c r="M11623"/>
    </row>
    <row r="11624" spans="5:13" x14ac:dyDescent="0.25">
      <c r="E11624"/>
      <c r="M11624"/>
    </row>
    <row r="11625" spans="5:13" x14ac:dyDescent="0.25">
      <c r="E11625"/>
      <c r="M11625"/>
    </row>
    <row r="11626" spans="5:13" x14ac:dyDescent="0.25">
      <c r="E11626"/>
      <c r="M11626"/>
    </row>
    <row r="11627" spans="5:13" x14ac:dyDescent="0.25">
      <c r="E11627"/>
      <c r="M11627"/>
    </row>
    <row r="11628" spans="5:13" x14ac:dyDescent="0.25">
      <c r="E11628"/>
      <c r="M11628"/>
    </row>
    <row r="11629" spans="5:13" x14ac:dyDescent="0.25">
      <c r="E11629"/>
      <c r="M11629"/>
    </row>
    <row r="11630" spans="5:13" x14ac:dyDescent="0.25">
      <c r="E11630"/>
      <c r="M11630"/>
    </row>
    <row r="11631" spans="5:13" x14ac:dyDescent="0.25">
      <c r="E11631"/>
      <c r="M11631"/>
    </row>
    <row r="11632" spans="5:13" x14ac:dyDescent="0.25">
      <c r="E11632"/>
      <c r="M11632"/>
    </row>
    <row r="11633" spans="5:13" x14ac:dyDescent="0.25">
      <c r="E11633"/>
      <c r="M11633"/>
    </row>
    <row r="11634" spans="5:13" x14ac:dyDescent="0.25">
      <c r="E11634"/>
      <c r="M11634"/>
    </row>
    <row r="11635" spans="5:13" x14ac:dyDescent="0.25">
      <c r="E11635"/>
      <c r="M11635"/>
    </row>
    <row r="11636" spans="5:13" x14ac:dyDescent="0.25">
      <c r="E11636"/>
      <c r="M11636"/>
    </row>
    <row r="11637" spans="5:13" x14ac:dyDescent="0.25">
      <c r="E11637"/>
      <c r="M11637"/>
    </row>
    <row r="11638" spans="5:13" x14ac:dyDescent="0.25">
      <c r="E11638"/>
      <c r="M11638"/>
    </row>
    <row r="11639" spans="5:13" x14ac:dyDescent="0.25">
      <c r="E11639"/>
      <c r="M11639"/>
    </row>
    <row r="11640" spans="5:13" x14ac:dyDescent="0.25">
      <c r="E11640"/>
      <c r="M11640"/>
    </row>
    <row r="11641" spans="5:13" x14ac:dyDescent="0.25">
      <c r="E11641"/>
      <c r="M11641"/>
    </row>
    <row r="11642" spans="5:13" x14ac:dyDescent="0.25">
      <c r="E11642"/>
      <c r="M11642"/>
    </row>
    <row r="11643" spans="5:13" x14ac:dyDescent="0.25">
      <c r="E11643"/>
      <c r="M11643"/>
    </row>
    <row r="11644" spans="5:13" x14ac:dyDescent="0.25">
      <c r="E11644"/>
      <c r="M11644"/>
    </row>
    <row r="11645" spans="5:13" x14ac:dyDescent="0.25">
      <c r="E11645"/>
      <c r="M11645"/>
    </row>
    <row r="11646" spans="5:13" x14ac:dyDescent="0.25">
      <c r="E11646"/>
      <c r="M11646"/>
    </row>
    <row r="11647" spans="5:13" x14ac:dyDescent="0.25">
      <c r="E11647"/>
      <c r="M11647"/>
    </row>
    <row r="11648" spans="5:13" x14ac:dyDescent="0.25">
      <c r="E11648"/>
      <c r="M11648"/>
    </row>
    <row r="11649" spans="5:13" x14ac:dyDescent="0.25">
      <c r="E11649"/>
      <c r="M11649"/>
    </row>
    <row r="11650" spans="5:13" x14ac:dyDescent="0.25">
      <c r="E11650"/>
      <c r="M11650"/>
    </row>
    <row r="11651" spans="5:13" x14ac:dyDescent="0.25">
      <c r="E11651"/>
      <c r="M11651"/>
    </row>
    <row r="11652" spans="5:13" x14ac:dyDescent="0.25">
      <c r="E11652"/>
      <c r="M11652"/>
    </row>
    <row r="11653" spans="5:13" x14ac:dyDescent="0.25">
      <c r="E11653"/>
      <c r="M11653"/>
    </row>
    <row r="11654" spans="5:13" x14ac:dyDescent="0.25">
      <c r="E11654"/>
      <c r="M11654"/>
    </row>
    <row r="11655" spans="5:13" x14ac:dyDescent="0.25">
      <c r="E11655"/>
      <c r="M11655"/>
    </row>
    <row r="11656" spans="5:13" x14ac:dyDescent="0.25">
      <c r="E11656"/>
      <c r="M11656"/>
    </row>
    <row r="11657" spans="5:13" x14ac:dyDescent="0.25">
      <c r="E11657"/>
      <c r="M11657"/>
    </row>
    <row r="11658" spans="5:13" x14ac:dyDescent="0.25">
      <c r="E11658"/>
      <c r="M11658"/>
    </row>
    <row r="11659" spans="5:13" x14ac:dyDescent="0.25">
      <c r="E11659"/>
      <c r="M11659"/>
    </row>
    <row r="11660" spans="5:13" x14ac:dyDescent="0.25">
      <c r="E11660"/>
      <c r="M11660"/>
    </row>
    <row r="11661" spans="5:13" x14ac:dyDescent="0.25">
      <c r="E11661"/>
      <c r="M11661"/>
    </row>
    <row r="11662" spans="5:13" x14ac:dyDescent="0.25">
      <c r="E11662"/>
      <c r="M11662"/>
    </row>
    <row r="11663" spans="5:13" x14ac:dyDescent="0.25">
      <c r="E11663"/>
      <c r="M11663"/>
    </row>
    <row r="11664" spans="5:13" x14ac:dyDescent="0.25">
      <c r="E11664"/>
      <c r="M11664"/>
    </row>
    <row r="11665" spans="5:13" x14ac:dyDescent="0.25">
      <c r="E11665"/>
      <c r="M11665"/>
    </row>
    <row r="11666" spans="5:13" x14ac:dyDescent="0.25">
      <c r="E11666"/>
      <c r="M11666"/>
    </row>
    <row r="11667" spans="5:13" x14ac:dyDescent="0.25">
      <c r="E11667"/>
      <c r="M11667"/>
    </row>
    <row r="11668" spans="5:13" x14ac:dyDescent="0.25">
      <c r="E11668"/>
      <c r="M11668"/>
    </row>
    <row r="11669" spans="5:13" x14ac:dyDescent="0.25">
      <c r="E11669"/>
      <c r="M11669"/>
    </row>
    <row r="11670" spans="5:13" x14ac:dyDescent="0.25">
      <c r="E11670"/>
      <c r="M11670"/>
    </row>
    <row r="11671" spans="5:13" x14ac:dyDescent="0.25">
      <c r="E11671"/>
      <c r="M11671"/>
    </row>
    <row r="11672" spans="5:13" x14ac:dyDescent="0.25">
      <c r="E11672"/>
      <c r="M11672"/>
    </row>
    <row r="11673" spans="5:13" x14ac:dyDescent="0.25">
      <c r="E11673"/>
      <c r="M11673"/>
    </row>
    <row r="11674" spans="5:13" x14ac:dyDescent="0.25">
      <c r="E11674"/>
      <c r="M11674"/>
    </row>
    <row r="11675" spans="5:13" x14ac:dyDescent="0.25">
      <c r="E11675"/>
      <c r="M11675"/>
    </row>
    <row r="11676" spans="5:13" x14ac:dyDescent="0.25">
      <c r="E11676"/>
      <c r="M11676"/>
    </row>
    <row r="11677" spans="5:13" x14ac:dyDescent="0.25">
      <c r="E11677"/>
      <c r="M11677"/>
    </row>
    <row r="11678" spans="5:13" x14ac:dyDescent="0.25">
      <c r="E11678"/>
      <c r="M11678"/>
    </row>
    <row r="11679" spans="5:13" x14ac:dyDescent="0.25">
      <c r="E11679"/>
      <c r="M11679"/>
    </row>
    <row r="11680" spans="5:13" x14ac:dyDescent="0.25">
      <c r="E11680"/>
      <c r="M11680"/>
    </row>
    <row r="11681" spans="5:13" x14ac:dyDescent="0.25">
      <c r="E11681"/>
      <c r="M11681"/>
    </row>
    <row r="11682" spans="5:13" x14ac:dyDescent="0.25">
      <c r="E11682"/>
      <c r="M11682"/>
    </row>
    <row r="11683" spans="5:13" x14ac:dyDescent="0.25">
      <c r="E11683"/>
      <c r="M11683"/>
    </row>
    <row r="11684" spans="5:13" x14ac:dyDescent="0.25">
      <c r="E11684"/>
      <c r="M11684"/>
    </row>
    <row r="11685" spans="5:13" x14ac:dyDescent="0.25">
      <c r="E11685"/>
      <c r="M11685"/>
    </row>
    <row r="11686" spans="5:13" x14ac:dyDescent="0.25">
      <c r="E11686"/>
      <c r="M11686"/>
    </row>
    <row r="11687" spans="5:13" x14ac:dyDescent="0.25">
      <c r="E11687"/>
      <c r="M11687"/>
    </row>
    <row r="11688" spans="5:13" x14ac:dyDescent="0.25">
      <c r="E11688"/>
      <c r="M11688"/>
    </row>
    <row r="11689" spans="5:13" x14ac:dyDescent="0.25">
      <c r="E11689"/>
      <c r="M11689"/>
    </row>
    <row r="11690" spans="5:13" x14ac:dyDescent="0.25">
      <c r="E11690"/>
      <c r="M11690"/>
    </row>
    <row r="11691" spans="5:13" x14ac:dyDescent="0.25">
      <c r="E11691"/>
      <c r="M11691"/>
    </row>
    <row r="11692" spans="5:13" x14ac:dyDescent="0.25">
      <c r="E11692"/>
      <c r="M11692"/>
    </row>
    <row r="11693" spans="5:13" x14ac:dyDescent="0.25">
      <c r="E11693"/>
      <c r="M11693"/>
    </row>
    <row r="11694" spans="5:13" x14ac:dyDescent="0.25">
      <c r="E11694"/>
      <c r="M11694"/>
    </row>
    <row r="11695" spans="5:13" x14ac:dyDescent="0.25">
      <c r="E11695"/>
      <c r="M11695"/>
    </row>
    <row r="11696" spans="5:13" x14ac:dyDescent="0.25">
      <c r="E11696"/>
      <c r="M11696"/>
    </row>
    <row r="11697" spans="5:13" x14ac:dyDescent="0.25">
      <c r="E11697"/>
      <c r="M11697"/>
    </row>
    <row r="11698" spans="5:13" x14ac:dyDescent="0.25">
      <c r="E11698"/>
      <c r="M11698"/>
    </row>
    <row r="11699" spans="5:13" x14ac:dyDescent="0.25">
      <c r="E11699"/>
      <c r="M11699"/>
    </row>
    <row r="11700" spans="5:13" x14ac:dyDescent="0.25">
      <c r="E11700"/>
      <c r="M11700"/>
    </row>
    <row r="11701" spans="5:13" x14ac:dyDescent="0.25">
      <c r="E11701"/>
      <c r="M11701"/>
    </row>
    <row r="11702" spans="5:13" x14ac:dyDescent="0.25">
      <c r="E11702"/>
      <c r="M11702"/>
    </row>
    <row r="11703" spans="5:13" x14ac:dyDescent="0.25">
      <c r="E11703"/>
      <c r="M11703"/>
    </row>
    <row r="11704" spans="5:13" x14ac:dyDescent="0.25">
      <c r="E11704"/>
      <c r="M11704"/>
    </row>
    <row r="11705" spans="5:13" x14ac:dyDescent="0.25">
      <c r="E11705"/>
      <c r="M11705"/>
    </row>
    <row r="11706" spans="5:13" x14ac:dyDescent="0.25">
      <c r="E11706"/>
      <c r="M11706"/>
    </row>
    <row r="11707" spans="5:13" x14ac:dyDescent="0.25">
      <c r="E11707"/>
      <c r="M11707"/>
    </row>
    <row r="11708" spans="5:13" x14ac:dyDescent="0.25">
      <c r="E11708"/>
      <c r="M11708"/>
    </row>
    <row r="11709" spans="5:13" x14ac:dyDescent="0.25">
      <c r="E11709"/>
      <c r="M11709"/>
    </row>
    <row r="11710" spans="5:13" x14ac:dyDescent="0.25">
      <c r="E11710"/>
      <c r="M11710"/>
    </row>
    <row r="11711" spans="5:13" x14ac:dyDescent="0.25">
      <c r="E11711"/>
      <c r="M11711"/>
    </row>
    <row r="11712" spans="5:13" x14ac:dyDescent="0.25">
      <c r="E11712"/>
      <c r="M11712"/>
    </row>
    <row r="11713" spans="5:13" x14ac:dyDescent="0.25">
      <c r="E11713"/>
      <c r="M11713"/>
    </row>
    <row r="11714" spans="5:13" x14ac:dyDescent="0.25">
      <c r="E11714"/>
      <c r="M11714"/>
    </row>
    <row r="11715" spans="5:13" x14ac:dyDescent="0.25">
      <c r="E11715"/>
      <c r="M11715"/>
    </row>
    <row r="11716" spans="5:13" x14ac:dyDescent="0.25">
      <c r="E11716"/>
      <c r="M11716"/>
    </row>
    <row r="11717" spans="5:13" x14ac:dyDescent="0.25">
      <c r="E11717"/>
      <c r="M11717"/>
    </row>
    <row r="11718" spans="5:13" x14ac:dyDescent="0.25">
      <c r="E11718"/>
      <c r="M11718"/>
    </row>
    <row r="11719" spans="5:13" x14ac:dyDescent="0.25">
      <c r="E11719"/>
      <c r="M11719"/>
    </row>
    <row r="11720" spans="5:13" x14ac:dyDescent="0.25">
      <c r="E11720"/>
      <c r="M11720"/>
    </row>
    <row r="11721" spans="5:13" x14ac:dyDescent="0.25">
      <c r="E11721"/>
      <c r="M11721"/>
    </row>
    <row r="11722" spans="5:13" x14ac:dyDescent="0.25">
      <c r="E11722"/>
      <c r="M11722"/>
    </row>
    <row r="11723" spans="5:13" x14ac:dyDescent="0.25">
      <c r="E11723"/>
      <c r="M11723"/>
    </row>
    <row r="11724" spans="5:13" x14ac:dyDescent="0.25">
      <c r="E11724"/>
      <c r="M11724"/>
    </row>
    <row r="11725" spans="5:13" x14ac:dyDescent="0.25">
      <c r="E11725"/>
      <c r="M11725"/>
    </row>
    <row r="11726" spans="5:13" x14ac:dyDescent="0.25">
      <c r="E11726"/>
      <c r="M11726"/>
    </row>
    <row r="11727" spans="5:13" x14ac:dyDescent="0.25">
      <c r="E11727"/>
      <c r="M11727"/>
    </row>
    <row r="11728" spans="5:13" x14ac:dyDescent="0.25">
      <c r="E11728"/>
      <c r="M11728"/>
    </row>
    <row r="11729" spans="5:13" x14ac:dyDescent="0.25">
      <c r="E11729"/>
      <c r="M11729"/>
    </row>
    <row r="11730" spans="5:13" x14ac:dyDescent="0.25">
      <c r="E11730"/>
      <c r="M11730"/>
    </row>
    <row r="11731" spans="5:13" x14ac:dyDescent="0.25">
      <c r="E11731"/>
      <c r="M11731"/>
    </row>
    <row r="11732" spans="5:13" x14ac:dyDescent="0.25">
      <c r="E11732"/>
      <c r="M11732"/>
    </row>
    <row r="11733" spans="5:13" x14ac:dyDescent="0.25">
      <c r="E11733"/>
      <c r="M11733"/>
    </row>
    <row r="11734" spans="5:13" x14ac:dyDescent="0.25">
      <c r="E11734"/>
      <c r="M11734"/>
    </row>
    <row r="11735" spans="5:13" x14ac:dyDescent="0.25">
      <c r="E11735"/>
      <c r="M11735"/>
    </row>
    <row r="11736" spans="5:13" x14ac:dyDescent="0.25">
      <c r="E11736"/>
      <c r="M11736"/>
    </row>
    <row r="11737" spans="5:13" x14ac:dyDescent="0.25">
      <c r="E11737"/>
      <c r="M11737"/>
    </row>
    <row r="11738" spans="5:13" x14ac:dyDescent="0.25">
      <c r="E11738"/>
      <c r="M11738"/>
    </row>
    <row r="11739" spans="5:13" x14ac:dyDescent="0.25">
      <c r="E11739"/>
      <c r="M11739"/>
    </row>
    <row r="11740" spans="5:13" x14ac:dyDescent="0.25">
      <c r="E11740"/>
      <c r="M11740"/>
    </row>
    <row r="11741" spans="5:13" x14ac:dyDescent="0.25">
      <c r="E11741"/>
      <c r="M11741"/>
    </row>
    <row r="11742" spans="5:13" x14ac:dyDescent="0.25">
      <c r="E11742"/>
      <c r="M11742"/>
    </row>
    <row r="11743" spans="5:13" x14ac:dyDescent="0.25">
      <c r="E11743"/>
      <c r="M11743"/>
    </row>
    <row r="11744" spans="5:13" x14ac:dyDescent="0.25">
      <c r="E11744"/>
      <c r="M11744"/>
    </row>
    <row r="11745" spans="5:13" x14ac:dyDescent="0.25">
      <c r="E11745"/>
      <c r="M11745"/>
    </row>
    <row r="11746" spans="5:13" x14ac:dyDescent="0.25">
      <c r="E11746"/>
      <c r="M11746"/>
    </row>
    <row r="11747" spans="5:13" x14ac:dyDescent="0.25">
      <c r="E11747"/>
      <c r="M11747"/>
    </row>
    <row r="11748" spans="5:13" x14ac:dyDescent="0.25">
      <c r="E11748"/>
      <c r="M11748"/>
    </row>
    <row r="11749" spans="5:13" x14ac:dyDescent="0.25">
      <c r="E11749"/>
      <c r="M11749"/>
    </row>
    <row r="11750" spans="5:13" x14ac:dyDescent="0.25">
      <c r="E11750"/>
      <c r="M11750"/>
    </row>
    <row r="11751" spans="5:13" x14ac:dyDescent="0.25">
      <c r="E11751"/>
      <c r="M11751"/>
    </row>
    <row r="11752" spans="5:13" x14ac:dyDescent="0.25">
      <c r="E11752"/>
      <c r="M11752"/>
    </row>
    <row r="11753" spans="5:13" x14ac:dyDescent="0.25">
      <c r="E11753"/>
      <c r="M11753"/>
    </row>
    <row r="11754" spans="5:13" x14ac:dyDescent="0.25">
      <c r="E11754"/>
      <c r="M11754"/>
    </row>
    <row r="11755" spans="5:13" x14ac:dyDescent="0.25">
      <c r="E11755"/>
      <c r="M11755"/>
    </row>
    <row r="11756" spans="5:13" x14ac:dyDescent="0.25">
      <c r="E11756"/>
      <c r="M11756"/>
    </row>
    <row r="11757" spans="5:13" x14ac:dyDescent="0.25">
      <c r="E11757"/>
      <c r="M11757"/>
    </row>
    <row r="11758" spans="5:13" x14ac:dyDescent="0.25">
      <c r="E11758"/>
      <c r="M11758"/>
    </row>
    <row r="11759" spans="5:13" x14ac:dyDescent="0.25">
      <c r="E11759"/>
      <c r="M11759"/>
    </row>
    <row r="11760" spans="5:13" x14ac:dyDescent="0.25">
      <c r="E11760"/>
      <c r="M11760"/>
    </row>
    <row r="11761" spans="5:13" x14ac:dyDescent="0.25">
      <c r="E11761"/>
      <c r="M11761"/>
    </row>
    <row r="11762" spans="5:13" x14ac:dyDescent="0.25">
      <c r="E11762"/>
      <c r="M11762"/>
    </row>
    <row r="11763" spans="5:13" x14ac:dyDescent="0.25">
      <c r="E11763"/>
      <c r="M11763"/>
    </row>
    <row r="11764" spans="5:13" x14ac:dyDescent="0.25">
      <c r="E11764"/>
      <c r="M11764"/>
    </row>
    <row r="11765" spans="5:13" x14ac:dyDescent="0.25">
      <c r="E11765"/>
      <c r="M11765"/>
    </row>
    <row r="11766" spans="5:13" x14ac:dyDescent="0.25">
      <c r="E11766"/>
      <c r="M11766"/>
    </row>
    <row r="11767" spans="5:13" x14ac:dyDescent="0.25">
      <c r="E11767"/>
      <c r="M11767"/>
    </row>
    <row r="11768" spans="5:13" x14ac:dyDescent="0.25">
      <c r="E11768"/>
      <c r="M11768"/>
    </row>
    <row r="11769" spans="5:13" x14ac:dyDescent="0.25">
      <c r="E11769"/>
      <c r="M11769"/>
    </row>
    <row r="11770" spans="5:13" x14ac:dyDescent="0.25">
      <c r="E11770"/>
      <c r="M11770"/>
    </row>
    <row r="11771" spans="5:13" x14ac:dyDescent="0.25">
      <c r="E11771"/>
      <c r="M11771"/>
    </row>
    <row r="11772" spans="5:13" x14ac:dyDescent="0.25">
      <c r="E11772"/>
      <c r="M11772"/>
    </row>
    <row r="11773" spans="5:13" x14ac:dyDescent="0.25">
      <c r="E11773"/>
      <c r="M11773"/>
    </row>
    <row r="11774" spans="5:13" x14ac:dyDescent="0.25">
      <c r="E11774"/>
      <c r="M11774"/>
    </row>
    <row r="11775" spans="5:13" x14ac:dyDescent="0.25">
      <c r="E11775"/>
      <c r="M11775"/>
    </row>
    <row r="11776" spans="5:13" x14ac:dyDescent="0.25">
      <c r="E11776"/>
      <c r="M11776"/>
    </row>
    <row r="11777" spans="5:13" x14ac:dyDescent="0.25">
      <c r="E11777"/>
      <c r="M11777"/>
    </row>
    <row r="11778" spans="5:13" x14ac:dyDescent="0.25">
      <c r="E11778"/>
      <c r="M11778"/>
    </row>
    <row r="11779" spans="5:13" x14ac:dyDescent="0.25">
      <c r="E11779"/>
      <c r="M11779"/>
    </row>
    <row r="11780" spans="5:13" x14ac:dyDescent="0.25">
      <c r="E11780"/>
      <c r="M11780"/>
    </row>
    <row r="11781" spans="5:13" x14ac:dyDescent="0.25">
      <c r="E11781"/>
      <c r="M11781"/>
    </row>
    <row r="11782" spans="5:13" x14ac:dyDescent="0.25">
      <c r="E11782"/>
      <c r="M11782"/>
    </row>
    <row r="11783" spans="5:13" x14ac:dyDescent="0.25">
      <c r="E11783"/>
      <c r="M11783"/>
    </row>
    <row r="11784" spans="5:13" x14ac:dyDescent="0.25">
      <c r="E11784"/>
      <c r="M11784"/>
    </row>
    <row r="11785" spans="5:13" x14ac:dyDescent="0.25">
      <c r="E11785"/>
      <c r="M11785"/>
    </row>
    <row r="11786" spans="5:13" x14ac:dyDescent="0.25">
      <c r="E11786"/>
      <c r="M11786"/>
    </row>
    <row r="11787" spans="5:13" x14ac:dyDescent="0.25">
      <c r="E11787"/>
      <c r="M11787"/>
    </row>
    <row r="11788" spans="5:13" x14ac:dyDescent="0.25">
      <c r="E11788"/>
      <c r="M11788"/>
    </row>
    <row r="11789" spans="5:13" x14ac:dyDescent="0.25">
      <c r="E11789"/>
      <c r="M11789"/>
    </row>
    <row r="11790" spans="5:13" x14ac:dyDescent="0.25">
      <c r="E11790"/>
      <c r="M11790"/>
    </row>
    <row r="11791" spans="5:13" x14ac:dyDescent="0.25">
      <c r="E11791"/>
      <c r="M11791"/>
    </row>
    <row r="11792" spans="5:13" x14ac:dyDescent="0.25">
      <c r="E11792"/>
      <c r="M11792"/>
    </row>
    <row r="11793" spans="5:13" x14ac:dyDescent="0.25">
      <c r="E11793"/>
      <c r="M11793"/>
    </row>
    <row r="11794" spans="5:13" x14ac:dyDescent="0.25">
      <c r="E11794"/>
      <c r="M11794"/>
    </row>
    <row r="11795" spans="5:13" x14ac:dyDescent="0.25">
      <c r="E11795"/>
      <c r="M11795"/>
    </row>
    <row r="11796" spans="5:13" x14ac:dyDescent="0.25">
      <c r="E11796"/>
      <c r="M11796"/>
    </row>
    <row r="11797" spans="5:13" x14ac:dyDescent="0.25">
      <c r="E11797"/>
      <c r="M11797"/>
    </row>
    <row r="11798" spans="5:13" x14ac:dyDescent="0.25">
      <c r="E11798"/>
      <c r="M11798"/>
    </row>
    <row r="11799" spans="5:13" x14ac:dyDescent="0.25">
      <c r="E11799"/>
      <c r="M11799"/>
    </row>
    <row r="11800" spans="5:13" x14ac:dyDescent="0.25">
      <c r="E11800"/>
      <c r="M11800"/>
    </row>
    <row r="11801" spans="5:13" x14ac:dyDescent="0.25">
      <c r="E11801"/>
      <c r="M11801"/>
    </row>
    <row r="11802" spans="5:13" x14ac:dyDescent="0.25">
      <c r="E11802"/>
      <c r="M11802"/>
    </row>
    <row r="11803" spans="5:13" x14ac:dyDescent="0.25">
      <c r="E11803"/>
      <c r="M11803"/>
    </row>
    <row r="11804" spans="5:13" x14ac:dyDescent="0.25">
      <c r="E11804"/>
      <c r="M11804"/>
    </row>
    <row r="11805" spans="5:13" x14ac:dyDescent="0.25">
      <c r="E11805"/>
      <c r="M11805"/>
    </row>
    <row r="11806" spans="5:13" x14ac:dyDescent="0.25">
      <c r="E11806"/>
      <c r="M11806"/>
    </row>
    <row r="11807" spans="5:13" x14ac:dyDescent="0.25">
      <c r="E11807"/>
      <c r="M11807"/>
    </row>
    <row r="11808" spans="5:13" x14ac:dyDescent="0.25">
      <c r="E11808"/>
      <c r="M11808"/>
    </row>
    <row r="11809" spans="5:13" x14ac:dyDescent="0.25">
      <c r="E11809"/>
      <c r="M11809"/>
    </row>
    <row r="11810" spans="5:13" x14ac:dyDescent="0.25">
      <c r="E11810"/>
      <c r="M11810"/>
    </row>
    <row r="11811" spans="5:13" x14ac:dyDescent="0.25">
      <c r="E11811"/>
      <c r="M11811"/>
    </row>
    <row r="11812" spans="5:13" x14ac:dyDescent="0.25">
      <c r="E11812"/>
      <c r="M11812"/>
    </row>
    <row r="11813" spans="5:13" x14ac:dyDescent="0.25">
      <c r="E11813"/>
      <c r="M11813"/>
    </row>
    <row r="11814" spans="5:13" x14ac:dyDescent="0.25">
      <c r="E11814"/>
      <c r="M11814"/>
    </row>
    <row r="11815" spans="5:13" x14ac:dyDescent="0.25">
      <c r="E11815"/>
      <c r="M11815"/>
    </row>
    <row r="11816" spans="5:13" x14ac:dyDescent="0.25">
      <c r="E11816"/>
      <c r="M11816"/>
    </row>
    <row r="11817" spans="5:13" x14ac:dyDescent="0.25">
      <c r="E11817"/>
      <c r="M11817"/>
    </row>
    <row r="11818" spans="5:13" x14ac:dyDescent="0.25">
      <c r="E11818"/>
      <c r="M11818"/>
    </row>
    <row r="11819" spans="5:13" x14ac:dyDescent="0.25">
      <c r="E11819"/>
      <c r="M11819"/>
    </row>
    <row r="11820" spans="5:13" x14ac:dyDescent="0.25">
      <c r="E11820"/>
      <c r="M11820"/>
    </row>
    <row r="11821" spans="5:13" x14ac:dyDescent="0.25">
      <c r="E11821"/>
      <c r="M11821"/>
    </row>
    <row r="11822" spans="5:13" x14ac:dyDescent="0.25">
      <c r="E11822"/>
      <c r="M11822"/>
    </row>
    <row r="11823" spans="5:13" x14ac:dyDescent="0.25">
      <c r="E11823"/>
      <c r="M11823"/>
    </row>
    <row r="11824" spans="5:13" x14ac:dyDescent="0.25">
      <c r="E11824"/>
      <c r="M11824"/>
    </row>
    <row r="11825" spans="5:13" x14ac:dyDescent="0.25">
      <c r="E11825"/>
      <c r="M11825"/>
    </row>
    <row r="11826" spans="5:13" x14ac:dyDescent="0.25">
      <c r="E11826"/>
      <c r="M11826"/>
    </row>
    <row r="11827" spans="5:13" x14ac:dyDescent="0.25">
      <c r="E11827"/>
      <c r="M11827"/>
    </row>
    <row r="11828" spans="5:13" x14ac:dyDescent="0.25">
      <c r="E11828"/>
      <c r="M11828"/>
    </row>
    <row r="11829" spans="5:13" x14ac:dyDescent="0.25">
      <c r="E11829"/>
      <c r="M11829"/>
    </row>
    <row r="11830" spans="5:13" x14ac:dyDescent="0.25">
      <c r="E11830"/>
      <c r="M11830"/>
    </row>
    <row r="11831" spans="5:13" x14ac:dyDescent="0.25">
      <c r="E11831"/>
      <c r="M11831"/>
    </row>
    <row r="11832" spans="5:13" x14ac:dyDescent="0.25">
      <c r="E11832"/>
      <c r="M11832"/>
    </row>
    <row r="11833" spans="5:13" x14ac:dyDescent="0.25">
      <c r="E11833"/>
      <c r="M11833"/>
    </row>
    <row r="11834" spans="5:13" x14ac:dyDescent="0.25">
      <c r="E11834"/>
      <c r="M11834"/>
    </row>
    <row r="11835" spans="5:13" x14ac:dyDescent="0.25">
      <c r="E11835"/>
      <c r="M11835"/>
    </row>
    <row r="11836" spans="5:13" x14ac:dyDescent="0.25">
      <c r="E11836"/>
      <c r="M11836"/>
    </row>
    <row r="11837" spans="5:13" x14ac:dyDescent="0.25">
      <c r="E11837"/>
      <c r="M11837"/>
    </row>
    <row r="11838" spans="5:13" x14ac:dyDescent="0.25">
      <c r="E11838"/>
      <c r="M11838"/>
    </row>
    <row r="11839" spans="5:13" x14ac:dyDescent="0.25">
      <c r="E11839"/>
      <c r="M11839"/>
    </row>
    <row r="11840" spans="5:13" x14ac:dyDescent="0.25">
      <c r="E11840"/>
      <c r="M11840"/>
    </row>
    <row r="11841" spans="5:13" x14ac:dyDescent="0.25">
      <c r="E11841"/>
      <c r="M11841"/>
    </row>
    <row r="11842" spans="5:13" x14ac:dyDescent="0.25">
      <c r="E11842"/>
      <c r="M11842"/>
    </row>
    <row r="11843" spans="5:13" x14ac:dyDescent="0.25">
      <c r="E11843"/>
      <c r="M11843"/>
    </row>
    <row r="11844" spans="5:13" x14ac:dyDescent="0.25">
      <c r="E11844"/>
      <c r="M11844"/>
    </row>
    <row r="11845" spans="5:13" x14ac:dyDescent="0.25">
      <c r="E11845"/>
      <c r="M11845"/>
    </row>
    <row r="11846" spans="5:13" x14ac:dyDescent="0.25">
      <c r="E11846"/>
      <c r="M11846"/>
    </row>
    <row r="11847" spans="5:13" x14ac:dyDescent="0.25">
      <c r="E11847"/>
      <c r="M11847"/>
    </row>
    <row r="11848" spans="5:13" x14ac:dyDescent="0.25">
      <c r="E11848"/>
      <c r="M11848"/>
    </row>
    <row r="11849" spans="5:13" x14ac:dyDescent="0.25">
      <c r="E11849"/>
      <c r="M11849"/>
    </row>
    <row r="11850" spans="5:13" x14ac:dyDescent="0.25">
      <c r="E11850"/>
      <c r="M11850"/>
    </row>
    <row r="11851" spans="5:13" x14ac:dyDescent="0.25">
      <c r="E11851"/>
      <c r="M11851"/>
    </row>
    <row r="11852" spans="5:13" x14ac:dyDescent="0.25">
      <c r="E11852"/>
      <c r="M11852"/>
    </row>
    <row r="11853" spans="5:13" x14ac:dyDescent="0.25">
      <c r="E11853"/>
      <c r="M11853"/>
    </row>
    <row r="11854" spans="5:13" x14ac:dyDescent="0.25">
      <c r="E11854"/>
      <c r="M11854"/>
    </row>
    <row r="11855" spans="5:13" x14ac:dyDescent="0.25">
      <c r="E11855"/>
      <c r="M11855"/>
    </row>
    <row r="11856" spans="5:13" x14ac:dyDescent="0.25">
      <c r="E11856"/>
      <c r="M11856"/>
    </row>
    <row r="11857" spans="5:13" x14ac:dyDescent="0.25">
      <c r="E11857"/>
      <c r="M11857"/>
    </row>
    <row r="11858" spans="5:13" x14ac:dyDescent="0.25">
      <c r="E11858"/>
      <c r="M11858"/>
    </row>
    <row r="11859" spans="5:13" x14ac:dyDescent="0.25">
      <c r="E11859"/>
      <c r="M11859"/>
    </row>
    <row r="11860" spans="5:13" x14ac:dyDescent="0.25">
      <c r="E11860"/>
      <c r="M11860"/>
    </row>
    <row r="11861" spans="5:13" x14ac:dyDescent="0.25">
      <c r="E11861"/>
      <c r="M11861"/>
    </row>
    <row r="11862" spans="5:13" x14ac:dyDescent="0.25">
      <c r="E11862"/>
      <c r="M11862"/>
    </row>
    <row r="11863" spans="5:13" x14ac:dyDescent="0.25">
      <c r="E11863"/>
      <c r="M11863"/>
    </row>
    <row r="11864" spans="5:13" x14ac:dyDescent="0.25">
      <c r="E11864"/>
      <c r="M11864"/>
    </row>
    <row r="11865" spans="5:13" x14ac:dyDescent="0.25">
      <c r="E11865"/>
      <c r="M11865"/>
    </row>
    <row r="11866" spans="5:13" x14ac:dyDescent="0.25">
      <c r="E11866"/>
      <c r="M11866"/>
    </row>
    <row r="11867" spans="5:13" x14ac:dyDescent="0.25">
      <c r="E11867"/>
      <c r="M11867"/>
    </row>
    <row r="11868" spans="5:13" x14ac:dyDescent="0.25">
      <c r="E11868"/>
      <c r="M11868"/>
    </row>
    <row r="11869" spans="5:13" x14ac:dyDescent="0.25">
      <c r="E11869"/>
      <c r="M11869"/>
    </row>
    <row r="11870" spans="5:13" x14ac:dyDescent="0.25">
      <c r="E11870"/>
      <c r="M11870"/>
    </row>
    <row r="11871" spans="5:13" x14ac:dyDescent="0.25">
      <c r="E11871"/>
      <c r="M11871"/>
    </row>
    <row r="11872" spans="5:13" x14ac:dyDescent="0.25">
      <c r="E11872"/>
      <c r="M11872"/>
    </row>
    <row r="11873" spans="5:13" x14ac:dyDescent="0.25">
      <c r="E11873"/>
      <c r="M11873"/>
    </row>
    <row r="11874" spans="5:13" x14ac:dyDescent="0.25">
      <c r="E11874"/>
      <c r="M11874"/>
    </row>
    <row r="11875" spans="5:13" x14ac:dyDescent="0.25">
      <c r="E11875"/>
      <c r="M11875"/>
    </row>
    <row r="11876" spans="5:13" x14ac:dyDescent="0.25">
      <c r="E11876"/>
      <c r="M11876"/>
    </row>
    <row r="11877" spans="5:13" x14ac:dyDescent="0.25">
      <c r="E11877"/>
      <c r="M11877"/>
    </row>
    <row r="11878" spans="5:13" x14ac:dyDescent="0.25">
      <c r="E11878"/>
      <c r="M11878"/>
    </row>
    <row r="11879" spans="5:13" x14ac:dyDescent="0.25">
      <c r="E11879"/>
      <c r="M11879"/>
    </row>
    <row r="11880" spans="5:13" x14ac:dyDescent="0.25">
      <c r="E11880"/>
      <c r="M11880"/>
    </row>
    <row r="11881" spans="5:13" x14ac:dyDescent="0.25">
      <c r="E11881"/>
      <c r="M11881"/>
    </row>
    <row r="11882" spans="5:13" x14ac:dyDescent="0.25">
      <c r="E11882"/>
      <c r="M11882"/>
    </row>
    <row r="11883" spans="5:13" x14ac:dyDescent="0.25">
      <c r="E11883"/>
      <c r="M11883"/>
    </row>
    <row r="11884" spans="5:13" x14ac:dyDescent="0.25">
      <c r="E11884"/>
      <c r="M11884"/>
    </row>
    <row r="11885" spans="5:13" x14ac:dyDescent="0.25">
      <c r="E11885"/>
      <c r="M11885"/>
    </row>
    <row r="11886" spans="5:13" x14ac:dyDescent="0.25">
      <c r="E11886"/>
      <c r="M11886"/>
    </row>
    <row r="11887" spans="5:13" x14ac:dyDescent="0.25">
      <c r="E11887"/>
      <c r="M11887"/>
    </row>
    <row r="11888" spans="5:13" x14ac:dyDescent="0.25">
      <c r="E11888"/>
      <c r="M11888"/>
    </row>
    <row r="11889" spans="5:13" x14ac:dyDescent="0.25">
      <c r="E11889"/>
      <c r="M11889"/>
    </row>
    <row r="11890" spans="5:13" x14ac:dyDescent="0.25">
      <c r="E11890"/>
      <c r="M11890"/>
    </row>
    <row r="11891" spans="5:13" x14ac:dyDescent="0.25">
      <c r="E11891"/>
      <c r="M11891"/>
    </row>
    <row r="11892" spans="5:13" x14ac:dyDescent="0.25">
      <c r="E11892"/>
      <c r="M11892"/>
    </row>
    <row r="11893" spans="5:13" x14ac:dyDescent="0.25">
      <c r="E11893"/>
      <c r="M11893"/>
    </row>
    <row r="11894" spans="5:13" x14ac:dyDescent="0.25">
      <c r="E11894"/>
      <c r="M11894"/>
    </row>
    <row r="11895" spans="5:13" x14ac:dyDescent="0.25">
      <c r="E11895"/>
      <c r="M11895"/>
    </row>
    <row r="11896" spans="5:13" x14ac:dyDescent="0.25">
      <c r="E11896"/>
      <c r="M11896"/>
    </row>
    <row r="11897" spans="5:13" x14ac:dyDescent="0.25">
      <c r="E11897"/>
      <c r="M11897"/>
    </row>
    <row r="11898" spans="5:13" x14ac:dyDescent="0.25">
      <c r="E11898"/>
      <c r="M11898"/>
    </row>
    <row r="11899" spans="5:13" x14ac:dyDescent="0.25">
      <c r="E11899"/>
      <c r="M11899"/>
    </row>
    <row r="11900" spans="5:13" x14ac:dyDescent="0.25">
      <c r="E11900"/>
      <c r="M11900"/>
    </row>
    <row r="11901" spans="5:13" x14ac:dyDescent="0.25">
      <c r="E11901"/>
      <c r="M11901"/>
    </row>
    <row r="11902" spans="5:13" x14ac:dyDescent="0.25">
      <c r="E11902"/>
      <c r="M11902"/>
    </row>
    <row r="11903" spans="5:13" x14ac:dyDescent="0.25">
      <c r="E11903"/>
      <c r="M11903"/>
    </row>
    <row r="11904" spans="5:13" x14ac:dyDescent="0.25">
      <c r="E11904"/>
      <c r="M11904"/>
    </row>
    <row r="11905" spans="5:13" x14ac:dyDescent="0.25">
      <c r="E11905"/>
      <c r="M11905"/>
    </row>
    <row r="11906" spans="5:13" x14ac:dyDescent="0.25">
      <c r="E11906"/>
      <c r="M11906"/>
    </row>
    <row r="11907" spans="5:13" x14ac:dyDescent="0.25">
      <c r="E11907"/>
      <c r="M11907"/>
    </row>
    <row r="11908" spans="5:13" x14ac:dyDescent="0.25">
      <c r="E11908"/>
      <c r="M11908"/>
    </row>
    <row r="11909" spans="5:13" x14ac:dyDescent="0.25">
      <c r="E11909"/>
      <c r="M11909"/>
    </row>
    <row r="11910" spans="5:13" x14ac:dyDescent="0.25">
      <c r="E11910"/>
      <c r="M11910"/>
    </row>
    <row r="11911" spans="5:13" x14ac:dyDescent="0.25">
      <c r="E11911"/>
      <c r="M11911"/>
    </row>
    <row r="11912" spans="5:13" x14ac:dyDescent="0.25">
      <c r="E11912"/>
      <c r="M11912"/>
    </row>
    <row r="11913" spans="5:13" x14ac:dyDescent="0.25">
      <c r="E11913"/>
      <c r="M11913"/>
    </row>
    <row r="11914" spans="5:13" x14ac:dyDescent="0.25">
      <c r="E11914"/>
      <c r="M11914"/>
    </row>
    <row r="11915" spans="5:13" x14ac:dyDescent="0.25">
      <c r="E11915"/>
      <c r="M11915"/>
    </row>
    <row r="11916" spans="5:13" x14ac:dyDescent="0.25">
      <c r="E11916"/>
      <c r="M11916"/>
    </row>
    <row r="11917" spans="5:13" x14ac:dyDescent="0.25">
      <c r="E11917"/>
      <c r="M11917"/>
    </row>
    <row r="11918" spans="5:13" x14ac:dyDescent="0.25">
      <c r="E11918"/>
      <c r="M11918"/>
    </row>
    <row r="11919" spans="5:13" x14ac:dyDescent="0.25">
      <c r="E11919"/>
      <c r="M11919"/>
    </row>
    <row r="11920" spans="5:13" x14ac:dyDescent="0.25">
      <c r="E11920"/>
      <c r="M11920"/>
    </row>
    <row r="11921" spans="5:13" x14ac:dyDescent="0.25">
      <c r="E11921"/>
      <c r="M11921"/>
    </row>
    <row r="11922" spans="5:13" x14ac:dyDescent="0.25">
      <c r="E11922"/>
      <c r="M11922"/>
    </row>
    <row r="11923" spans="5:13" x14ac:dyDescent="0.25">
      <c r="E11923"/>
      <c r="M11923"/>
    </row>
    <row r="11924" spans="5:13" x14ac:dyDescent="0.25">
      <c r="E11924"/>
      <c r="M11924"/>
    </row>
    <row r="11925" spans="5:13" x14ac:dyDescent="0.25">
      <c r="E11925"/>
      <c r="M11925"/>
    </row>
    <row r="11926" spans="5:13" x14ac:dyDescent="0.25">
      <c r="E11926"/>
      <c r="M11926"/>
    </row>
    <row r="11927" spans="5:13" x14ac:dyDescent="0.25">
      <c r="E11927"/>
      <c r="M11927"/>
    </row>
    <row r="11928" spans="5:13" x14ac:dyDescent="0.25">
      <c r="E11928"/>
      <c r="M11928"/>
    </row>
    <row r="11929" spans="5:13" x14ac:dyDescent="0.25">
      <c r="E11929"/>
      <c r="M11929"/>
    </row>
    <row r="11930" spans="5:13" x14ac:dyDescent="0.25">
      <c r="E11930"/>
      <c r="M11930"/>
    </row>
    <row r="11931" spans="5:13" x14ac:dyDescent="0.25">
      <c r="E11931"/>
      <c r="M11931"/>
    </row>
    <row r="11932" spans="5:13" x14ac:dyDescent="0.25">
      <c r="E11932"/>
      <c r="M11932"/>
    </row>
    <row r="11933" spans="5:13" x14ac:dyDescent="0.25">
      <c r="E11933"/>
      <c r="M11933"/>
    </row>
    <row r="11934" spans="5:13" x14ac:dyDescent="0.25">
      <c r="E11934"/>
      <c r="M11934"/>
    </row>
    <row r="11935" spans="5:13" x14ac:dyDescent="0.25">
      <c r="E11935"/>
      <c r="M11935"/>
    </row>
    <row r="11936" spans="5:13" x14ac:dyDescent="0.25">
      <c r="E11936"/>
      <c r="M11936"/>
    </row>
    <row r="11937" spans="5:13" x14ac:dyDescent="0.25">
      <c r="E11937"/>
      <c r="M11937"/>
    </row>
    <row r="11938" spans="5:13" x14ac:dyDescent="0.25">
      <c r="E11938"/>
      <c r="M11938"/>
    </row>
    <row r="11939" spans="5:13" x14ac:dyDescent="0.25">
      <c r="E11939"/>
      <c r="M11939"/>
    </row>
    <row r="11940" spans="5:13" x14ac:dyDescent="0.25">
      <c r="E11940"/>
      <c r="M11940"/>
    </row>
    <row r="11941" spans="5:13" x14ac:dyDescent="0.25">
      <c r="E11941"/>
      <c r="M11941"/>
    </row>
    <row r="11942" spans="5:13" x14ac:dyDescent="0.25">
      <c r="E11942"/>
      <c r="M11942"/>
    </row>
    <row r="11943" spans="5:13" x14ac:dyDescent="0.25">
      <c r="E11943"/>
      <c r="M11943"/>
    </row>
    <row r="11944" spans="5:13" x14ac:dyDescent="0.25">
      <c r="E11944"/>
      <c r="M11944"/>
    </row>
    <row r="11945" spans="5:13" x14ac:dyDescent="0.25">
      <c r="E11945"/>
      <c r="M11945"/>
    </row>
    <row r="11946" spans="5:13" x14ac:dyDescent="0.25">
      <c r="E11946"/>
      <c r="M11946"/>
    </row>
    <row r="11947" spans="5:13" x14ac:dyDescent="0.25">
      <c r="E11947"/>
      <c r="M11947"/>
    </row>
    <row r="11948" spans="5:13" x14ac:dyDescent="0.25">
      <c r="E11948"/>
      <c r="M11948"/>
    </row>
    <row r="11949" spans="5:13" x14ac:dyDescent="0.25">
      <c r="E11949"/>
      <c r="M11949"/>
    </row>
    <row r="11950" spans="5:13" x14ac:dyDescent="0.25">
      <c r="E11950"/>
      <c r="M11950"/>
    </row>
    <row r="11951" spans="5:13" x14ac:dyDescent="0.25">
      <c r="E11951"/>
      <c r="M11951"/>
    </row>
    <row r="11952" spans="5:13" x14ac:dyDescent="0.25">
      <c r="E11952"/>
      <c r="M11952"/>
    </row>
    <row r="11953" spans="5:13" x14ac:dyDescent="0.25">
      <c r="E11953"/>
      <c r="M11953"/>
    </row>
    <row r="11954" spans="5:13" x14ac:dyDescent="0.25">
      <c r="E11954"/>
      <c r="M11954"/>
    </row>
    <row r="11955" spans="5:13" x14ac:dyDescent="0.25">
      <c r="E11955"/>
      <c r="M11955"/>
    </row>
    <row r="11956" spans="5:13" x14ac:dyDescent="0.25">
      <c r="E11956"/>
      <c r="M11956"/>
    </row>
    <row r="11957" spans="5:13" x14ac:dyDescent="0.25">
      <c r="E11957"/>
      <c r="M11957"/>
    </row>
    <row r="11958" spans="5:13" x14ac:dyDescent="0.25">
      <c r="E11958"/>
      <c r="M11958"/>
    </row>
    <row r="11959" spans="5:13" x14ac:dyDescent="0.25">
      <c r="E11959"/>
      <c r="M11959"/>
    </row>
    <row r="11960" spans="5:13" x14ac:dyDescent="0.25">
      <c r="E11960"/>
      <c r="M11960"/>
    </row>
    <row r="11961" spans="5:13" x14ac:dyDescent="0.25">
      <c r="E11961"/>
      <c r="M11961"/>
    </row>
    <row r="11962" spans="5:13" x14ac:dyDescent="0.25">
      <c r="E11962"/>
      <c r="M11962"/>
    </row>
    <row r="11963" spans="5:13" x14ac:dyDescent="0.25">
      <c r="E11963"/>
      <c r="M11963"/>
    </row>
    <row r="11964" spans="5:13" x14ac:dyDescent="0.25">
      <c r="E11964"/>
      <c r="M11964"/>
    </row>
    <row r="11965" spans="5:13" x14ac:dyDescent="0.25">
      <c r="E11965"/>
      <c r="M11965"/>
    </row>
    <row r="11966" spans="5:13" x14ac:dyDescent="0.25">
      <c r="E11966"/>
      <c r="M11966"/>
    </row>
    <row r="11967" spans="5:13" x14ac:dyDescent="0.25">
      <c r="E11967"/>
      <c r="M11967"/>
    </row>
    <row r="11968" spans="5:13" x14ac:dyDescent="0.25">
      <c r="E11968"/>
      <c r="M11968"/>
    </row>
    <row r="11969" spans="5:13" x14ac:dyDescent="0.25">
      <c r="E11969"/>
      <c r="M11969"/>
    </row>
    <row r="11970" spans="5:13" x14ac:dyDescent="0.25">
      <c r="E11970"/>
      <c r="M11970"/>
    </row>
    <row r="11971" spans="5:13" x14ac:dyDescent="0.25">
      <c r="E11971"/>
      <c r="M11971"/>
    </row>
    <row r="11972" spans="5:13" x14ac:dyDescent="0.25">
      <c r="E11972"/>
      <c r="M11972"/>
    </row>
    <row r="11973" spans="5:13" x14ac:dyDescent="0.25">
      <c r="E11973"/>
      <c r="M11973"/>
    </row>
    <row r="11974" spans="5:13" x14ac:dyDescent="0.25">
      <c r="E11974"/>
      <c r="M11974"/>
    </row>
    <row r="11975" spans="5:13" x14ac:dyDescent="0.25">
      <c r="E11975"/>
      <c r="M11975"/>
    </row>
    <row r="11976" spans="5:13" x14ac:dyDescent="0.25">
      <c r="E11976"/>
      <c r="M11976"/>
    </row>
    <row r="11977" spans="5:13" x14ac:dyDescent="0.25">
      <c r="E11977"/>
      <c r="M11977"/>
    </row>
    <row r="11978" spans="5:13" x14ac:dyDescent="0.25">
      <c r="E11978"/>
      <c r="M11978"/>
    </row>
    <row r="11979" spans="5:13" x14ac:dyDescent="0.25">
      <c r="E11979"/>
      <c r="M11979"/>
    </row>
    <row r="11980" spans="5:13" x14ac:dyDescent="0.25">
      <c r="E11980"/>
      <c r="M11980"/>
    </row>
    <row r="11981" spans="5:13" x14ac:dyDescent="0.25">
      <c r="E11981"/>
      <c r="M11981"/>
    </row>
    <row r="11982" spans="5:13" x14ac:dyDescent="0.25">
      <c r="E11982"/>
      <c r="M11982"/>
    </row>
    <row r="11983" spans="5:13" x14ac:dyDescent="0.25">
      <c r="E11983"/>
      <c r="M11983"/>
    </row>
    <row r="11984" spans="5:13" x14ac:dyDescent="0.25">
      <c r="E11984"/>
      <c r="M11984"/>
    </row>
    <row r="11985" spans="5:13" x14ac:dyDescent="0.25">
      <c r="E11985"/>
      <c r="M11985"/>
    </row>
    <row r="11986" spans="5:13" x14ac:dyDescent="0.25">
      <c r="E11986"/>
      <c r="M11986"/>
    </row>
    <row r="11987" spans="5:13" x14ac:dyDescent="0.25">
      <c r="E11987"/>
      <c r="M11987"/>
    </row>
    <row r="11988" spans="5:13" x14ac:dyDescent="0.25">
      <c r="E11988"/>
      <c r="M11988"/>
    </row>
    <row r="11989" spans="5:13" x14ac:dyDescent="0.25">
      <c r="E11989"/>
      <c r="M11989"/>
    </row>
    <row r="11990" spans="5:13" x14ac:dyDescent="0.25">
      <c r="E11990"/>
      <c r="M11990"/>
    </row>
    <row r="11991" spans="5:13" x14ac:dyDescent="0.25">
      <c r="E11991"/>
      <c r="M11991"/>
    </row>
    <row r="11992" spans="5:13" x14ac:dyDescent="0.25">
      <c r="E11992"/>
      <c r="M11992"/>
    </row>
    <row r="11993" spans="5:13" x14ac:dyDescent="0.25">
      <c r="E11993"/>
      <c r="M11993"/>
    </row>
    <row r="11994" spans="5:13" x14ac:dyDescent="0.25">
      <c r="E11994"/>
      <c r="M11994"/>
    </row>
    <row r="11995" spans="5:13" x14ac:dyDescent="0.25">
      <c r="E11995"/>
      <c r="M11995"/>
    </row>
    <row r="11996" spans="5:13" x14ac:dyDescent="0.25">
      <c r="E11996"/>
      <c r="M11996"/>
    </row>
    <row r="11997" spans="5:13" x14ac:dyDescent="0.25">
      <c r="E11997"/>
      <c r="M11997"/>
    </row>
    <row r="11998" spans="5:13" x14ac:dyDescent="0.25">
      <c r="E11998"/>
      <c r="M11998"/>
    </row>
    <row r="11999" spans="5:13" x14ac:dyDescent="0.25">
      <c r="E11999"/>
      <c r="M11999"/>
    </row>
    <row r="12000" spans="5:13" x14ac:dyDescent="0.25">
      <c r="E12000"/>
      <c r="M12000"/>
    </row>
    <row r="12001" spans="5:13" x14ac:dyDescent="0.25">
      <c r="E12001"/>
      <c r="M12001"/>
    </row>
    <row r="12002" spans="5:13" x14ac:dyDescent="0.25">
      <c r="E12002"/>
      <c r="M12002"/>
    </row>
    <row r="12003" spans="5:13" x14ac:dyDescent="0.25">
      <c r="E12003"/>
      <c r="M12003"/>
    </row>
    <row r="12004" spans="5:13" x14ac:dyDescent="0.25">
      <c r="E12004"/>
      <c r="M12004"/>
    </row>
    <row r="12005" spans="5:13" x14ac:dyDescent="0.25">
      <c r="E12005"/>
      <c r="M12005"/>
    </row>
    <row r="12006" spans="5:13" x14ac:dyDescent="0.25">
      <c r="E12006"/>
      <c r="M12006"/>
    </row>
    <row r="12007" spans="5:13" x14ac:dyDescent="0.25">
      <c r="E12007"/>
      <c r="M12007"/>
    </row>
    <row r="12008" spans="5:13" x14ac:dyDescent="0.25">
      <c r="E12008"/>
      <c r="M12008"/>
    </row>
    <row r="12009" spans="5:13" x14ac:dyDescent="0.25">
      <c r="E12009"/>
      <c r="M12009"/>
    </row>
    <row r="12010" spans="5:13" x14ac:dyDescent="0.25">
      <c r="E12010"/>
      <c r="M12010"/>
    </row>
    <row r="12011" spans="5:13" x14ac:dyDescent="0.25">
      <c r="E12011"/>
      <c r="M12011"/>
    </row>
    <row r="12012" spans="5:13" x14ac:dyDescent="0.25">
      <c r="E12012"/>
      <c r="M12012"/>
    </row>
    <row r="12013" spans="5:13" x14ac:dyDescent="0.25">
      <c r="E12013"/>
      <c r="M12013"/>
    </row>
    <row r="12014" spans="5:13" x14ac:dyDescent="0.25">
      <c r="E12014"/>
      <c r="M12014"/>
    </row>
    <row r="12015" spans="5:13" x14ac:dyDescent="0.25">
      <c r="E12015"/>
      <c r="M12015"/>
    </row>
    <row r="12016" spans="5:13" x14ac:dyDescent="0.25">
      <c r="E12016"/>
      <c r="M12016"/>
    </row>
    <row r="12017" spans="5:13" x14ac:dyDescent="0.25">
      <c r="E12017"/>
      <c r="M12017"/>
    </row>
    <row r="12018" spans="5:13" x14ac:dyDescent="0.25">
      <c r="E12018"/>
      <c r="M12018"/>
    </row>
    <row r="12019" spans="5:13" x14ac:dyDescent="0.25">
      <c r="E12019"/>
      <c r="M12019"/>
    </row>
    <row r="12020" spans="5:13" x14ac:dyDescent="0.25">
      <c r="E12020"/>
      <c r="M12020"/>
    </row>
    <row r="12021" spans="5:13" x14ac:dyDescent="0.25">
      <c r="E12021"/>
      <c r="M12021"/>
    </row>
    <row r="12022" spans="5:13" x14ac:dyDescent="0.25">
      <c r="E12022"/>
      <c r="M12022"/>
    </row>
    <row r="12023" spans="5:13" x14ac:dyDescent="0.25">
      <c r="E12023"/>
      <c r="M12023"/>
    </row>
    <row r="12024" spans="5:13" x14ac:dyDescent="0.25">
      <c r="E12024"/>
      <c r="M12024"/>
    </row>
    <row r="12025" spans="5:13" x14ac:dyDescent="0.25">
      <c r="E12025"/>
      <c r="M12025"/>
    </row>
    <row r="12026" spans="5:13" x14ac:dyDescent="0.25">
      <c r="E12026"/>
      <c r="M12026"/>
    </row>
    <row r="12027" spans="5:13" x14ac:dyDescent="0.25">
      <c r="E12027"/>
      <c r="M12027"/>
    </row>
    <row r="12028" spans="5:13" x14ac:dyDescent="0.25">
      <c r="E12028"/>
      <c r="M12028"/>
    </row>
    <row r="12029" spans="5:13" x14ac:dyDescent="0.25">
      <c r="E12029"/>
      <c r="M12029"/>
    </row>
    <row r="12030" spans="5:13" x14ac:dyDescent="0.25">
      <c r="E12030"/>
      <c r="M12030"/>
    </row>
    <row r="12031" spans="5:13" x14ac:dyDescent="0.25">
      <c r="E12031"/>
      <c r="M12031"/>
    </row>
    <row r="12032" spans="5:13" x14ac:dyDescent="0.25">
      <c r="E12032"/>
      <c r="M12032"/>
    </row>
    <row r="12033" spans="5:13" x14ac:dyDescent="0.25">
      <c r="E12033"/>
      <c r="M12033"/>
    </row>
    <row r="12034" spans="5:13" x14ac:dyDescent="0.25">
      <c r="E12034"/>
      <c r="M12034"/>
    </row>
    <row r="12035" spans="5:13" x14ac:dyDescent="0.25">
      <c r="E12035"/>
      <c r="M12035"/>
    </row>
    <row r="12036" spans="5:13" x14ac:dyDescent="0.25">
      <c r="E12036"/>
      <c r="M12036"/>
    </row>
    <row r="12037" spans="5:13" x14ac:dyDescent="0.25">
      <c r="E12037"/>
      <c r="M12037"/>
    </row>
    <row r="12038" spans="5:13" x14ac:dyDescent="0.25">
      <c r="E12038"/>
      <c r="M12038"/>
    </row>
    <row r="12039" spans="5:13" x14ac:dyDescent="0.25">
      <c r="E12039"/>
      <c r="M12039"/>
    </row>
    <row r="12040" spans="5:13" x14ac:dyDescent="0.25">
      <c r="E12040"/>
      <c r="M12040"/>
    </row>
    <row r="12041" spans="5:13" x14ac:dyDescent="0.25">
      <c r="E12041"/>
      <c r="M12041"/>
    </row>
    <row r="12042" spans="5:13" x14ac:dyDescent="0.25">
      <c r="E12042"/>
      <c r="M12042"/>
    </row>
    <row r="12043" spans="5:13" x14ac:dyDescent="0.25">
      <c r="E12043"/>
      <c r="M12043"/>
    </row>
    <row r="12044" spans="5:13" x14ac:dyDescent="0.25">
      <c r="E12044"/>
      <c r="M12044"/>
    </row>
    <row r="12045" spans="5:13" x14ac:dyDescent="0.25">
      <c r="E12045"/>
      <c r="M12045"/>
    </row>
    <row r="12046" spans="5:13" x14ac:dyDescent="0.25">
      <c r="E12046"/>
      <c r="M12046"/>
    </row>
    <row r="12047" spans="5:13" x14ac:dyDescent="0.25">
      <c r="E12047"/>
      <c r="M12047"/>
    </row>
    <row r="12048" spans="5:13" x14ac:dyDescent="0.25">
      <c r="E12048"/>
      <c r="M12048"/>
    </row>
    <row r="12049" spans="5:13" x14ac:dyDescent="0.25">
      <c r="E12049"/>
      <c r="M12049"/>
    </row>
    <row r="12050" spans="5:13" x14ac:dyDescent="0.25">
      <c r="E12050"/>
      <c r="M12050"/>
    </row>
    <row r="12051" spans="5:13" x14ac:dyDescent="0.25">
      <c r="E12051"/>
      <c r="M12051"/>
    </row>
    <row r="12052" spans="5:13" x14ac:dyDescent="0.25">
      <c r="E12052"/>
      <c r="M12052"/>
    </row>
    <row r="12053" spans="5:13" x14ac:dyDescent="0.25">
      <c r="E12053"/>
      <c r="M12053"/>
    </row>
    <row r="12054" spans="5:13" x14ac:dyDescent="0.25">
      <c r="E12054"/>
      <c r="M12054"/>
    </row>
    <row r="12055" spans="5:13" x14ac:dyDescent="0.25">
      <c r="E12055"/>
      <c r="M12055"/>
    </row>
    <row r="12056" spans="5:13" x14ac:dyDescent="0.25">
      <c r="E12056"/>
      <c r="M12056"/>
    </row>
    <row r="12057" spans="5:13" x14ac:dyDescent="0.25">
      <c r="E12057"/>
      <c r="M12057"/>
    </row>
    <row r="12058" spans="5:13" x14ac:dyDescent="0.25">
      <c r="E12058"/>
      <c r="M12058"/>
    </row>
    <row r="12059" spans="5:13" x14ac:dyDescent="0.25">
      <c r="E12059"/>
      <c r="M12059"/>
    </row>
    <row r="12060" spans="5:13" x14ac:dyDescent="0.25">
      <c r="E12060"/>
      <c r="M12060"/>
    </row>
    <row r="12061" spans="5:13" x14ac:dyDescent="0.25">
      <c r="E12061"/>
      <c r="M12061"/>
    </row>
    <row r="12062" spans="5:13" x14ac:dyDescent="0.25">
      <c r="E12062"/>
      <c r="M12062"/>
    </row>
    <row r="12063" spans="5:13" x14ac:dyDescent="0.25">
      <c r="E12063"/>
      <c r="M12063"/>
    </row>
    <row r="12064" spans="5:13" x14ac:dyDescent="0.25">
      <c r="E12064"/>
      <c r="M12064"/>
    </row>
    <row r="12065" spans="5:13" x14ac:dyDescent="0.25">
      <c r="E12065"/>
      <c r="M12065"/>
    </row>
    <row r="12066" spans="5:13" x14ac:dyDescent="0.25">
      <c r="E12066"/>
      <c r="M12066"/>
    </row>
    <row r="12067" spans="5:13" x14ac:dyDescent="0.25">
      <c r="E12067"/>
      <c r="M12067"/>
    </row>
    <row r="12068" spans="5:13" x14ac:dyDescent="0.25">
      <c r="E12068"/>
      <c r="M12068"/>
    </row>
    <row r="12069" spans="5:13" x14ac:dyDescent="0.25">
      <c r="E12069"/>
      <c r="M12069"/>
    </row>
    <row r="12070" spans="5:13" x14ac:dyDescent="0.25">
      <c r="E12070"/>
      <c r="M12070"/>
    </row>
    <row r="12071" spans="5:13" x14ac:dyDescent="0.25">
      <c r="E12071"/>
      <c r="M12071"/>
    </row>
    <row r="12072" spans="5:13" x14ac:dyDescent="0.25">
      <c r="E12072"/>
      <c r="M12072"/>
    </row>
    <row r="12073" spans="5:13" x14ac:dyDescent="0.25">
      <c r="E12073"/>
      <c r="M12073"/>
    </row>
    <row r="12074" spans="5:13" x14ac:dyDescent="0.25">
      <c r="E12074"/>
      <c r="M12074"/>
    </row>
    <row r="12075" spans="5:13" x14ac:dyDescent="0.25">
      <c r="E12075"/>
      <c r="M12075"/>
    </row>
    <row r="12076" spans="5:13" x14ac:dyDescent="0.25">
      <c r="E12076"/>
      <c r="M12076"/>
    </row>
    <row r="12077" spans="5:13" x14ac:dyDescent="0.25">
      <c r="E12077"/>
      <c r="M12077"/>
    </row>
    <row r="12078" spans="5:13" x14ac:dyDescent="0.25">
      <c r="E12078"/>
      <c r="M12078"/>
    </row>
    <row r="12079" spans="5:13" x14ac:dyDescent="0.25">
      <c r="E12079"/>
      <c r="M12079"/>
    </row>
    <row r="12080" spans="5:13" x14ac:dyDescent="0.25">
      <c r="E12080"/>
      <c r="M12080"/>
    </row>
    <row r="12081" spans="5:13" x14ac:dyDescent="0.25">
      <c r="E12081"/>
      <c r="M12081"/>
    </row>
    <row r="12082" spans="5:13" x14ac:dyDescent="0.25">
      <c r="E12082"/>
      <c r="M12082"/>
    </row>
    <row r="12083" spans="5:13" x14ac:dyDescent="0.25">
      <c r="E12083"/>
      <c r="M12083"/>
    </row>
    <row r="12084" spans="5:13" x14ac:dyDescent="0.25">
      <c r="E12084"/>
      <c r="M12084"/>
    </row>
    <row r="12085" spans="5:13" x14ac:dyDescent="0.25">
      <c r="E12085"/>
      <c r="M12085"/>
    </row>
    <row r="12086" spans="5:13" x14ac:dyDescent="0.25">
      <c r="E12086"/>
      <c r="M12086"/>
    </row>
    <row r="12087" spans="5:13" x14ac:dyDescent="0.25">
      <c r="E12087"/>
      <c r="M12087"/>
    </row>
    <row r="12088" spans="5:13" x14ac:dyDescent="0.25">
      <c r="E12088"/>
      <c r="M12088"/>
    </row>
    <row r="12089" spans="5:13" x14ac:dyDescent="0.25">
      <c r="E12089"/>
      <c r="M12089"/>
    </row>
    <row r="12090" spans="5:13" x14ac:dyDescent="0.25">
      <c r="E12090"/>
      <c r="M12090"/>
    </row>
    <row r="12091" spans="5:13" x14ac:dyDescent="0.25">
      <c r="E12091"/>
      <c r="M12091"/>
    </row>
    <row r="12092" spans="5:13" x14ac:dyDescent="0.25">
      <c r="E12092"/>
      <c r="M12092"/>
    </row>
    <row r="12093" spans="5:13" x14ac:dyDescent="0.25">
      <c r="E12093"/>
      <c r="M12093"/>
    </row>
    <row r="12094" spans="5:13" x14ac:dyDescent="0.25">
      <c r="E12094"/>
      <c r="M12094"/>
    </row>
    <row r="12095" spans="5:13" x14ac:dyDescent="0.25">
      <c r="E12095"/>
      <c r="M12095"/>
    </row>
    <row r="12096" spans="5:13" x14ac:dyDescent="0.25">
      <c r="E12096"/>
      <c r="M12096"/>
    </row>
    <row r="12097" spans="5:13" x14ac:dyDescent="0.25">
      <c r="E12097"/>
      <c r="M12097"/>
    </row>
    <row r="12098" spans="5:13" x14ac:dyDescent="0.25">
      <c r="E12098"/>
      <c r="M12098"/>
    </row>
    <row r="12099" spans="5:13" x14ac:dyDescent="0.25">
      <c r="E12099"/>
      <c r="M12099"/>
    </row>
    <row r="12100" spans="5:13" x14ac:dyDescent="0.25">
      <c r="E12100"/>
      <c r="M12100"/>
    </row>
    <row r="12101" spans="5:13" x14ac:dyDescent="0.25">
      <c r="E12101"/>
      <c r="M12101"/>
    </row>
    <row r="12102" spans="5:13" x14ac:dyDescent="0.25">
      <c r="E12102"/>
      <c r="M12102"/>
    </row>
    <row r="12103" spans="5:13" x14ac:dyDescent="0.25">
      <c r="E12103"/>
      <c r="M12103"/>
    </row>
    <row r="12104" spans="5:13" x14ac:dyDescent="0.25">
      <c r="E12104"/>
      <c r="M12104"/>
    </row>
    <row r="12105" spans="5:13" x14ac:dyDescent="0.25">
      <c r="E12105"/>
      <c r="M12105"/>
    </row>
    <row r="12106" spans="5:13" x14ac:dyDescent="0.25">
      <c r="E12106"/>
      <c r="M12106"/>
    </row>
    <row r="12107" spans="5:13" x14ac:dyDescent="0.25">
      <c r="E12107"/>
      <c r="M12107"/>
    </row>
    <row r="12108" spans="5:13" x14ac:dyDescent="0.25">
      <c r="E12108"/>
      <c r="M12108"/>
    </row>
    <row r="12109" spans="5:13" x14ac:dyDescent="0.25">
      <c r="E12109"/>
      <c r="M12109"/>
    </row>
    <row r="12110" spans="5:13" x14ac:dyDescent="0.25">
      <c r="E12110"/>
      <c r="M12110"/>
    </row>
    <row r="12111" spans="5:13" x14ac:dyDescent="0.25">
      <c r="E12111"/>
      <c r="M12111"/>
    </row>
    <row r="12112" spans="5:13" x14ac:dyDescent="0.25">
      <c r="E12112"/>
      <c r="M12112"/>
    </row>
    <row r="12113" spans="5:13" x14ac:dyDescent="0.25">
      <c r="E12113"/>
      <c r="M12113"/>
    </row>
    <row r="12114" spans="5:13" x14ac:dyDescent="0.25">
      <c r="E12114"/>
      <c r="M12114"/>
    </row>
    <row r="12115" spans="5:13" x14ac:dyDescent="0.25">
      <c r="E12115"/>
      <c r="M12115"/>
    </row>
    <row r="12116" spans="5:13" x14ac:dyDescent="0.25">
      <c r="E12116"/>
      <c r="M12116"/>
    </row>
    <row r="12117" spans="5:13" x14ac:dyDescent="0.25">
      <c r="E12117"/>
      <c r="M12117"/>
    </row>
    <row r="12118" spans="5:13" x14ac:dyDescent="0.25">
      <c r="E12118"/>
      <c r="M12118"/>
    </row>
    <row r="12119" spans="5:13" x14ac:dyDescent="0.25">
      <c r="E12119"/>
      <c r="M12119"/>
    </row>
    <row r="12120" spans="5:13" x14ac:dyDescent="0.25">
      <c r="E12120"/>
      <c r="M12120"/>
    </row>
    <row r="12121" spans="5:13" x14ac:dyDescent="0.25">
      <c r="E12121"/>
      <c r="M12121"/>
    </row>
    <row r="12122" spans="5:13" x14ac:dyDescent="0.25">
      <c r="E12122"/>
      <c r="M12122"/>
    </row>
    <row r="12123" spans="5:13" x14ac:dyDescent="0.25">
      <c r="E12123"/>
      <c r="M12123"/>
    </row>
    <row r="12124" spans="5:13" x14ac:dyDescent="0.25">
      <c r="E12124"/>
      <c r="M12124"/>
    </row>
    <row r="12125" spans="5:13" x14ac:dyDescent="0.25">
      <c r="E12125"/>
      <c r="M12125"/>
    </row>
    <row r="12126" spans="5:13" x14ac:dyDescent="0.25">
      <c r="E12126"/>
      <c r="M12126"/>
    </row>
    <row r="12127" spans="5:13" x14ac:dyDescent="0.25">
      <c r="E12127"/>
      <c r="M12127"/>
    </row>
    <row r="12128" spans="5:13" x14ac:dyDescent="0.25">
      <c r="E12128"/>
      <c r="M12128"/>
    </row>
    <row r="12129" spans="5:13" x14ac:dyDescent="0.25">
      <c r="E12129"/>
      <c r="M12129"/>
    </row>
    <row r="12130" spans="5:13" x14ac:dyDescent="0.25">
      <c r="E12130"/>
      <c r="M12130"/>
    </row>
    <row r="12131" spans="5:13" x14ac:dyDescent="0.25">
      <c r="E12131"/>
      <c r="M12131"/>
    </row>
    <row r="12132" spans="5:13" x14ac:dyDescent="0.25">
      <c r="E12132"/>
      <c r="M12132"/>
    </row>
    <row r="12133" spans="5:13" x14ac:dyDescent="0.25">
      <c r="E12133"/>
      <c r="M12133"/>
    </row>
    <row r="12134" spans="5:13" x14ac:dyDescent="0.25">
      <c r="E12134"/>
      <c r="M12134"/>
    </row>
    <row r="12135" spans="5:13" x14ac:dyDescent="0.25">
      <c r="E12135"/>
      <c r="M12135"/>
    </row>
    <row r="12136" spans="5:13" x14ac:dyDescent="0.25">
      <c r="E12136"/>
      <c r="M12136"/>
    </row>
    <row r="12137" spans="5:13" x14ac:dyDescent="0.25">
      <c r="E12137"/>
      <c r="M12137"/>
    </row>
    <row r="12138" spans="5:13" x14ac:dyDescent="0.25">
      <c r="E12138"/>
      <c r="M12138"/>
    </row>
    <row r="12139" spans="5:13" x14ac:dyDescent="0.25">
      <c r="E12139"/>
      <c r="M12139"/>
    </row>
    <row r="12140" spans="5:13" x14ac:dyDescent="0.25">
      <c r="E12140"/>
      <c r="M12140"/>
    </row>
    <row r="12141" spans="5:13" x14ac:dyDescent="0.25">
      <c r="E12141"/>
      <c r="M12141"/>
    </row>
    <row r="12142" spans="5:13" x14ac:dyDescent="0.25">
      <c r="E12142"/>
      <c r="M12142"/>
    </row>
    <row r="12143" spans="5:13" x14ac:dyDescent="0.25">
      <c r="E12143"/>
      <c r="M12143"/>
    </row>
    <row r="12144" spans="5:13" x14ac:dyDescent="0.25">
      <c r="E12144"/>
      <c r="M12144"/>
    </row>
    <row r="12145" spans="5:13" x14ac:dyDescent="0.25">
      <c r="E12145"/>
      <c r="M12145"/>
    </row>
    <row r="12146" spans="5:13" x14ac:dyDescent="0.25">
      <c r="E12146"/>
      <c r="M12146"/>
    </row>
    <row r="12147" spans="5:13" x14ac:dyDescent="0.25">
      <c r="E12147"/>
      <c r="M12147"/>
    </row>
    <row r="12148" spans="5:13" x14ac:dyDescent="0.25">
      <c r="E12148"/>
      <c r="M12148"/>
    </row>
    <row r="12149" spans="5:13" x14ac:dyDescent="0.25">
      <c r="E12149"/>
      <c r="M12149"/>
    </row>
    <row r="12150" spans="5:13" x14ac:dyDescent="0.25">
      <c r="E12150"/>
      <c r="M12150"/>
    </row>
    <row r="12151" spans="5:13" x14ac:dyDescent="0.25">
      <c r="E12151"/>
      <c r="M12151"/>
    </row>
    <row r="12152" spans="5:13" x14ac:dyDescent="0.25">
      <c r="E12152"/>
      <c r="M12152"/>
    </row>
    <row r="12153" spans="5:13" x14ac:dyDescent="0.25">
      <c r="E12153"/>
      <c r="M12153"/>
    </row>
    <row r="12154" spans="5:13" x14ac:dyDescent="0.25">
      <c r="E12154"/>
      <c r="M12154"/>
    </row>
    <row r="12155" spans="5:13" x14ac:dyDescent="0.25">
      <c r="E12155"/>
      <c r="M12155"/>
    </row>
    <row r="12156" spans="5:13" x14ac:dyDescent="0.25">
      <c r="E12156"/>
      <c r="M12156"/>
    </row>
    <row r="12157" spans="5:13" x14ac:dyDescent="0.25">
      <c r="E12157"/>
      <c r="M12157"/>
    </row>
    <row r="12158" spans="5:13" x14ac:dyDescent="0.25">
      <c r="E12158"/>
      <c r="M12158"/>
    </row>
    <row r="12159" spans="5:13" x14ac:dyDescent="0.25">
      <c r="E12159"/>
      <c r="M12159"/>
    </row>
    <row r="12160" spans="5:13" x14ac:dyDescent="0.25">
      <c r="E12160"/>
      <c r="M12160"/>
    </row>
    <row r="12161" spans="5:13" x14ac:dyDescent="0.25">
      <c r="E12161"/>
      <c r="M12161"/>
    </row>
    <row r="12162" spans="5:13" x14ac:dyDescent="0.25">
      <c r="E12162"/>
      <c r="M12162"/>
    </row>
    <row r="12163" spans="5:13" x14ac:dyDescent="0.25">
      <c r="E12163"/>
      <c r="M12163"/>
    </row>
    <row r="12164" spans="5:13" x14ac:dyDescent="0.25">
      <c r="E12164"/>
      <c r="M12164"/>
    </row>
    <row r="12165" spans="5:13" x14ac:dyDescent="0.25">
      <c r="E12165"/>
      <c r="M12165"/>
    </row>
    <row r="12166" spans="5:13" x14ac:dyDescent="0.25">
      <c r="E12166"/>
      <c r="M12166"/>
    </row>
    <row r="12167" spans="5:13" x14ac:dyDescent="0.25">
      <c r="E12167"/>
      <c r="M12167"/>
    </row>
    <row r="12168" spans="5:13" x14ac:dyDescent="0.25">
      <c r="E12168"/>
      <c r="M12168"/>
    </row>
    <row r="12169" spans="5:13" x14ac:dyDescent="0.25">
      <c r="E12169"/>
      <c r="M12169"/>
    </row>
    <row r="12170" spans="5:13" x14ac:dyDescent="0.25">
      <c r="E12170"/>
      <c r="M12170"/>
    </row>
    <row r="12171" spans="5:13" x14ac:dyDescent="0.25">
      <c r="E12171"/>
      <c r="M12171"/>
    </row>
    <row r="12172" spans="5:13" x14ac:dyDescent="0.25">
      <c r="E12172"/>
      <c r="M12172"/>
    </row>
    <row r="12173" spans="5:13" x14ac:dyDescent="0.25">
      <c r="E12173"/>
      <c r="M12173"/>
    </row>
    <row r="12174" spans="5:13" x14ac:dyDescent="0.25">
      <c r="E12174"/>
      <c r="M12174"/>
    </row>
    <row r="12175" spans="5:13" x14ac:dyDescent="0.25">
      <c r="E12175"/>
      <c r="M12175"/>
    </row>
    <row r="12176" spans="5:13" x14ac:dyDescent="0.25">
      <c r="E12176"/>
      <c r="M12176"/>
    </row>
    <row r="12177" spans="5:13" x14ac:dyDescent="0.25">
      <c r="E12177"/>
      <c r="M12177"/>
    </row>
    <row r="12178" spans="5:13" x14ac:dyDescent="0.25">
      <c r="E12178"/>
      <c r="M12178"/>
    </row>
    <row r="12179" spans="5:13" x14ac:dyDescent="0.25">
      <c r="E12179"/>
      <c r="M12179"/>
    </row>
    <row r="12180" spans="5:13" x14ac:dyDescent="0.25">
      <c r="E12180"/>
      <c r="M12180"/>
    </row>
    <row r="12181" spans="5:13" x14ac:dyDescent="0.25">
      <c r="E12181"/>
      <c r="M12181"/>
    </row>
    <row r="12182" spans="5:13" x14ac:dyDescent="0.25">
      <c r="E12182"/>
      <c r="M12182"/>
    </row>
    <row r="12183" spans="5:13" x14ac:dyDescent="0.25">
      <c r="E12183"/>
      <c r="M12183"/>
    </row>
    <row r="12184" spans="5:13" x14ac:dyDescent="0.25">
      <c r="E12184"/>
      <c r="M12184"/>
    </row>
    <row r="12185" spans="5:13" x14ac:dyDescent="0.25">
      <c r="E12185"/>
      <c r="M12185"/>
    </row>
    <row r="12186" spans="5:13" x14ac:dyDescent="0.25">
      <c r="E12186"/>
      <c r="M12186"/>
    </row>
    <row r="12187" spans="5:13" x14ac:dyDescent="0.25">
      <c r="E12187"/>
      <c r="M12187"/>
    </row>
    <row r="12188" spans="5:13" x14ac:dyDescent="0.25">
      <c r="E12188"/>
      <c r="M12188"/>
    </row>
    <row r="12189" spans="5:13" x14ac:dyDescent="0.25">
      <c r="E12189"/>
      <c r="M12189"/>
    </row>
    <row r="12190" spans="5:13" x14ac:dyDescent="0.25">
      <c r="E12190"/>
      <c r="M12190"/>
    </row>
    <row r="12191" spans="5:13" x14ac:dyDescent="0.25">
      <c r="E12191"/>
      <c r="M12191"/>
    </row>
    <row r="12192" spans="5:13" x14ac:dyDescent="0.25">
      <c r="E12192"/>
      <c r="M12192"/>
    </row>
    <row r="12193" spans="5:13" x14ac:dyDescent="0.25">
      <c r="E12193"/>
      <c r="M12193"/>
    </row>
    <row r="12194" spans="5:13" x14ac:dyDescent="0.25">
      <c r="E12194"/>
      <c r="M12194"/>
    </row>
    <row r="12195" spans="5:13" x14ac:dyDescent="0.25">
      <c r="E12195"/>
      <c r="M12195"/>
    </row>
    <row r="12196" spans="5:13" x14ac:dyDescent="0.25">
      <c r="E12196"/>
      <c r="M12196"/>
    </row>
    <row r="12197" spans="5:13" x14ac:dyDescent="0.25">
      <c r="E12197"/>
      <c r="M12197"/>
    </row>
    <row r="12198" spans="5:13" x14ac:dyDescent="0.25">
      <c r="E12198"/>
      <c r="M12198"/>
    </row>
    <row r="12199" spans="5:13" x14ac:dyDescent="0.25">
      <c r="E12199"/>
      <c r="M12199"/>
    </row>
    <row r="12200" spans="5:13" x14ac:dyDescent="0.25">
      <c r="E12200"/>
      <c r="M12200"/>
    </row>
    <row r="12201" spans="5:13" x14ac:dyDescent="0.25">
      <c r="E12201"/>
      <c r="M12201"/>
    </row>
    <row r="12202" spans="5:13" x14ac:dyDescent="0.25">
      <c r="E12202"/>
      <c r="M12202"/>
    </row>
    <row r="12203" spans="5:13" x14ac:dyDescent="0.25">
      <c r="E12203"/>
      <c r="M12203"/>
    </row>
    <row r="12204" spans="5:13" x14ac:dyDescent="0.25">
      <c r="E12204"/>
      <c r="M12204"/>
    </row>
    <row r="12205" spans="5:13" x14ac:dyDescent="0.25">
      <c r="E12205"/>
      <c r="M12205"/>
    </row>
    <row r="12206" spans="5:13" x14ac:dyDescent="0.25">
      <c r="E12206"/>
      <c r="M12206"/>
    </row>
    <row r="12207" spans="5:13" x14ac:dyDescent="0.25">
      <c r="E12207"/>
      <c r="M12207"/>
    </row>
    <row r="12208" spans="5:13" x14ac:dyDescent="0.25">
      <c r="E12208"/>
      <c r="M12208"/>
    </row>
    <row r="12209" spans="5:13" x14ac:dyDescent="0.25">
      <c r="E12209"/>
      <c r="M12209"/>
    </row>
    <row r="12210" spans="5:13" x14ac:dyDescent="0.25">
      <c r="E12210"/>
      <c r="M12210"/>
    </row>
    <row r="12211" spans="5:13" x14ac:dyDescent="0.25">
      <c r="E12211"/>
      <c r="M12211"/>
    </row>
    <row r="12212" spans="5:13" x14ac:dyDescent="0.25">
      <c r="E12212"/>
      <c r="M12212"/>
    </row>
    <row r="12213" spans="5:13" x14ac:dyDescent="0.25">
      <c r="E12213"/>
      <c r="M12213"/>
    </row>
    <row r="12214" spans="5:13" x14ac:dyDescent="0.25">
      <c r="E12214"/>
      <c r="M12214"/>
    </row>
    <row r="12215" spans="5:13" x14ac:dyDescent="0.25">
      <c r="E12215"/>
      <c r="M12215"/>
    </row>
    <row r="12216" spans="5:13" x14ac:dyDescent="0.25">
      <c r="E12216"/>
      <c r="M12216"/>
    </row>
    <row r="12217" spans="5:13" x14ac:dyDescent="0.25">
      <c r="E12217"/>
      <c r="M12217"/>
    </row>
    <row r="12218" spans="5:13" x14ac:dyDescent="0.25">
      <c r="E12218"/>
      <c r="M12218"/>
    </row>
    <row r="12219" spans="5:13" x14ac:dyDescent="0.25">
      <c r="E12219"/>
      <c r="M12219"/>
    </row>
    <row r="12220" spans="5:13" x14ac:dyDescent="0.25">
      <c r="E12220"/>
      <c r="M12220"/>
    </row>
    <row r="12221" spans="5:13" x14ac:dyDescent="0.25">
      <c r="E12221"/>
      <c r="M12221"/>
    </row>
    <row r="12222" spans="5:13" x14ac:dyDescent="0.25">
      <c r="E12222"/>
      <c r="M12222"/>
    </row>
    <row r="12223" spans="5:13" x14ac:dyDescent="0.25">
      <c r="E12223"/>
      <c r="M12223"/>
    </row>
    <row r="12224" spans="5:13" x14ac:dyDescent="0.25">
      <c r="E12224"/>
      <c r="M12224"/>
    </row>
    <row r="12225" spans="5:13" x14ac:dyDescent="0.25">
      <c r="E12225"/>
      <c r="M12225"/>
    </row>
    <row r="12226" spans="5:13" x14ac:dyDescent="0.25">
      <c r="E12226"/>
      <c r="M12226"/>
    </row>
    <row r="12227" spans="5:13" x14ac:dyDescent="0.25">
      <c r="E12227"/>
      <c r="M12227"/>
    </row>
    <row r="12228" spans="5:13" x14ac:dyDescent="0.25">
      <c r="E12228"/>
      <c r="M12228"/>
    </row>
    <row r="12229" spans="5:13" x14ac:dyDescent="0.25">
      <c r="E12229"/>
      <c r="M12229"/>
    </row>
    <row r="12230" spans="5:13" x14ac:dyDescent="0.25">
      <c r="E12230"/>
      <c r="M12230"/>
    </row>
    <row r="12231" spans="5:13" x14ac:dyDescent="0.25">
      <c r="E12231"/>
      <c r="M12231"/>
    </row>
    <row r="12232" spans="5:13" x14ac:dyDescent="0.25">
      <c r="E12232"/>
      <c r="M12232"/>
    </row>
    <row r="12233" spans="5:13" x14ac:dyDescent="0.25">
      <c r="E12233"/>
      <c r="M12233"/>
    </row>
    <row r="12234" spans="5:13" x14ac:dyDescent="0.25">
      <c r="E12234"/>
      <c r="M12234"/>
    </row>
    <row r="12235" spans="5:13" x14ac:dyDescent="0.25">
      <c r="E12235"/>
      <c r="M12235"/>
    </row>
    <row r="12236" spans="5:13" x14ac:dyDescent="0.25">
      <c r="E12236"/>
      <c r="M12236"/>
    </row>
    <row r="12237" spans="5:13" x14ac:dyDescent="0.25">
      <c r="E12237"/>
      <c r="M12237"/>
    </row>
    <row r="12238" spans="5:13" x14ac:dyDescent="0.25">
      <c r="E12238"/>
      <c r="M12238"/>
    </row>
    <row r="12239" spans="5:13" x14ac:dyDescent="0.25">
      <c r="E12239"/>
      <c r="M12239"/>
    </row>
    <row r="12240" spans="5:13" x14ac:dyDescent="0.25">
      <c r="E12240"/>
      <c r="M12240"/>
    </row>
    <row r="12241" spans="5:13" x14ac:dyDescent="0.25">
      <c r="E12241"/>
      <c r="M12241"/>
    </row>
    <row r="12242" spans="5:13" x14ac:dyDescent="0.25">
      <c r="E12242"/>
      <c r="M12242"/>
    </row>
    <row r="12243" spans="5:13" x14ac:dyDescent="0.25">
      <c r="E12243"/>
      <c r="M12243"/>
    </row>
    <row r="12244" spans="5:13" x14ac:dyDescent="0.25">
      <c r="E12244"/>
      <c r="M12244"/>
    </row>
    <row r="12245" spans="5:13" x14ac:dyDescent="0.25">
      <c r="E12245"/>
      <c r="M12245"/>
    </row>
    <row r="12246" spans="5:13" x14ac:dyDescent="0.25">
      <c r="E12246"/>
      <c r="M12246"/>
    </row>
    <row r="12247" spans="5:13" x14ac:dyDescent="0.25">
      <c r="E12247"/>
      <c r="M12247"/>
    </row>
    <row r="12248" spans="5:13" x14ac:dyDescent="0.25">
      <c r="E12248"/>
      <c r="M12248"/>
    </row>
    <row r="12249" spans="5:13" x14ac:dyDescent="0.25">
      <c r="E12249"/>
      <c r="M12249"/>
    </row>
    <row r="12250" spans="5:13" x14ac:dyDescent="0.25">
      <c r="E12250"/>
      <c r="M12250"/>
    </row>
    <row r="12251" spans="5:13" x14ac:dyDescent="0.25">
      <c r="E12251"/>
      <c r="M12251"/>
    </row>
    <row r="12252" spans="5:13" x14ac:dyDescent="0.25">
      <c r="E12252"/>
      <c r="M12252"/>
    </row>
    <row r="12253" spans="5:13" x14ac:dyDescent="0.25">
      <c r="E12253"/>
      <c r="M12253"/>
    </row>
    <row r="12254" spans="5:13" x14ac:dyDescent="0.25">
      <c r="E12254"/>
      <c r="M12254"/>
    </row>
    <row r="12255" spans="5:13" x14ac:dyDescent="0.25">
      <c r="E12255"/>
      <c r="M12255"/>
    </row>
    <row r="12256" spans="5:13" x14ac:dyDescent="0.25">
      <c r="E12256"/>
      <c r="M12256"/>
    </row>
    <row r="12257" spans="5:13" x14ac:dyDescent="0.25">
      <c r="E12257"/>
      <c r="M12257"/>
    </row>
    <row r="12258" spans="5:13" x14ac:dyDescent="0.25">
      <c r="E12258"/>
      <c r="M12258"/>
    </row>
    <row r="12259" spans="5:13" x14ac:dyDescent="0.25">
      <c r="E12259"/>
      <c r="M12259"/>
    </row>
    <row r="12260" spans="5:13" x14ac:dyDescent="0.25">
      <c r="E12260"/>
      <c r="M12260"/>
    </row>
    <row r="12261" spans="5:13" x14ac:dyDescent="0.25">
      <c r="E12261"/>
      <c r="M12261"/>
    </row>
    <row r="12262" spans="5:13" x14ac:dyDescent="0.25">
      <c r="E12262"/>
      <c r="M12262"/>
    </row>
    <row r="12263" spans="5:13" x14ac:dyDescent="0.25">
      <c r="E12263"/>
      <c r="M12263"/>
    </row>
    <row r="12264" spans="5:13" x14ac:dyDescent="0.25">
      <c r="E12264"/>
      <c r="M12264"/>
    </row>
    <row r="12265" spans="5:13" x14ac:dyDescent="0.25">
      <c r="E12265"/>
      <c r="M12265"/>
    </row>
    <row r="12266" spans="5:13" x14ac:dyDescent="0.25">
      <c r="E12266"/>
      <c r="M12266"/>
    </row>
    <row r="12267" spans="5:13" x14ac:dyDescent="0.25">
      <c r="E12267"/>
      <c r="M12267"/>
    </row>
    <row r="12268" spans="5:13" x14ac:dyDescent="0.25">
      <c r="E12268"/>
      <c r="M12268"/>
    </row>
    <row r="12269" spans="5:13" x14ac:dyDescent="0.25">
      <c r="E12269"/>
      <c r="M12269"/>
    </row>
    <row r="12270" spans="5:13" x14ac:dyDescent="0.25">
      <c r="E12270"/>
      <c r="M12270"/>
    </row>
    <row r="12271" spans="5:13" x14ac:dyDescent="0.25">
      <c r="E12271"/>
      <c r="M12271"/>
    </row>
    <row r="12272" spans="5:13" x14ac:dyDescent="0.25">
      <c r="E12272"/>
      <c r="M12272"/>
    </row>
    <row r="12273" spans="5:13" x14ac:dyDescent="0.25">
      <c r="E12273"/>
      <c r="M12273"/>
    </row>
    <row r="12274" spans="5:13" x14ac:dyDescent="0.25">
      <c r="E12274"/>
      <c r="M12274"/>
    </row>
    <row r="12275" spans="5:13" x14ac:dyDescent="0.25">
      <c r="E12275"/>
      <c r="M12275"/>
    </row>
    <row r="12276" spans="5:13" x14ac:dyDescent="0.25">
      <c r="E12276"/>
      <c r="M12276"/>
    </row>
    <row r="12277" spans="5:13" x14ac:dyDescent="0.25">
      <c r="E12277"/>
      <c r="M12277"/>
    </row>
    <row r="12278" spans="5:13" x14ac:dyDescent="0.25">
      <c r="E12278"/>
      <c r="M12278"/>
    </row>
    <row r="12279" spans="5:13" x14ac:dyDescent="0.25">
      <c r="E12279"/>
      <c r="M12279"/>
    </row>
    <row r="12280" spans="5:13" x14ac:dyDescent="0.25">
      <c r="E12280"/>
      <c r="M12280"/>
    </row>
    <row r="12281" spans="5:13" x14ac:dyDescent="0.25">
      <c r="E12281"/>
      <c r="M12281"/>
    </row>
    <row r="12282" spans="5:13" x14ac:dyDescent="0.25">
      <c r="E12282"/>
      <c r="M12282"/>
    </row>
    <row r="12283" spans="5:13" x14ac:dyDescent="0.25">
      <c r="E12283"/>
      <c r="M12283"/>
    </row>
    <row r="12284" spans="5:13" x14ac:dyDescent="0.25">
      <c r="E12284"/>
      <c r="M12284"/>
    </row>
    <row r="12285" spans="5:13" x14ac:dyDescent="0.25">
      <c r="E12285"/>
      <c r="M12285"/>
    </row>
    <row r="12286" spans="5:13" x14ac:dyDescent="0.25">
      <c r="E12286"/>
      <c r="M12286"/>
    </row>
    <row r="12287" spans="5:13" x14ac:dyDescent="0.25">
      <c r="E12287"/>
      <c r="M12287"/>
    </row>
    <row r="12288" spans="5:13" x14ac:dyDescent="0.25">
      <c r="E12288"/>
      <c r="M12288"/>
    </row>
    <row r="12289" spans="5:13" x14ac:dyDescent="0.25">
      <c r="E12289"/>
      <c r="M12289"/>
    </row>
    <row r="12290" spans="5:13" x14ac:dyDescent="0.25">
      <c r="E12290"/>
      <c r="M12290"/>
    </row>
    <row r="12291" spans="5:13" x14ac:dyDescent="0.25">
      <c r="E12291"/>
      <c r="M12291"/>
    </row>
    <row r="12292" spans="5:13" x14ac:dyDescent="0.25">
      <c r="E12292"/>
      <c r="M12292"/>
    </row>
    <row r="12293" spans="5:13" x14ac:dyDescent="0.25">
      <c r="E12293"/>
      <c r="M12293"/>
    </row>
    <row r="12294" spans="5:13" x14ac:dyDescent="0.25">
      <c r="E12294"/>
      <c r="M12294"/>
    </row>
    <row r="12295" spans="5:13" x14ac:dyDescent="0.25">
      <c r="E12295"/>
      <c r="M12295"/>
    </row>
    <row r="12296" spans="5:13" x14ac:dyDescent="0.25">
      <c r="E12296"/>
      <c r="M12296"/>
    </row>
    <row r="12297" spans="5:13" x14ac:dyDescent="0.25">
      <c r="E12297"/>
      <c r="M12297"/>
    </row>
    <row r="12298" spans="5:13" x14ac:dyDescent="0.25">
      <c r="E12298"/>
      <c r="M12298"/>
    </row>
    <row r="12299" spans="5:13" x14ac:dyDescent="0.25">
      <c r="E12299"/>
      <c r="M12299"/>
    </row>
    <row r="12300" spans="5:13" x14ac:dyDescent="0.25">
      <c r="E12300"/>
      <c r="M12300"/>
    </row>
    <row r="12301" spans="5:13" x14ac:dyDescent="0.25">
      <c r="E12301"/>
      <c r="M12301"/>
    </row>
    <row r="12302" spans="5:13" x14ac:dyDescent="0.25">
      <c r="E12302"/>
      <c r="M12302"/>
    </row>
    <row r="12303" spans="5:13" x14ac:dyDescent="0.25">
      <c r="E12303"/>
      <c r="M12303"/>
    </row>
    <row r="12304" spans="5:13" x14ac:dyDescent="0.25">
      <c r="E12304"/>
      <c r="M12304"/>
    </row>
    <row r="12305" spans="5:13" x14ac:dyDescent="0.25">
      <c r="E12305"/>
      <c r="M12305"/>
    </row>
    <row r="12306" spans="5:13" x14ac:dyDescent="0.25">
      <c r="E12306"/>
      <c r="M12306"/>
    </row>
    <row r="12307" spans="5:13" x14ac:dyDescent="0.25">
      <c r="E12307"/>
      <c r="M12307"/>
    </row>
    <row r="12308" spans="5:13" x14ac:dyDescent="0.25">
      <c r="E12308"/>
      <c r="M12308"/>
    </row>
    <row r="12309" spans="5:13" x14ac:dyDescent="0.25">
      <c r="E12309"/>
      <c r="M12309"/>
    </row>
    <row r="12310" spans="5:13" x14ac:dyDescent="0.25">
      <c r="E12310"/>
      <c r="M12310"/>
    </row>
    <row r="12311" spans="5:13" x14ac:dyDescent="0.25">
      <c r="E12311"/>
      <c r="M12311"/>
    </row>
    <row r="12312" spans="5:13" x14ac:dyDescent="0.25">
      <c r="E12312"/>
      <c r="M12312"/>
    </row>
    <row r="12313" spans="5:13" x14ac:dyDescent="0.25">
      <c r="E12313"/>
      <c r="M12313"/>
    </row>
    <row r="12314" spans="5:13" x14ac:dyDescent="0.25">
      <c r="E12314"/>
      <c r="M12314"/>
    </row>
    <row r="12315" spans="5:13" x14ac:dyDescent="0.25">
      <c r="E12315"/>
      <c r="M12315"/>
    </row>
    <row r="12316" spans="5:13" x14ac:dyDescent="0.25">
      <c r="E12316"/>
      <c r="M12316"/>
    </row>
    <row r="12317" spans="5:13" x14ac:dyDescent="0.25">
      <c r="E12317"/>
      <c r="M12317"/>
    </row>
    <row r="12318" spans="5:13" x14ac:dyDescent="0.25">
      <c r="E12318"/>
      <c r="M12318"/>
    </row>
    <row r="12319" spans="5:13" x14ac:dyDescent="0.25">
      <c r="E12319"/>
      <c r="M12319"/>
    </row>
    <row r="12320" spans="5:13" x14ac:dyDescent="0.25">
      <c r="E12320"/>
      <c r="M12320"/>
    </row>
    <row r="12321" spans="5:13" x14ac:dyDescent="0.25">
      <c r="E12321"/>
      <c r="M12321"/>
    </row>
    <row r="12322" spans="5:13" x14ac:dyDescent="0.25">
      <c r="E12322"/>
      <c r="M12322"/>
    </row>
    <row r="12323" spans="5:13" x14ac:dyDescent="0.25">
      <c r="E12323"/>
      <c r="M12323"/>
    </row>
    <row r="12324" spans="5:13" x14ac:dyDescent="0.25">
      <c r="E12324"/>
      <c r="M12324"/>
    </row>
    <row r="12325" spans="5:13" x14ac:dyDescent="0.25">
      <c r="E12325"/>
      <c r="M12325"/>
    </row>
    <row r="12326" spans="5:13" x14ac:dyDescent="0.25">
      <c r="E12326"/>
      <c r="M12326"/>
    </row>
    <row r="12327" spans="5:13" x14ac:dyDescent="0.25">
      <c r="E12327"/>
      <c r="M12327"/>
    </row>
    <row r="12328" spans="5:13" x14ac:dyDescent="0.25">
      <c r="E12328"/>
      <c r="M12328"/>
    </row>
    <row r="12329" spans="5:13" x14ac:dyDescent="0.25">
      <c r="E12329"/>
      <c r="M12329"/>
    </row>
    <row r="12330" spans="5:13" x14ac:dyDescent="0.25">
      <c r="E12330"/>
      <c r="M12330"/>
    </row>
    <row r="12331" spans="5:13" x14ac:dyDescent="0.25">
      <c r="E12331"/>
      <c r="M12331"/>
    </row>
    <row r="12332" spans="5:13" x14ac:dyDescent="0.25">
      <c r="E12332"/>
      <c r="M12332"/>
    </row>
    <row r="12333" spans="5:13" x14ac:dyDescent="0.25">
      <c r="E12333"/>
      <c r="M12333"/>
    </row>
    <row r="12334" spans="5:13" x14ac:dyDescent="0.25">
      <c r="E12334"/>
      <c r="M12334"/>
    </row>
    <row r="12335" spans="5:13" x14ac:dyDescent="0.25">
      <c r="E12335"/>
      <c r="M12335"/>
    </row>
    <row r="12336" spans="5:13" x14ac:dyDescent="0.25">
      <c r="E12336"/>
      <c r="M12336"/>
    </row>
    <row r="12337" spans="5:13" x14ac:dyDescent="0.25">
      <c r="E12337"/>
      <c r="M12337"/>
    </row>
    <row r="12338" spans="5:13" x14ac:dyDescent="0.25">
      <c r="E12338"/>
      <c r="M12338"/>
    </row>
    <row r="12339" spans="5:13" x14ac:dyDescent="0.25">
      <c r="E12339"/>
      <c r="M12339"/>
    </row>
    <row r="12340" spans="5:13" x14ac:dyDescent="0.25">
      <c r="E12340"/>
      <c r="M12340"/>
    </row>
    <row r="12341" spans="5:13" x14ac:dyDescent="0.25">
      <c r="E12341"/>
      <c r="M12341"/>
    </row>
    <row r="12342" spans="5:13" x14ac:dyDescent="0.25">
      <c r="E12342"/>
      <c r="M12342"/>
    </row>
    <row r="12343" spans="5:13" x14ac:dyDescent="0.25">
      <c r="E12343"/>
      <c r="M12343"/>
    </row>
    <row r="12344" spans="5:13" x14ac:dyDescent="0.25">
      <c r="E12344"/>
      <c r="M12344"/>
    </row>
    <row r="12345" spans="5:13" x14ac:dyDescent="0.25">
      <c r="E12345"/>
      <c r="M12345"/>
    </row>
    <row r="12346" spans="5:13" x14ac:dyDescent="0.25">
      <c r="E12346"/>
      <c r="M12346"/>
    </row>
    <row r="12347" spans="5:13" x14ac:dyDescent="0.25">
      <c r="E12347"/>
      <c r="M12347"/>
    </row>
    <row r="12348" spans="5:13" x14ac:dyDescent="0.25">
      <c r="E12348"/>
      <c r="M12348"/>
    </row>
    <row r="12349" spans="5:13" x14ac:dyDescent="0.25">
      <c r="E12349"/>
      <c r="M12349"/>
    </row>
    <row r="12350" spans="5:13" x14ac:dyDescent="0.25">
      <c r="E12350"/>
      <c r="M12350"/>
    </row>
    <row r="12351" spans="5:13" x14ac:dyDescent="0.25">
      <c r="E12351"/>
      <c r="M12351"/>
    </row>
    <row r="12352" spans="5:13" x14ac:dyDescent="0.25">
      <c r="E12352"/>
      <c r="M12352"/>
    </row>
    <row r="12353" spans="5:13" x14ac:dyDescent="0.25">
      <c r="E12353"/>
      <c r="M12353"/>
    </row>
    <row r="12354" spans="5:13" x14ac:dyDescent="0.25">
      <c r="E12354"/>
      <c r="M12354"/>
    </row>
    <row r="12355" spans="5:13" x14ac:dyDescent="0.25">
      <c r="E12355"/>
      <c r="M12355"/>
    </row>
    <row r="12356" spans="5:13" x14ac:dyDescent="0.25">
      <c r="E12356"/>
      <c r="M12356"/>
    </row>
    <row r="12357" spans="5:13" x14ac:dyDescent="0.25">
      <c r="E12357"/>
      <c r="M12357"/>
    </row>
    <row r="12358" spans="5:13" x14ac:dyDescent="0.25">
      <c r="E12358"/>
      <c r="M12358"/>
    </row>
    <row r="12359" spans="5:13" x14ac:dyDescent="0.25">
      <c r="E12359"/>
      <c r="M12359"/>
    </row>
    <row r="12360" spans="5:13" x14ac:dyDescent="0.25">
      <c r="E12360"/>
      <c r="M12360"/>
    </row>
    <row r="12361" spans="5:13" x14ac:dyDescent="0.25">
      <c r="E12361"/>
      <c r="M12361"/>
    </row>
    <row r="12362" spans="5:13" x14ac:dyDescent="0.25">
      <c r="E12362"/>
      <c r="M12362"/>
    </row>
    <row r="12363" spans="5:13" x14ac:dyDescent="0.25">
      <c r="E12363"/>
      <c r="M12363"/>
    </row>
    <row r="12364" spans="5:13" x14ac:dyDescent="0.25">
      <c r="E12364"/>
      <c r="M12364"/>
    </row>
    <row r="12365" spans="5:13" x14ac:dyDescent="0.25">
      <c r="E12365"/>
      <c r="M12365"/>
    </row>
    <row r="12366" spans="5:13" x14ac:dyDescent="0.25">
      <c r="E12366"/>
      <c r="M12366"/>
    </row>
    <row r="12367" spans="5:13" x14ac:dyDescent="0.25">
      <c r="E12367"/>
      <c r="M12367"/>
    </row>
    <row r="12368" spans="5:13" x14ac:dyDescent="0.25">
      <c r="E12368"/>
      <c r="M12368"/>
    </row>
    <row r="12369" spans="5:13" x14ac:dyDescent="0.25">
      <c r="E12369"/>
      <c r="M12369"/>
    </row>
    <row r="12370" spans="5:13" x14ac:dyDescent="0.25">
      <c r="E12370"/>
      <c r="M12370"/>
    </row>
    <row r="12371" spans="5:13" x14ac:dyDescent="0.25">
      <c r="E12371"/>
      <c r="M12371"/>
    </row>
    <row r="12372" spans="5:13" x14ac:dyDescent="0.25">
      <c r="E12372"/>
      <c r="M12372"/>
    </row>
    <row r="12373" spans="5:13" x14ac:dyDescent="0.25">
      <c r="E12373"/>
      <c r="M12373"/>
    </row>
    <row r="12374" spans="5:13" x14ac:dyDescent="0.25">
      <c r="E12374"/>
      <c r="M12374"/>
    </row>
    <row r="12375" spans="5:13" x14ac:dyDescent="0.25">
      <c r="E12375"/>
      <c r="M12375"/>
    </row>
    <row r="12376" spans="5:13" x14ac:dyDescent="0.25">
      <c r="E12376"/>
      <c r="M12376"/>
    </row>
    <row r="12377" spans="5:13" x14ac:dyDescent="0.25">
      <c r="E12377"/>
      <c r="M12377"/>
    </row>
    <row r="12378" spans="5:13" x14ac:dyDescent="0.25">
      <c r="E12378"/>
      <c r="M12378"/>
    </row>
    <row r="12379" spans="5:13" x14ac:dyDescent="0.25">
      <c r="E12379"/>
      <c r="M12379"/>
    </row>
    <row r="12380" spans="5:13" x14ac:dyDescent="0.25">
      <c r="E12380"/>
      <c r="M12380"/>
    </row>
    <row r="12381" spans="5:13" x14ac:dyDescent="0.25">
      <c r="E12381"/>
      <c r="M12381"/>
    </row>
    <row r="12382" spans="5:13" x14ac:dyDescent="0.25">
      <c r="E12382"/>
      <c r="M12382"/>
    </row>
    <row r="12383" spans="5:13" x14ac:dyDescent="0.25">
      <c r="E12383"/>
      <c r="M12383"/>
    </row>
    <row r="12384" spans="5:13" x14ac:dyDescent="0.25">
      <c r="E12384"/>
      <c r="M12384"/>
    </row>
    <row r="12385" spans="5:13" x14ac:dyDescent="0.25">
      <c r="E12385"/>
      <c r="M12385"/>
    </row>
    <row r="12386" spans="5:13" x14ac:dyDescent="0.25">
      <c r="E12386"/>
      <c r="M12386"/>
    </row>
    <row r="12387" spans="5:13" x14ac:dyDescent="0.25">
      <c r="E12387"/>
      <c r="M12387"/>
    </row>
    <row r="12388" spans="5:13" x14ac:dyDescent="0.25">
      <c r="E12388"/>
      <c r="M12388"/>
    </row>
    <row r="12389" spans="5:13" x14ac:dyDescent="0.25">
      <c r="E12389"/>
      <c r="M12389"/>
    </row>
    <row r="12390" spans="5:13" x14ac:dyDescent="0.25">
      <c r="E12390"/>
      <c r="M12390"/>
    </row>
    <row r="12391" spans="5:13" x14ac:dyDescent="0.25">
      <c r="E12391"/>
      <c r="M12391"/>
    </row>
    <row r="12392" spans="5:13" x14ac:dyDescent="0.25">
      <c r="E12392"/>
      <c r="M12392"/>
    </row>
    <row r="12393" spans="5:13" x14ac:dyDescent="0.25">
      <c r="E12393"/>
      <c r="M12393"/>
    </row>
    <row r="12394" spans="5:13" x14ac:dyDescent="0.25">
      <c r="E12394"/>
      <c r="M12394"/>
    </row>
    <row r="12395" spans="5:13" x14ac:dyDescent="0.25">
      <c r="E12395"/>
      <c r="M12395"/>
    </row>
    <row r="12396" spans="5:13" x14ac:dyDescent="0.25">
      <c r="E12396"/>
      <c r="M12396"/>
    </row>
    <row r="12397" spans="5:13" x14ac:dyDescent="0.25">
      <c r="E12397"/>
      <c r="M12397"/>
    </row>
    <row r="12398" spans="5:13" x14ac:dyDescent="0.25">
      <c r="E12398"/>
      <c r="M12398"/>
    </row>
    <row r="12399" spans="5:13" x14ac:dyDescent="0.25">
      <c r="E12399"/>
      <c r="M12399"/>
    </row>
    <row r="12400" spans="5:13" x14ac:dyDescent="0.25">
      <c r="E12400"/>
      <c r="M12400"/>
    </row>
    <row r="12401" spans="5:13" x14ac:dyDescent="0.25">
      <c r="E12401"/>
      <c r="M12401"/>
    </row>
    <row r="12402" spans="5:13" x14ac:dyDescent="0.25">
      <c r="E12402"/>
      <c r="M12402"/>
    </row>
    <row r="12403" spans="5:13" x14ac:dyDescent="0.25">
      <c r="E12403"/>
      <c r="M12403"/>
    </row>
    <row r="12404" spans="5:13" x14ac:dyDescent="0.25">
      <c r="E12404"/>
      <c r="M12404"/>
    </row>
    <row r="12405" spans="5:13" x14ac:dyDescent="0.25">
      <c r="E12405"/>
      <c r="M12405"/>
    </row>
    <row r="12406" spans="5:13" x14ac:dyDescent="0.25">
      <c r="E12406"/>
      <c r="M12406"/>
    </row>
    <row r="12407" spans="5:13" x14ac:dyDescent="0.25">
      <c r="E12407"/>
      <c r="M12407"/>
    </row>
    <row r="12408" spans="5:13" x14ac:dyDescent="0.25">
      <c r="E12408"/>
      <c r="M12408"/>
    </row>
    <row r="12409" spans="5:13" x14ac:dyDescent="0.25">
      <c r="E12409"/>
      <c r="M12409"/>
    </row>
    <row r="12410" spans="5:13" x14ac:dyDescent="0.25">
      <c r="E12410"/>
      <c r="M12410"/>
    </row>
    <row r="12411" spans="5:13" x14ac:dyDescent="0.25">
      <c r="E12411"/>
      <c r="M12411"/>
    </row>
    <row r="12412" spans="5:13" x14ac:dyDescent="0.25">
      <c r="E12412"/>
      <c r="M12412"/>
    </row>
    <row r="12413" spans="5:13" x14ac:dyDescent="0.25">
      <c r="E12413"/>
      <c r="M12413"/>
    </row>
    <row r="12414" spans="5:13" x14ac:dyDescent="0.25">
      <c r="E12414"/>
      <c r="M12414"/>
    </row>
    <row r="12415" spans="5:13" x14ac:dyDescent="0.25">
      <c r="E12415"/>
      <c r="M12415"/>
    </row>
    <row r="12416" spans="5:13" x14ac:dyDescent="0.25">
      <c r="E12416"/>
      <c r="M12416"/>
    </row>
    <row r="12417" spans="5:13" x14ac:dyDescent="0.25">
      <c r="E12417"/>
      <c r="M12417"/>
    </row>
    <row r="12418" spans="5:13" x14ac:dyDescent="0.25">
      <c r="E12418"/>
      <c r="M12418"/>
    </row>
    <row r="12419" spans="5:13" x14ac:dyDescent="0.25">
      <c r="E12419"/>
      <c r="M12419"/>
    </row>
    <row r="12420" spans="5:13" x14ac:dyDescent="0.25">
      <c r="E12420"/>
      <c r="M12420"/>
    </row>
    <row r="12421" spans="5:13" x14ac:dyDescent="0.25">
      <c r="E12421"/>
      <c r="M12421"/>
    </row>
    <row r="12422" spans="5:13" x14ac:dyDescent="0.25">
      <c r="E12422"/>
      <c r="M12422"/>
    </row>
    <row r="12423" spans="5:13" x14ac:dyDescent="0.25">
      <c r="E12423"/>
      <c r="M12423"/>
    </row>
    <row r="12424" spans="5:13" x14ac:dyDescent="0.25">
      <c r="E12424"/>
      <c r="M12424"/>
    </row>
    <row r="12425" spans="5:13" x14ac:dyDescent="0.25">
      <c r="E12425"/>
      <c r="M12425"/>
    </row>
    <row r="12426" spans="5:13" x14ac:dyDescent="0.25">
      <c r="E12426"/>
      <c r="M12426"/>
    </row>
    <row r="12427" spans="5:13" x14ac:dyDescent="0.25">
      <c r="E12427"/>
      <c r="M12427"/>
    </row>
    <row r="12428" spans="5:13" x14ac:dyDescent="0.25">
      <c r="E12428"/>
      <c r="M12428"/>
    </row>
    <row r="12429" spans="5:13" x14ac:dyDescent="0.25">
      <c r="E12429"/>
      <c r="M12429"/>
    </row>
    <row r="12430" spans="5:13" x14ac:dyDescent="0.25">
      <c r="E12430"/>
      <c r="M12430"/>
    </row>
    <row r="12431" spans="5:13" x14ac:dyDescent="0.25">
      <c r="E12431"/>
      <c r="M12431"/>
    </row>
    <row r="12432" spans="5:13" x14ac:dyDescent="0.25">
      <c r="E12432"/>
      <c r="M12432"/>
    </row>
    <row r="12433" spans="5:13" x14ac:dyDescent="0.25">
      <c r="E12433"/>
      <c r="M12433"/>
    </row>
    <row r="12434" spans="5:13" x14ac:dyDescent="0.25">
      <c r="E12434"/>
      <c r="M12434"/>
    </row>
    <row r="12435" spans="5:13" x14ac:dyDescent="0.25">
      <c r="E12435"/>
      <c r="M12435"/>
    </row>
    <row r="12436" spans="5:13" x14ac:dyDescent="0.25">
      <c r="E12436"/>
      <c r="M12436"/>
    </row>
    <row r="12437" spans="5:13" x14ac:dyDescent="0.25">
      <c r="E12437"/>
      <c r="M12437"/>
    </row>
    <row r="12438" spans="5:13" x14ac:dyDescent="0.25">
      <c r="E12438"/>
      <c r="M12438"/>
    </row>
    <row r="12439" spans="5:13" x14ac:dyDescent="0.25">
      <c r="E12439"/>
      <c r="M12439"/>
    </row>
    <row r="12440" spans="5:13" x14ac:dyDescent="0.25">
      <c r="E12440"/>
      <c r="M12440"/>
    </row>
    <row r="12441" spans="5:13" x14ac:dyDescent="0.25">
      <c r="E12441"/>
      <c r="M12441"/>
    </row>
    <row r="12442" spans="5:13" x14ac:dyDescent="0.25">
      <c r="E12442"/>
      <c r="M12442"/>
    </row>
    <row r="12443" spans="5:13" x14ac:dyDescent="0.25">
      <c r="E12443"/>
      <c r="M12443"/>
    </row>
    <row r="12444" spans="5:13" x14ac:dyDescent="0.25">
      <c r="E12444"/>
      <c r="M12444"/>
    </row>
    <row r="12445" spans="5:13" x14ac:dyDescent="0.25">
      <c r="E12445"/>
      <c r="M12445"/>
    </row>
    <row r="12446" spans="5:13" x14ac:dyDescent="0.25">
      <c r="E12446"/>
      <c r="M12446"/>
    </row>
    <row r="12447" spans="5:13" x14ac:dyDescent="0.25">
      <c r="E12447"/>
      <c r="M12447"/>
    </row>
    <row r="12448" spans="5:13" x14ac:dyDescent="0.25">
      <c r="E12448"/>
      <c r="M12448"/>
    </row>
    <row r="12449" spans="5:13" x14ac:dyDescent="0.25">
      <c r="E12449"/>
      <c r="M12449"/>
    </row>
    <row r="12450" spans="5:13" x14ac:dyDescent="0.25">
      <c r="E12450"/>
      <c r="M12450"/>
    </row>
    <row r="12451" spans="5:13" x14ac:dyDescent="0.25">
      <c r="E12451"/>
      <c r="M12451"/>
    </row>
    <row r="12452" spans="5:13" x14ac:dyDescent="0.25">
      <c r="E12452"/>
      <c r="M12452"/>
    </row>
    <row r="12453" spans="5:13" x14ac:dyDescent="0.25">
      <c r="E12453"/>
      <c r="M12453"/>
    </row>
    <row r="12454" spans="5:13" x14ac:dyDescent="0.25">
      <c r="E12454"/>
      <c r="M12454"/>
    </row>
    <row r="12455" spans="5:13" x14ac:dyDescent="0.25">
      <c r="E12455"/>
      <c r="M12455"/>
    </row>
    <row r="12456" spans="5:13" x14ac:dyDescent="0.25">
      <c r="E12456"/>
      <c r="M12456"/>
    </row>
    <row r="12457" spans="5:13" x14ac:dyDescent="0.25">
      <c r="E12457"/>
      <c r="M12457"/>
    </row>
    <row r="12458" spans="5:13" x14ac:dyDescent="0.25">
      <c r="E12458"/>
      <c r="M12458"/>
    </row>
    <row r="12459" spans="5:13" x14ac:dyDescent="0.25">
      <c r="E12459"/>
      <c r="M12459"/>
    </row>
    <row r="12460" spans="5:13" x14ac:dyDescent="0.25">
      <c r="E12460"/>
      <c r="M12460"/>
    </row>
    <row r="12461" spans="5:13" x14ac:dyDescent="0.25">
      <c r="E12461"/>
      <c r="M12461"/>
    </row>
    <row r="12462" spans="5:13" x14ac:dyDescent="0.25">
      <c r="E12462"/>
      <c r="M12462"/>
    </row>
    <row r="12463" spans="5:13" x14ac:dyDescent="0.25">
      <c r="E12463"/>
      <c r="M12463"/>
    </row>
    <row r="12464" spans="5:13" x14ac:dyDescent="0.25">
      <c r="E12464"/>
      <c r="M12464"/>
    </row>
    <row r="12465" spans="5:13" x14ac:dyDescent="0.25">
      <c r="E12465"/>
      <c r="M12465"/>
    </row>
    <row r="12466" spans="5:13" x14ac:dyDescent="0.25">
      <c r="E12466"/>
      <c r="M12466"/>
    </row>
    <row r="12467" spans="5:13" x14ac:dyDescent="0.25">
      <c r="E12467"/>
      <c r="M12467"/>
    </row>
    <row r="12468" spans="5:13" x14ac:dyDescent="0.25">
      <c r="E12468"/>
      <c r="M12468"/>
    </row>
    <row r="12469" spans="5:13" x14ac:dyDescent="0.25">
      <c r="E12469"/>
      <c r="M12469"/>
    </row>
    <row r="12470" spans="5:13" x14ac:dyDescent="0.25">
      <c r="E12470"/>
      <c r="M12470"/>
    </row>
    <row r="12471" spans="5:13" x14ac:dyDescent="0.25">
      <c r="E12471"/>
      <c r="M12471"/>
    </row>
    <row r="12472" spans="5:13" x14ac:dyDescent="0.25">
      <c r="E12472"/>
      <c r="M12472"/>
    </row>
    <row r="12473" spans="5:13" x14ac:dyDescent="0.25">
      <c r="E12473"/>
      <c r="M12473"/>
    </row>
    <row r="12474" spans="5:13" x14ac:dyDescent="0.25">
      <c r="E12474"/>
      <c r="M12474"/>
    </row>
    <row r="12475" spans="5:13" x14ac:dyDescent="0.25">
      <c r="E12475"/>
      <c r="M12475"/>
    </row>
    <row r="12476" spans="5:13" x14ac:dyDescent="0.25">
      <c r="E12476"/>
      <c r="M12476"/>
    </row>
    <row r="12477" spans="5:13" x14ac:dyDescent="0.25">
      <c r="E12477"/>
      <c r="M12477"/>
    </row>
    <row r="12478" spans="5:13" x14ac:dyDescent="0.25">
      <c r="E12478"/>
      <c r="M12478"/>
    </row>
    <row r="12479" spans="5:13" x14ac:dyDescent="0.25">
      <c r="E12479"/>
      <c r="M12479"/>
    </row>
    <row r="12480" spans="5:13" x14ac:dyDescent="0.25">
      <c r="E12480"/>
      <c r="M12480"/>
    </row>
    <row r="12481" spans="5:13" x14ac:dyDescent="0.25">
      <c r="E12481"/>
      <c r="M12481"/>
    </row>
    <row r="12482" spans="5:13" x14ac:dyDescent="0.25">
      <c r="E12482"/>
      <c r="M12482"/>
    </row>
    <row r="12483" spans="5:13" x14ac:dyDescent="0.25">
      <c r="E12483"/>
      <c r="M12483"/>
    </row>
    <row r="12484" spans="5:13" x14ac:dyDescent="0.25">
      <c r="E12484"/>
      <c r="M12484"/>
    </row>
    <row r="12485" spans="5:13" x14ac:dyDescent="0.25">
      <c r="E12485"/>
      <c r="M12485"/>
    </row>
    <row r="12486" spans="5:13" x14ac:dyDescent="0.25">
      <c r="E12486"/>
      <c r="M12486"/>
    </row>
    <row r="12487" spans="5:13" x14ac:dyDescent="0.25">
      <c r="E12487"/>
      <c r="M12487"/>
    </row>
    <row r="12488" spans="5:13" x14ac:dyDescent="0.25">
      <c r="E12488"/>
      <c r="M12488"/>
    </row>
    <row r="12489" spans="5:13" x14ac:dyDescent="0.25">
      <c r="E12489"/>
      <c r="M12489"/>
    </row>
    <row r="12490" spans="5:13" x14ac:dyDescent="0.25">
      <c r="E12490"/>
      <c r="M12490"/>
    </row>
    <row r="12491" spans="5:13" x14ac:dyDescent="0.25">
      <c r="E12491"/>
      <c r="M12491"/>
    </row>
    <row r="12492" spans="5:13" x14ac:dyDescent="0.25">
      <c r="E12492"/>
      <c r="M12492"/>
    </row>
    <row r="12493" spans="5:13" x14ac:dyDescent="0.25">
      <c r="E12493"/>
      <c r="M12493"/>
    </row>
    <row r="12494" spans="5:13" x14ac:dyDescent="0.25">
      <c r="E12494"/>
      <c r="M12494"/>
    </row>
    <row r="12495" spans="5:13" x14ac:dyDescent="0.25">
      <c r="E12495"/>
      <c r="M12495"/>
    </row>
    <row r="12496" spans="5:13" x14ac:dyDescent="0.25">
      <c r="E12496"/>
      <c r="M12496"/>
    </row>
    <row r="12497" spans="5:13" x14ac:dyDescent="0.25">
      <c r="E12497"/>
      <c r="M12497"/>
    </row>
    <row r="12498" spans="5:13" x14ac:dyDescent="0.25">
      <c r="E12498"/>
      <c r="M12498"/>
    </row>
    <row r="12499" spans="5:13" x14ac:dyDescent="0.25">
      <c r="E12499"/>
      <c r="M12499"/>
    </row>
    <row r="12500" spans="5:13" x14ac:dyDescent="0.25">
      <c r="E12500"/>
      <c r="M12500"/>
    </row>
    <row r="12501" spans="5:13" x14ac:dyDescent="0.25">
      <c r="E12501"/>
      <c r="M12501"/>
    </row>
    <row r="12502" spans="5:13" x14ac:dyDescent="0.25">
      <c r="E12502"/>
      <c r="M12502"/>
    </row>
    <row r="12503" spans="5:13" x14ac:dyDescent="0.25">
      <c r="E12503"/>
      <c r="M12503"/>
    </row>
    <row r="12504" spans="5:13" x14ac:dyDescent="0.25">
      <c r="E12504"/>
      <c r="M12504"/>
    </row>
    <row r="12505" spans="5:13" x14ac:dyDescent="0.25">
      <c r="E12505"/>
      <c r="M12505"/>
    </row>
    <row r="12506" spans="5:13" x14ac:dyDescent="0.25">
      <c r="E12506"/>
      <c r="M12506"/>
    </row>
    <row r="12507" spans="5:13" x14ac:dyDescent="0.25">
      <c r="E12507"/>
      <c r="M12507"/>
    </row>
    <row r="12508" spans="5:13" x14ac:dyDescent="0.25">
      <c r="E12508"/>
      <c r="M12508"/>
    </row>
    <row r="12509" spans="5:13" x14ac:dyDescent="0.25">
      <c r="E12509"/>
      <c r="M12509"/>
    </row>
    <row r="12510" spans="5:13" x14ac:dyDescent="0.25">
      <c r="E12510"/>
      <c r="M12510"/>
    </row>
    <row r="12511" spans="5:13" x14ac:dyDescent="0.25">
      <c r="E12511"/>
      <c r="M12511"/>
    </row>
    <row r="12512" spans="5:13" x14ac:dyDescent="0.25">
      <c r="E12512"/>
      <c r="M12512"/>
    </row>
    <row r="12513" spans="5:13" x14ac:dyDescent="0.25">
      <c r="E12513"/>
      <c r="M12513"/>
    </row>
    <row r="12514" spans="5:13" x14ac:dyDescent="0.25">
      <c r="E12514"/>
      <c r="M12514"/>
    </row>
    <row r="12515" spans="5:13" x14ac:dyDescent="0.25">
      <c r="E12515"/>
      <c r="M12515"/>
    </row>
    <row r="12516" spans="5:13" x14ac:dyDescent="0.25">
      <c r="E12516"/>
      <c r="M12516"/>
    </row>
    <row r="12517" spans="5:13" x14ac:dyDescent="0.25">
      <c r="E12517"/>
      <c r="M12517"/>
    </row>
    <row r="12518" spans="5:13" x14ac:dyDescent="0.25">
      <c r="E12518"/>
      <c r="M12518"/>
    </row>
    <row r="12519" spans="5:13" x14ac:dyDescent="0.25">
      <c r="E12519"/>
      <c r="M12519"/>
    </row>
    <row r="12520" spans="5:13" x14ac:dyDescent="0.25">
      <c r="E12520"/>
      <c r="M12520"/>
    </row>
    <row r="12521" spans="5:13" x14ac:dyDescent="0.25">
      <c r="E12521"/>
      <c r="M12521"/>
    </row>
    <row r="12522" spans="5:13" x14ac:dyDescent="0.25">
      <c r="E12522"/>
      <c r="M12522"/>
    </row>
    <row r="12523" spans="5:13" x14ac:dyDescent="0.25">
      <c r="E12523"/>
      <c r="M12523"/>
    </row>
    <row r="12524" spans="5:13" x14ac:dyDescent="0.25">
      <c r="E12524"/>
      <c r="M12524"/>
    </row>
    <row r="12525" spans="5:13" x14ac:dyDescent="0.25">
      <c r="E12525"/>
      <c r="M12525"/>
    </row>
    <row r="12526" spans="5:13" x14ac:dyDescent="0.25">
      <c r="E12526"/>
      <c r="M12526"/>
    </row>
    <row r="12527" spans="5:13" x14ac:dyDescent="0.25">
      <c r="E12527"/>
      <c r="M12527"/>
    </row>
    <row r="12528" spans="5:13" x14ac:dyDescent="0.25">
      <c r="E12528"/>
      <c r="M12528"/>
    </row>
    <row r="12529" spans="5:13" x14ac:dyDescent="0.25">
      <c r="E12529"/>
      <c r="M12529"/>
    </row>
    <row r="12530" spans="5:13" x14ac:dyDescent="0.25">
      <c r="E12530"/>
      <c r="M12530"/>
    </row>
    <row r="12531" spans="5:13" x14ac:dyDescent="0.25">
      <c r="E12531"/>
      <c r="M12531"/>
    </row>
    <row r="12532" spans="5:13" x14ac:dyDescent="0.25">
      <c r="E12532"/>
      <c r="M12532"/>
    </row>
    <row r="12533" spans="5:13" x14ac:dyDescent="0.25">
      <c r="E12533"/>
      <c r="M12533"/>
    </row>
    <row r="12534" spans="5:13" x14ac:dyDescent="0.25">
      <c r="E12534"/>
      <c r="M12534"/>
    </row>
    <row r="12535" spans="5:13" x14ac:dyDescent="0.25">
      <c r="E12535"/>
      <c r="M12535"/>
    </row>
    <row r="12536" spans="5:13" x14ac:dyDescent="0.25">
      <c r="E12536"/>
      <c r="M12536"/>
    </row>
    <row r="12537" spans="5:13" x14ac:dyDescent="0.25">
      <c r="E12537"/>
      <c r="M12537"/>
    </row>
    <row r="12538" spans="5:13" x14ac:dyDescent="0.25">
      <c r="E12538"/>
      <c r="M12538"/>
    </row>
    <row r="12539" spans="5:13" x14ac:dyDescent="0.25">
      <c r="E12539"/>
      <c r="M12539"/>
    </row>
    <row r="12540" spans="5:13" x14ac:dyDescent="0.25">
      <c r="E12540"/>
      <c r="M12540"/>
    </row>
    <row r="12541" spans="5:13" x14ac:dyDescent="0.25">
      <c r="E12541"/>
      <c r="M12541"/>
    </row>
    <row r="12542" spans="5:13" x14ac:dyDescent="0.25">
      <c r="E12542"/>
      <c r="M12542"/>
    </row>
    <row r="12543" spans="5:13" x14ac:dyDescent="0.25">
      <c r="E12543"/>
      <c r="M12543"/>
    </row>
    <row r="12544" spans="5:13" x14ac:dyDescent="0.25">
      <c r="E12544"/>
      <c r="M12544"/>
    </row>
    <row r="12545" spans="5:13" x14ac:dyDescent="0.25">
      <c r="E12545"/>
      <c r="M12545"/>
    </row>
    <row r="12546" spans="5:13" x14ac:dyDescent="0.25">
      <c r="E12546"/>
      <c r="M12546"/>
    </row>
    <row r="12547" spans="5:13" x14ac:dyDescent="0.25">
      <c r="E12547"/>
      <c r="M12547"/>
    </row>
    <row r="12548" spans="5:13" x14ac:dyDescent="0.25">
      <c r="E12548"/>
      <c r="M12548"/>
    </row>
    <row r="12549" spans="5:13" x14ac:dyDescent="0.25">
      <c r="E12549"/>
      <c r="M12549"/>
    </row>
    <row r="12550" spans="5:13" x14ac:dyDescent="0.25">
      <c r="E12550"/>
      <c r="M12550"/>
    </row>
    <row r="12551" spans="5:13" x14ac:dyDescent="0.25">
      <c r="E12551"/>
      <c r="M12551"/>
    </row>
    <row r="12552" spans="5:13" x14ac:dyDescent="0.25">
      <c r="E12552"/>
      <c r="M12552"/>
    </row>
    <row r="12553" spans="5:13" x14ac:dyDescent="0.25">
      <c r="E12553"/>
      <c r="M12553"/>
    </row>
    <row r="12554" spans="5:13" x14ac:dyDescent="0.25">
      <c r="E12554"/>
      <c r="M12554"/>
    </row>
    <row r="12555" spans="5:13" x14ac:dyDescent="0.25">
      <c r="E12555"/>
      <c r="M12555"/>
    </row>
    <row r="12556" spans="5:13" x14ac:dyDescent="0.25">
      <c r="E12556"/>
      <c r="M12556"/>
    </row>
    <row r="12557" spans="5:13" x14ac:dyDescent="0.25">
      <c r="E12557"/>
      <c r="M12557"/>
    </row>
    <row r="12558" spans="5:13" x14ac:dyDescent="0.25">
      <c r="E12558"/>
      <c r="M12558"/>
    </row>
    <row r="12559" spans="5:13" x14ac:dyDescent="0.25">
      <c r="E12559"/>
      <c r="M12559"/>
    </row>
    <row r="12560" spans="5:13" x14ac:dyDescent="0.25">
      <c r="E12560"/>
      <c r="M12560"/>
    </row>
    <row r="12561" spans="5:13" x14ac:dyDescent="0.25">
      <c r="E12561"/>
      <c r="M12561"/>
    </row>
    <row r="12562" spans="5:13" x14ac:dyDescent="0.25">
      <c r="E12562"/>
      <c r="M12562"/>
    </row>
    <row r="12563" spans="5:13" x14ac:dyDescent="0.25">
      <c r="E12563"/>
      <c r="M12563"/>
    </row>
    <row r="12564" spans="5:13" x14ac:dyDescent="0.25">
      <c r="E12564"/>
      <c r="M12564"/>
    </row>
    <row r="12565" spans="5:13" x14ac:dyDescent="0.25">
      <c r="E12565"/>
      <c r="M12565"/>
    </row>
    <row r="12566" spans="5:13" x14ac:dyDescent="0.25">
      <c r="E12566"/>
      <c r="M12566"/>
    </row>
    <row r="12567" spans="5:13" x14ac:dyDescent="0.25">
      <c r="E12567"/>
      <c r="M12567"/>
    </row>
    <row r="12568" spans="5:13" x14ac:dyDescent="0.25">
      <c r="E12568"/>
      <c r="M12568"/>
    </row>
    <row r="12569" spans="5:13" x14ac:dyDescent="0.25">
      <c r="E12569"/>
      <c r="M12569"/>
    </row>
    <row r="12570" spans="5:13" x14ac:dyDescent="0.25">
      <c r="E12570"/>
      <c r="M12570"/>
    </row>
    <row r="12571" spans="5:13" x14ac:dyDescent="0.25">
      <c r="E12571"/>
      <c r="M12571"/>
    </row>
    <row r="12572" spans="5:13" x14ac:dyDescent="0.25">
      <c r="E12572"/>
      <c r="M12572"/>
    </row>
    <row r="12573" spans="5:13" x14ac:dyDescent="0.25">
      <c r="E12573"/>
      <c r="M12573"/>
    </row>
    <row r="12574" spans="5:13" x14ac:dyDescent="0.25">
      <c r="E12574"/>
      <c r="M12574"/>
    </row>
    <row r="12575" spans="5:13" x14ac:dyDescent="0.25">
      <c r="E12575"/>
      <c r="M12575"/>
    </row>
    <row r="12576" spans="5:13" x14ac:dyDescent="0.25">
      <c r="E12576"/>
      <c r="M12576"/>
    </row>
    <row r="12577" spans="5:13" x14ac:dyDescent="0.25">
      <c r="E12577"/>
      <c r="M12577"/>
    </row>
    <row r="12578" spans="5:13" x14ac:dyDescent="0.25">
      <c r="E12578"/>
      <c r="M12578"/>
    </row>
    <row r="12579" spans="5:13" x14ac:dyDescent="0.25">
      <c r="E12579"/>
      <c r="M12579"/>
    </row>
    <row r="12580" spans="5:13" x14ac:dyDescent="0.25">
      <c r="E12580"/>
      <c r="M12580"/>
    </row>
    <row r="12581" spans="5:13" x14ac:dyDescent="0.25">
      <c r="E12581"/>
      <c r="M12581"/>
    </row>
    <row r="12582" spans="5:13" x14ac:dyDescent="0.25">
      <c r="E12582"/>
      <c r="M12582"/>
    </row>
    <row r="12583" spans="5:13" x14ac:dyDescent="0.25">
      <c r="E12583"/>
      <c r="M12583"/>
    </row>
    <row r="12584" spans="5:13" x14ac:dyDescent="0.25">
      <c r="E12584"/>
      <c r="M12584"/>
    </row>
    <row r="12585" spans="5:13" x14ac:dyDescent="0.25">
      <c r="E12585"/>
      <c r="M12585"/>
    </row>
    <row r="12586" spans="5:13" x14ac:dyDescent="0.25">
      <c r="E12586"/>
      <c r="M12586"/>
    </row>
    <row r="12587" spans="5:13" x14ac:dyDescent="0.25">
      <c r="E12587"/>
      <c r="M12587"/>
    </row>
    <row r="12588" spans="5:13" x14ac:dyDescent="0.25">
      <c r="E12588"/>
      <c r="M12588"/>
    </row>
    <row r="12589" spans="5:13" x14ac:dyDescent="0.25">
      <c r="E12589"/>
      <c r="M12589"/>
    </row>
    <row r="12590" spans="5:13" x14ac:dyDescent="0.25">
      <c r="E12590"/>
      <c r="M12590"/>
    </row>
    <row r="12591" spans="5:13" x14ac:dyDescent="0.25">
      <c r="E12591"/>
      <c r="M12591"/>
    </row>
    <row r="12592" spans="5:13" x14ac:dyDescent="0.25">
      <c r="E12592"/>
      <c r="M12592"/>
    </row>
    <row r="12593" spans="5:13" x14ac:dyDescent="0.25">
      <c r="E12593"/>
      <c r="M12593"/>
    </row>
    <row r="12594" spans="5:13" x14ac:dyDescent="0.25">
      <c r="E12594"/>
      <c r="M12594"/>
    </row>
    <row r="12595" spans="5:13" x14ac:dyDescent="0.25">
      <c r="E12595"/>
      <c r="M12595"/>
    </row>
    <row r="12596" spans="5:13" x14ac:dyDescent="0.25">
      <c r="E12596"/>
      <c r="M12596"/>
    </row>
    <row r="12597" spans="5:13" x14ac:dyDescent="0.25">
      <c r="E12597"/>
      <c r="M12597"/>
    </row>
    <row r="12598" spans="5:13" x14ac:dyDescent="0.25">
      <c r="E12598"/>
      <c r="M12598"/>
    </row>
    <row r="12599" spans="5:13" x14ac:dyDescent="0.25">
      <c r="E12599"/>
      <c r="M12599"/>
    </row>
    <row r="12600" spans="5:13" x14ac:dyDescent="0.25">
      <c r="E12600"/>
      <c r="M12600"/>
    </row>
    <row r="12601" spans="5:13" x14ac:dyDescent="0.25">
      <c r="E12601"/>
      <c r="M12601"/>
    </row>
    <row r="12602" spans="5:13" x14ac:dyDescent="0.25">
      <c r="E12602"/>
      <c r="M12602"/>
    </row>
    <row r="12603" spans="5:13" x14ac:dyDescent="0.25">
      <c r="E12603"/>
      <c r="M12603"/>
    </row>
    <row r="12604" spans="5:13" x14ac:dyDescent="0.25">
      <c r="E12604"/>
      <c r="M12604"/>
    </row>
    <row r="12605" spans="5:13" x14ac:dyDescent="0.25">
      <c r="E12605"/>
      <c r="M12605"/>
    </row>
    <row r="12606" spans="5:13" x14ac:dyDescent="0.25">
      <c r="E12606"/>
      <c r="M12606"/>
    </row>
    <row r="12607" spans="5:13" x14ac:dyDescent="0.25">
      <c r="E12607"/>
      <c r="M12607"/>
    </row>
    <row r="12608" spans="5:13" x14ac:dyDescent="0.25">
      <c r="E12608"/>
      <c r="M12608"/>
    </row>
    <row r="12609" spans="5:13" x14ac:dyDescent="0.25">
      <c r="E12609"/>
      <c r="M12609"/>
    </row>
    <row r="12610" spans="5:13" x14ac:dyDescent="0.25">
      <c r="E12610"/>
      <c r="M12610"/>
    </row>
    <row r="12611" spans="5:13" x14ac:dyDescent="0.25">
      <c r="E12611"/>
      <c r="M12611"/>
    </row>
    <row r="12612" spans="5:13" x14ac:dyDescent="0.25">
      <c r="E12612"/>
      <c r="M12612"/>
    </row>
    <row r="12613" spans="5:13" x14ac:dyDescent="0.25">
      <c r="E12613"/>
      <c r="M12613"/>
    </row>
    <row r="12614" spans="5:13" x14ac:dyDescent="0.25">
      <c r="E12614"/>
      <c r="M12614"/>
    </row>
    <row r="12615" spans="5:13" x14ac:dyDescent="0.25">
      <c r="E12615"/>
      <c r="M12615"/>
    </row>
    <row r="12616" spans="5:13" x14ac:dyDescent="0.25">
      <c r="E12616"/>
      <c r="M12616"/>
    </row>
    <row r="12617" spans="5:13" x14ac:dyDescent="0.25">
      <c r="E12617"/>
      <c r="M12617"/>
    </row>
    <row r="12618" spans="5:13" x14ac:dyDescent="0.25">
      <c r="E12618"/>
      <c r="M12618"/>
    </row>
    <row r="12619" spans="5:13" x14ac:dyDescent="0.25">
      <c r="E12619"/>
      <c r="M12619"/>
    </row>
    <row r="12620" spans="5:13" x14ac:dyDescent="0.25">
      <c r="E12620"/>
      <c r="M12620"/>
    </row>
    <row r="12621" spans="5:13" x14ac:dyDescent="0.25">
      <c r="E12621"/>
      <c r="M12621"/>
    </row>
    <row r="12622" spans="5:13" x14ac:dyDescent="0.25">
      <c r="E12622"/>
      <c r="M12622"/>
    </row>
    <row r="12623" spans="5:13" x14ac:dyDescent="0.25">
      <c r="E12623"/>
      <c r="M12623"/>
    </row>
    <row r="12624" spans="5:13" x14ac:dyDescent="0.25">
      <c r="E12624"/>
      <c r="M12624"/>
    </row>
    <row r="12625" spans="5:13" x14ac:dyDescent="0.25">
      <c r="E12625"/>
      <c r="M12625"/>
    </row>
    <row r="12626" spans="5:13" x14ac:dyDescent="0.25">
      <c r="E12626"/>
      <c r="M12626"/>
    </row>
    <row r="12627" spans="5:13" x14ac:dyDescent="0.25">
      <c r="E12627"/>
      <c r="M12627"/>
    </row>
    <row r="12628" spans="5:13" x14ac:dyDescent="0.25">
      <c r="E12628"/>
      <c r="M12628"/>
    </row>
    <row r="12629" spans="5:13" x14ac:dyDescent="0.25">
      <c r="E12629"/>
      <c r="M12629"/>
    </row>
    <row r="12630" spans="5:13" x14ac:dyDescent="0.25">
      <c r="E12630"/>
      <c r="M12630"/>
    </row>
    <row r="12631" spans="5:13" x14ac:dyDescent="0.25">
      <c r="E12631"/>
      <c r="M12631"/>
    </row>
    <row r="12632" spans="5:13" x14ac:dyDescent="0.25">
      <c r="E12632"/>
      <c r="M12632"/>
    </row>
    <row r="12633" spans="5:13" x14ac:dyDescent="0.25">
      <c r="E12633"/>
      <c r="M12633"/>
    </row>
    <row r="12634" spans="5:13" x14ac:dyDescent="0.25">
      <c r="E12634"/>
      <c r="M12634"/>
    </row>
    <row r="12635" spans="5:13" x14ac:dyDescent="0.25">
      <c r="E12635"/>
      <c r="M12635"/>
    </row>
    <row r="12636" spans="5:13" x14ac:dyDescent="0.25">
      <c r="E12636"/>
      <c r="M12636"/>
    </row>
    <row r="12637" spans="5:13" x14ac:dyDescent="0.25">
      <c r="E12637"/>
      <c r="M12637"/>
    </row>
    <row r="12638" spans="5:13" x14ac:dyDescent="0.25">
      <c r="E12638"/>
      <c r="M12638"/>
    </row>
    <row r="12639" spans="5:13" x14ac:dyDescent="0.25">
      <c r="E12639"/>
      <c r="M12639"/>
    </row>
    <row r="12640" spans="5:13" x14ac:dyDescent="0.25">
      <c r="E12640"/>
      <c r="M12640"/>
    </row>
    <row r="12641" spans="5:13" x14ac:dyDescent="0.25">
      <c r="E12641"/>
      <c r="M12641"/>
    </row>
    <row r="12642" spans="5:13" x14ac:dyDescent="0.25">
      <c r="E12642"/>
      <c r="M12642"/>
    </row>
    <row r="12643" spans="5:13" x14ac:dyDescent="0.25">
      <c r="E12643"/>
      <c r="M12643"/>
    </row>
    <row r="12644" spans="5:13" x14ac:dyDescent="0.25">
      <c r="E12644"/>
      <c r="M12644"/>
    </row>
    <row r="12645" spans="5:13" x14ac:dyDescent="0.25">
      <c r="E12645"/>
      <c r="M12645"/>
    </row>
    <row r="12646" spans="5:13" x14ac:dyDescent="0.25">
      <c r="E12646"/>
      <c r="M12646"/>
    </row>
    <row r="12647" spans="5:13" x14ac:dyDescent="0.25">
      <c r="E12647"/>
      <c r="M12647"/>
    </row>
    <row r="12648" spans="5:13" x14ac:dyDescent="0.25">
      <c r="E12648"/>
      <c r="M12648"/>
    </row>
    <row r="12649" spans="5:13" x14ac:dyDescent="0.25">
      <c r="E12649"/>
      <c r="M12649"/>
    </row>
    <row r="12650" spans="5:13" x14ac:dyDescent="0.25">
      <c r="E12650"/>
      <c r="M12650"/>
    </row>
    <row r="12651" spans="5:13" x14ac:dyDescent="0.25">
      <c r="E12651"/>
      <c r="M12651"/>
    </row>
    <row r="12652" spans="5:13" x14ac:dyDescent="0.25">
      <c r="E12652"/>
      <c r="M12652"/>
    </row>
    <row r="12653" spans="5:13" x14ac:dyDescent="0.25">
      <c r="E12653"/>
      <c r="M12653"/>
    </row>
    <row r="12654" spans="5:13" x14ac:dyDescent="0.25">
      <c r="E12654"/>
      <c r="M12654"/>
    </row>
    <row r="12655" spans="5:13" x14ac:dyDescent="0.25">
      <c r="E12655"/>
      <c r="M12655"/>
    </row>
    <row r="12656" spans="5:13" x14ac:dyDescent="0.25">
      <c r="E12656"/>
      <c r="M12656"/>
    </row>
    <row r="12657" spans="5:13" x14ac:dyDescent="0.25">
      <c r="E12657"/>
      <c r="M12657"/>
    </row>
    <row r="12658" spans="5:13" x14ac:dyDescent="0.25">
      <c r="E12658"/>
      <c r="M12658"/>
    </row>
    <row r="12659" spans="5:13" x14ac:dyDescent="0.25">
      <c r="E12659"/>
      <c r="M12659"/>
    </row>
    <row r="12660" spans="5:13" x14ac:dyDescent="0.25">
      <c r="E12660"/>
      <c r="M12660"/>
    </row>
    <row r="12661" spans="5:13" x14ac:dyDescent="0.25">
      <c r="E12661"/>
      <c r="M12661"/>
    </row>
    <row r="12662" spans="5:13" x14ac:dyDescent="0.25">
      <c r="E12662"/>
      <c r="M12662"/>
    </row>
    <row r="12663" spans="5:13" x14ac:dyDescent="0.25">
      <c r="E12663"/>
      <c r="M12663"/>
    </row>
    <row r="12664" spans="5:13" x14ac:dyDescent="0.25">
      <c r="E12664"/>
      <c r="M12664"/>
    </row>
    <row r="12665" spans="5:13" x14ac:dyDescent="0.25">
      <c r="E12665"/>
      <c r="M12665"/>
    </row>
    <row r="12666" spans="5:13" x14ac:dyDescent="0.25">
      <c r="E12666"/>
      <c r="M12666"/>
    </row>
    <row r="12667" spans="5:13" x14ac:dyDescent="0.25">
      <c r="E12667"/>
      <c r="M12667"/>
    </row>
    <row r="12668" spans="5:13" x14ac:dyDescent="0.25">
      <c r="E12668"/>
      <c r="M12668"/>
    </row>
    <row r="12669" spans="5:13" x14ac:dyDescent="0.25">
      <c r="E12669"/>
      <c r="M12669"/>
    </row>
    <row r="12670" spans="5:13" x14ac:dyDescent="0.25">
      <c r="E12670"/>
      <c r="M12670"/>
    </row>
    <row r="12671" spans="5:13" x14ac:dyDescent="0.25">
      <c r="E12671"/>
      <c r="M12671"/>
    </row>
    <row r="12672" spans="5:13" x14ac:dyDescent="0.25">
      <c r="E12672"/>
      <c r="M12672"/>
    </row>
    <row r="12673" spans="5:13" x14ac:dyDescent="0.25">
      <c r="E12673"/>
      <c r="M12673"/>
    </row>
    <row r="12674" spans="5:13" x14ac:dyDescent="0.25">
      <c r="E12674"/>
      <c r="M12674"/>
    </row>
    <row r="12675" spans="5:13" x14ac:dyDescent="0.25">
      <c r="E12675"/>
      <c r="M12675"/>
    </row>
    <row r="12676" spans="5:13" x14ac:dyDescent="0.25">
      <c r="E12676"/>
      <c r="M12676"/>
    </row>
    <row r="12677" spans="5:13" x14ac:dyDescent="0.25">
      <c r="E12677"/>
      <c r="M12677"/>
    </row>
    <row r="12678" spans="5:13" x14ac:dyDescent="0.25">
      <c r="E12678"/>
      <c r="M12678"/>
    </row>
    <row r="12679" spans="5:13" x14ac:dyDescent="0.25">
      <c r="E12679"/>
      <c r="M12679"/>
    </row>
    <row r="12680" spans="5:13" x14ac:dyDescent="0.25">
      <c r="E12680"/>
      <c r="M12680"/>
    </row>
    <row r="12681" spans="5:13" x14ac:dyDescent="0.25">
      <c r="E12681"/>
      <c r="M12681"/>
    </row>
    <row r="12682" spans="5:13" x14ac:dyDescent="0.25">
      <c r="E12682"/>
      <c r="M12682"/>
    </row>
    <row r="12683" spans="5:13" x14ac:dyDescent="0.25">
      <c r="E12683"/>
      <c r="M12683"/>
    </row>
    <row r="12684" spans="5:13" x14ac:dyDescent="0.25">
      <c r="E12684"/>
      <c r="M12684"/>
    </row>
    <row r="12685" spans="5:13" x14ac:dyDescent="0.25">
      <c r="E12685"/>
      <c r="M12685"/>
    </row>
    <row r="12686" spans="5:13" x14ac:dyDescent="0.25">
      <c r="E12686"/>
      <c r="M12686"/>
    </row>
    <row r="12687" spans="5:13" x14ac:dyDescent="0.25">
      <c r="E12687"/>
      <c r="M12687"/>
    </row>
    <row r="12688" spans="5:13" x14ac:dyDescent="0.25">
      <c r="E12688"/>
      <c r="M12688"/>
    </row>
    <row r="12689" spans="5:13" x14ac:dyDescent="0.25">
      <c r="E12689"/>
      <c r="M12689"/>
    </row>
    <row r="12690" spans="5:13" x14ac:dyDescent="0.25">
      <c r="E12690"/>
      <c r="M12690"/>
    </row>
    <row r="12691" spans="5:13" x14ac:dyDescent="0.25">
      <c r="E12691"/>
      <c r="M12691"/>
    </row>
    <row r="12692" spans="5:13" x14ac:dyDescent="0.25">
      <c r="E12692"/>
      <c r="M12692"/>
    </row>
    <row r="12693" spans="5:13" x14ac:dyDescent="0.25">
      <c r="E12693"/>
      <c r="M12693"/>
    </row>
    <row r="12694" spans="5:13" x14ac:dyDescent="0.25">
      <c r="E12694"/>
      <c r="M12694"/>
    </row>
    <row r="12695" spans="5:13" x14ac:dyDescent="0.25">
      <c r="E12695"/>
      <c r="M12695"/>
    </row>
    <row r="12696" spans="5:13" x14ac:dyDescent="0.25">
      <c r="E12696"/>
      <c r="M12696"/>
    </row>
    <row r="12697" spans="5:13" x14ac:dyDescent="0.25">
      <c r="E12697"/>
      <c r="M12697"/>
    </row>
    <row r="12698" spans="5:13" x14ac:dyDescent="0.25">
      <c r="E12698"/>
      <c r="M12698"/>
    </row>
    <row r="12699" spans="5:13" x14ac:dyDescent="0.25">
      <c r="E12699"/>
      <c r="M12699"/>
    </row>
    <row r="12700" spans="5:13" x14ac:dyDescent="0.25">
      <c r="E12700"/>
      <c r="M12700"/>
    </row>
    <row r="12701" spans="5:13" x14ac:dyDescent="0.25">
      <c r="E12701"/>
      <c r="M12701"/>
    </row>
    <row r="12702" spans="5:13" x14ac:dyDescent="0.25">
      <c r="E12702"/>
      <c r="M12702"/>
    </row>
    <row r="12703" spans="5:13" x14ac:dyDescent="0.25">
      <c r="E12703"/>
      <c r="M12703"/>
    </row>
    <row r="12704" spans="5:13" x14ac:dyDescent="0.25">
      <c r="E12704"/>
      <c r="M12704"/>
    </row>
    <row r="12705" spans="5:13" x14ac:dyDescent="0.25">
      <c r="E12705"/>
      <c r="M12705"/>
    </row>
    <row r="12706" spans="5:13" x14ac:dyDescent="0.25">
      <c r="E12706"/>
      <c r="M12706"/>
    </row>
    <row r="12707" spans="5:13" x14ac:dyDescent="0.25">
      <c r="E12707"/>
      <c r="M12707"/>
    </row>
    <row r="12708" spans="5:13" x14ac:dyDescent="0.25">
      <c r="E12708"/>
      <c r="M12708"/>
    </row>
    <row r="12709" spans="5:13" x14ac:dyDescent="0.25">
      <c r="E12709"/>
      <c r="M12709"/>
    </row>
    <row r="12710" spans="5:13" x14ac:dyDescent="0.25">
      <c r="E12710"/>
      <c r="M12710"/>
    </row>
    <row r="12711" spans="5:13" x14ac:dyDescent="0.25">
      <c r="E12711"/>
      <c r="M12711"/>
    </row>
    <row r="12712" spans="5:13" x14ac:dyDescent="0.25">
      <c r="E12712"/>
      <c r="M12712"/>
    </row>
    <row r="12713" spans="5:13" x14ac:dyDescent="0.25">
      <c r="E12713"/>
      <c r="M12713"/>
    </row>
    <row r="12714" spans="5:13" x14ac:dyDescent="0.25">
      <c r="E12714"/>
      <c r="M12714"/>
    </row>
    <row r="12715" spans="5:13" x14ac:dyDescent="0.25">
      <c r="E12715"/>
      <c r="M12715"/>
    </row>
    <row r="12716" spans="5:13" x14ac:dyDescent="0.25">
      <c r="E12716"/>
      <c r="M12716"/>
    </row>
    <row r="12717" spans="5:13" x14ac:dyDescent="0.25">
      <c r="E12717"/>
      <c r="M12717"/>
    </row>
    <row r="12718" spans="5:13" x14ac:dyDescent="0.25">
      <c r="E12718"/>
      <c r="M12718"/>
    </row>
    <row r="12719" spans="5:13" x14ac:dyDescent="0.25">
      <c r="E12719"/>
      <c r="M12719"/>
    </row>
    <row r="12720" spans="5:13" x14ac:dyDescent="0.25">
      <c r="E12720"/>
      <c r="M12720"/>
    </row>
    <row r="12721" spans="5:13" x14ac:dyDescent="0.25">
      <c r="E12721"/>
      <c r="M12721"/>
    </row>
    <row r="12722" spans="5:13" x14ac:dyDescent="0.25">
      <c r="E12722"/>
      <c r="M12722"/>
    </row>
    <row r="12723" spans="5:13" x14ac:dyDescent="0.25">
      <c r="E12723"/>
      <c r="M12723"/>
    </row>
    <row r="12724" spans="5:13" x14ac:dyDescent="0.25">
      <c r="E12724"/>
      <c r="M12724"/>
    </row>
    <row r="12725" spans="5:13" x14ac:dyDescent="0.25">
      <c r="E12725"/>
      <c r="M12725"/>
    </row>
    <row r="12726" spans="5:13" x14ac:dyDescent="0.25">
      <c r="E12726"/>
      <c r="M12726"/>
    </row>
    <row r="12727" spans="5:13" x14ac:dyDescent="0.25">
      <c r="E12727"/>
      <c r="M12727"/>
    </row>
    <row r="12728" spans="5:13" x14ac:dyDescent="0.25">
      <c r="E12728"/>
      <c r="M12728"/>
    </row>
    <row r="12729" spans="5:13" x14ac:dyDescent="0.25">
      <c r="E12729"/>
      <c r="M12729"/>
    </row>
    <row r="12730" spans="5:13" x14ac:dyDescent="0.25">
      <c r="E12730"/>
      <c r="M12730"/>
    </row>
    <row r="12731" spans="5:13" x14ac:dyDescent="0.25">
      <c r="E12731"/>
      <c r="M12731"/>
    </row>
    <row r="12732" spans="5:13" x14ac:dyDescent="0.25">
      <c r="E12732"/>
      <c r="M12732"/>
    </row>
    <row r="12733" spans="5:13" x14ac:dyDescent="0.25">
      <c r="E12733"/>
      <c r="M12733"/>
    </row>
    <row r="12734" spans="5:13" x14ac:dyDescent="0.25">
      <c r="E12734"/>
      <c r="M12734"/>
    </row>
    <row r="12735" spans="5:13" x14ac:dyDescent="0.25">
      <c r="E12735"/>
      <c r="M12735"/>
    </row>
    <row r="12736" spans="5:13" x14ac:dyDescent="0.25">
      <c r="E12736"/>
      <c r="M12736"/>
    </row>
    <row r="12737" spans="5:13" x14ac:dyDescent="0.25">
      <c r="E12737"/>
      <c r="M12737"/>
    </row>
    <row r="12738" spans="5:13" x14ac:dyDescent="0.25">
      <c r="E12738"/>
      <c r="M12738"/>
    </row>
    <row r="12739" spans="5:13" x14ac:dyDescent="0.25">
      <c r="E12739"/>
      <c r="M12739"/>
    </row>
    <row r="12740" spans="5:13" x14ac:dyDescent="0.25">
      <c r="E12740"/>
      <c r="M12740"/>
    </row>
    <row r="12741" spans="5:13" x14ac:dyDescent="0.25">
      <c r="E12741"/>
      <c r="M12741"/>
    </row>
    <row r="12742" spans="5:13" x14ac:dyDescent="0.25">
      <c r="E12742"/>
      <c r="M12742"/>
    </row>
    <row r="12743" spans="5:13" x14ac:dyDescent="0.25">
      <c r="E12743"/>
      <c r="M12743"/>
    </row>
    <row r="12744" spans="5:13" x14ac:dyDescent="0.25">
      <c r="E12744"/>
      <c r="M12744"/>
    </row>
    <row r="12745" spans="5:13" x14ac:dyDescent="0.25">
      <c r="E12745"/>
      <c r="M12745"/>
    </row>
    <row r="12746" spans="5:13" x14ac:dyDescent="0.25">
      <c r="E12746"/>
      <c r="M12746"/>
    </row>
    <row r="12747" spans="5:13" x14ac:dyDescent="0.25">
      <c r="E12747"/>
      <c r="M12747"/>
    </row>
    <row r="12748" spans="5:13" x14ac:dyDescent="0.25">
      <c r="E12748"/>
      <c r="M12748"/>
    </row>
    <row r="12749" spans="5:13" x14ac:dyDescent="0.25">
      <c r="E12749"/>
      <c r="M12749"/>
    </row>
    <row r="12750" spans="5:13" x14ac:dyDescent="0.25">
      <c r="E12750"/>
      <c r="M12750"/>
    </row>
    <row r="12751" spans="5:13" x14ac:dyDescent="0.25">
      <c r="E12751"/>
      <c r="M12751"/>
    </row>
    <row r="12752" spans="5:13" x14ac:dyDescent="0.25">
      <c r="E12752"/>
      <c r="M12752"/>
    </row>
    <row r="12753" spans="5:13" x14ac:dyDescent="0.25">
      <c r="E12753"/>
      <c r="M12753"/>
    </row>
    <row r="12754" spans="5:13" x14ac:dyDescent="0.25">
      <c r="E12754"/>
      <c r="M12754"/>
    </row>
    <row r="12755" spans="5:13" x14ac:dyDescent="0.25">
      <c r="E12755"/>
      <c r="M12755"/>
    </row>
    <row r="12756" spans="5:13" x14ac:dyDescent="0.25">
      <c r="E12756"/>
      <c r="M12756"/>
    </row>
    <row r="12757" spans="5:13" x14ac:dyDescent="0.25">
      <c r="E12757"/>
      <c r="M12757"/>
    </row>
    <row r="12758" spans="5:13" x14ac:dyDescent="0.25">
      <c r="E12758"/>
      <c r="M12758"/>
    </row>
    <row r="12759" spans="5:13" x14ac:dyDescent="0.25">
      <c r="E12759"/>
      <c r="M12759"/>
    </row>
    <row r="12760" spans="5:13" x14ac:dyDescent="0.25">
      <c r="E12760"/>
      <c r="M12760"/>
    </row>
    <row r="12761" spans="5:13" x14ac:dyDescent="0.25">
      <c r="E12761"/>
      <c r="M12761"/>
    </row>
    <row r="12762" spans="5:13" x14ac:dyDescent="0.25">
      <c r="E12762"/>
      <c r="M12762"/>
    </row>
    <row r="12763" spans="5:13" x14ac:dyDescent="0.25">
      <c r="E12763"/>
      <c r="M12763"/>
    </row>
    <row r="12764" spans="5:13" x14ac:dyDescent="0.25">
      <c r="E12764"/>
      <c r="M12764"/>
    </row>
    <row r="12765" spans="5:13" x14ac:dyDescent="0.25">
      <c r="E12765"/>
      <c r="M12765"/>
    </row>
    <row r="12766" spans="5:13" x14ac:dyDescent="0.25">
      <c r="E12766"/>
      <c r="M12766"/>
    </row>
    <row r="12767" spans="5:13" x14ac:dyDescent="0.25">
      <c r="E12767"/>
      <c r="M12767"/>
    </row>
    <row r="12768" spans="5:13" x14ac:dyDescent="0.25">
      <c r="E12768"/>
      <c r="M12768"/>
    </row>
    <row r="12769" spans="5:13" x14ac:dyDescent="0.25">
      <c r="E12769"/>
      <c r="M12769"/>
    </row>
    <row r="12770" spans="5:13" x14ac:dyDescent="0.25">
      <c r="E12770"/>
      <c r="M12770"/>
    </row>
    <row r="12771" spans="5:13" x14ac:dyDescent="0.25">
      <c r="E12771"/>
      <c r="M12771"/>
    </row>
    <row r="12772" spans="5:13" x14ac:dyDescent="0.25">
      <c r="E12772"/>
      <c r="M12772"/>
    </row>
    <row r="12773" spans="5:13" x14ac:dyDescent="0.25">
      <c r="E12773"/>
      <c r="M12773"/>
    </row>
    <row r="12774" spans="5:13" x14ac:dyDescent="0.25">
      <c r="E12774"/>
      <c r="M12774"/>
    </row>
    <row r="12775" spans="5:13" x14ac:dyDescent="0.25">
      <c r="E12775"/>
      <c r="M12775"/>
    </row>
    <row r="12776" spans="5:13" x14ac:dyDescent="0.25">
      <c r="E12776"/>
      <c r="M12776"/>
    </row>
    <row r="12777" spans="5:13" x14ac:dyDescent="0.25">
      <c r="E12777"/>
      <c r="M12777"/>
    </row>
    <row r="12778" spans="5:13" x14ac:dyDescent="0.25">
      <c r="E12778"/>
      <c r="M12778"/>
    </row>
    <row r="12779" spans="5:13" x14ac:dyDescent="0.25">
      <c r="E12779"/>
      <c r="M12779"/>
    </row>
    <row r="12780" spans="5:13" x14ac:dyDescent="0.25">
      <c r="E12780"/>
      <c r="M12780"/>
    </row>
    <row r="12781" spans="5:13" x14ac:dyDescent="0.25">
      <c r="E12781"/>
      <c r="M12781"/>
    </row>
    <row r="12782" spans="5:13" x14ac:dyDescent="0.25">
      <c r="E12782"/>
      <c r="M12782"/>
    </row>
    <row r="12783" spans="5:13" x14ac:dyDescent="0.25">
      <c r="E12783"/>
      <c r="M12783"/>
    </row>
    <row r="12784" spans="5:13" x14ac:dyDescent="0.25">
      <c r="E12784"/>
      <c r="M12784"/>
    </row>
    <row r="12785" spans="5:13" x14ac:dyDescent="0.25">
      <c r="E12785"/>
      <c r="M12785"/>
    </row>
    <row r="12786" spans="5:13" x14ac:dyDescent="0.25">
      <c r="E12786"/>
      <c r="M12786"/>
    </row>
    <row r="12787" spans="5:13" x14ac:dyDescent="0.25">
      <c r="E12787"/>
      <c r="M12787"/>
    </row>
    <row r="12788" spans="5:13" x14ac:dyDescent="0.25">
      <c r="E12788"/>
      <c r="M12788"/>
    </row>
    <row r="12789" spans="5:13" x14ac:dyDescent="0.25">
      <c r="E12789"/>
      <c r="M12789"/>
    </row>
    <row r="12790" spans="5:13" x14ac:dyDescent="0.25">
      <c r="E12790"/>
      <c r="M12790"/>
    </row>
    <row r="12791" spans="5:13" x14ac:dyDescent="0.25">
      <c r="E12791"/>
      <c r="M12791"/>
    </row>
    <row r="12792" spans="5:13" x14ac:dyDescent="0.25">
      <c r="E12792"/>
      <c r="M12792"/>
    </row>
    <row r="12793" spans="5:13" x14ac:dyDescent="0.25">
      <c r="E12793"/>
      <c r="M12793"/>
    </row>
    <row r="12794" spans="5:13" x14ac:dyDescent="0.25">
      <c r="E12794"/>
      <c r="M12794"/>
    </row>
    <row r="12795" spans="5:13" x14ac:dyDescent="0.25">
      <c r="E12795"/>
      <c r="M12795"/>
    </row>
    <row r="12796" spans="5:13" x14ac:dyDescent="0.25">
      <c r="E12796"/>
      <c r="M12796"/>
    </row>
    <row r="12797" spans="5:13" x14ac:dyDescent="0.25">
      <c r="E12797"/>
      <c r="M12797"/>
    </row>
    <row r="12798" spans="5:13" x14ac:dyDescent="0.25">
      <c r="E12798"/>
      <c r="M12798"/>
    </row>
    <row r="12799" spans="5:13" x14ac:dyDescent="0.25">
      <c r="E12799"/>
      <c r="M12799"/>
    </row>
    <row r="12800" spans="5:13" x14ac:dyDescent="0.25">
      <c r="E12800"/>
      <c r="M12800"/>
    </row>
    <row r="12801" spans="5:13" x14ac:dyDescent="0.25">
      <c r="E12801"/>
      <c r="M12801"/>
    </row>
    <row r="12802" spans="5:13" x14ac:dyDescent="0.25">
      <c r="E12802"/>
      <c r="M12802"/>
    </row>
    <row r="12803" spans="5:13" x14ac:dyDescent="0.25">
      <c r="E12803"/>
      <c r="M12803"/>
    </row>
    <row r="12804" spans="5:13" x14ac:dyDescent="0.25">
      <c r="E12804"/>
      <c r="M12804"/>
    </row>
    <row r="12805" spans="5:13" x14ac:dyDescent="0.25">
      <c r="E12805"/>
      <c r="M12805"/>
    </row>
    <row r="12806" spans="5:13" x14ac:dyDescent="0.25">
      <c r="E12806"/>
      <c r="M12806"/>
    </row>
    <row r="12807" spans="5:13" x14ac:dyDescent="0.25">
      <c r="E12807"/>
      <c r="M12807"/>
    </row>
    <row r="12808" spans="5:13" x14ac:dyDescent="0.25">
      <c r="E12808"/>
      <c r="M12808"/>
    </row>
    <row r="12809" spans="5:13" x14ac:dyDescent="0.25">
      <c r="E12809"/>
      <c r="M12809"/>
    </row>
    <row r="12810" spans="5:13" x14ac:dyDescent="0.25">
      <c r="E12810"/>
      <c r="M12810"/>
    </row>
    <row r="12811" spans="5:13" x14ac:dyDescent="0.25">
      <c r="E12811"/>
      <c r="M12811"/>
    </row>
    <row r="12812" spans="5:13" x14ac:dyDescent="0.25">
      <c r="E12812"/>
      <c r="M12812"/>
    </row>
    <row r="12813" spans="5:13" x14ac:dyDescent="0.25">
      <c r="E12813"/>
      <c r="M12813"/>
    </row>
    <row r="12814" spans="5:13" x14ac:dyDescent="0.25">
      <c r="E12814"/>
      <c r="M12814"/>
    </row>
    <row r="12815" spans="5:13" x14ac:dyDescent="0.25">
      <c r="E12815"/>
      <c r="M12815"/>
    </row>
    <row r="12816" spans="5:13" x14ac:dyDescent="0.25">
      <c r="E12816"/>
      <c r="M12816"/>
    </row>
    <row r="12817" spans="5:13" x14ac:dyDescent="0.25">
      <c r="E12817"/>
      <c r="M12817"/>
    </row>
    <row r="12818" spans="5:13" x14ac:dyDescent="0.25">
      <c r="E12818"/>
      <c r="M12818"/>
    </row>
    <row r="12819" spans="5:13" x14ac:dyDescent="0.25">
      <c r="E12819"/>
      <c r="M12819"/>
    </row>
    <row r="12820" spans="5:13" x14ac:dyDescent="0.25">
      <c r="E12820"/>
      <c r="M12820"/>
    </row>
    <row r="12821" spans="5:13" x14ac:dyDescent="0.25">
      <c r="E12821"/>
      <c r="M12821"/>
    </row>
    <row r="12822" spans="5:13" x14ac:dyDescent="0.25">
      <c r="E12822"/>
      <c r="M12822"/>
    </row>
    <row r="12823" spans="5:13" x14ac:dyDescent="0.25">
      <c r="E12823"/>
      <c r="M12823"/>
    </row>
    <row r="12824" spans="5:13" x14ac:dyDescent="0.25">
      <c r="E12824"/>
      <c r="M12824"/>
    </row>
    <row r="12825" spans="5:13" x14ac:dyDescent="0.25">
      <c r="E12825"/>
      <c r="M12825"/>
    </row>
    <row r="12826" spans="5:13" x14ac:dyDescent="0.25">
      <c r="E12826"/>
      <c r="M12826"/>
    </row>
    <row r="12827" spans="5:13" x14ac:dyDescent="0.25">
      <c r="E12827"/>
      <c r="M12827"/>
    </row>
    <row r="12828" spans="5:13" x14ac:dyDescent="0.25">
      <c r="E12828"/>
      <c r="M12828"/>
    </row>
    <row r="12829" spans="5:13" x14ac:dyDescent="0.25">
      <c r="E12829"/>
      <c r="M12829"/>
    </row>
    <row r="12830" spans="5:13" x14ac:dyDescent="0.25">
      <c r="E12830"/>
      <c r="M12830"/>
    </row>
    <row r="12831" spans="5:13" x14ac:dyDescent="0.25">
      <c r="E12831"/>
      <c r="M12831"/>
    </row>
    <row r="12832" spans="5:13" x14ac:dyDescent="0.25">
      <c r="E12832"/>
      <c r="M12832"/>
    </row>
    <row r="12833" spans="5:13" x14ac:dyDescent="0.25">
      <c r="E12833"/>
      <c r="M12833"/>
    </row>
    <row r="12834" spans="5:13" x14ac:dyDescent="0.25">
      <c r="E12834"/>
      <c r="M12834"/>
    </row>
    <row r="12835" spans="5:13" x14ac:dyDescent="0.25">
      <c r="E12835"/>
      <c r="M12835"/>
    </row>
    <row r="12836" spans="5:13" x14ac:dyDescent="0.25">
      <c r="E12836"/>
      <c r="M12836"/>
    </row>
    <row r="12837" spans="5:13" x14ac:dyDescent="0.25">
      <c r="E12837"/>
      <c r="M12837"/>
    </row>
    <row r="12838" spans="5:13" x14ac:dyDescent="0.25">
      <c r="E12838"/>
      <c r="M12838"/>
    </row>
    <row r="12839" spans="5:13" x14ac:dyDescent="0.25">
      <c r="E12839"/>
      <c r="M12839"/>
    </row>
    <row r="12840" spans="5:13" x14ac:dyDescent="0.25">
      <c r="E12840"/>
      <c r="M12840"/>
    </row>
    <row r="12841" spans="5:13" x14ac:dyDescent="0.25">
      <c r="E12841"/>
      <c r="M12841"/>
    </row>
    <row r="12842" spans="5:13" x14ac:dyDescent="0.25">
      <c r="E12842"/>
      <c r="M12842"/>
    </row>
    <row r="12843" spans="5:13" x14ac:dyDescent="0.25">
      <c r="E12843"/>
      <c r="M12843"/>
    </row>
    <row r="12844" spans="5:13" x14ac:dyDescent="0.25">
      <c r="E12844"/>
      <c r="M12844"/>
    </row>
    <row r="12845" spans="5:13" x14ac:dyDescent="0.25">
      <c r="E12845"/>
      <c r="M12845"/>
    </row>
    <row r="12846" spans="5:13" x14ac:dyDescent="0.25">
      <c r="E12846"/>
      <c r="M12846"/>
    </row>
    <row r="12847" spans="5:13" x14ac:dyDescent="0.25">
      <c r="E12847"/>
      <c r="M12847"/>
    </row>
    <row r="12848" spans="5:13" x14ac:dyDescent="0.25">
      <c r="E12848"/>
      <c r="M12848"/>
    </row>
    <row r="12849" spans="5:13" x14ac:dyDescent="0.25">
      <c r="E12849"/>
      <c r="M12849"/>
    </row>
    <row r="12850" spans="5:13" x14ac:dyDescent="0.25">
      <c r="E12850"/>
      <c r="M12850"/>
    </row>
    <row r="12851" spans="5:13" x14ac:dyDescent="0.25">
      <c r="E12851"/>
      <c r="M12851"/>
    </row>
    <row r="12852" spans="5:13" x14ac:dyDescent="0.25">
      <c r="E12852"/>
      <c r="M12852"/>
    </row>
    <row r="12853" spans="5:13" x14ac:dyDescent="0.25">
      <c r="E12853"/>
      <c r="M12853"/>
    </row>
    <row r="12854" spans="5:13" x14ac:dyDescent="0.25">
      <c r="E12854"/>
      <c r="M12854"/>
    </row>
    <row r="12855" spans="5:13" x14ac:dyDescent="0.25">
      <c r="E12855"/>
      <c r="M12855"/>
    </row>
    <row r="12856" spans="5:13" x14ac:dyDescent="0.25">
      <c r="E12856"/>
      <c r="M12856"/>
    </row>
    <row r="12857" spans="5:13" x14ac:dyDescent="0.25">
      <c r="E12857"/>
      <c r="M12857"/>
    </row>
    <row r="12858" spans="5:13" x14ac:dyDescent="0.25">
      <c r="E12858"/>
      <c r="M12858"/>
    </row>
    <row r="12859" spans="5:13" x14ac:dyDescent="0.25">
      <c r="E12859"/>
      <c r="M12859"/>
    </row>
    <row r="12860" spans="5:13" x14ac:dyDescent="0.25">
      <c r="E12860"/>
      <c r="M12860"/>
    </row>
    <row r="12861" spans="5:13" x14ac:dyDescent="0.25">
      <c r="E12861"/>
      <c r="M12861"/>
    </row>
    <row r="12862" spans="5:13" x14ac:dyDescent="0.25">
      <c r="E12862"/>
      <c r="M12862"/>
    </row>
    <row r="12863" spans="5:13" x14ac:dyDescent="0.25">
      <c r="E12863"/>
      <c r="M12863"/>
    </row>
    <row r="12864" spans="5:13" x14ac:dyDescent="0.25">
      <c r="E12864"/>
      <c r="M12864"/>
    </row>
    <row r="12865" spans="5:13" x14ac:dyDescent="0.25">
      <c r="E12865"/>
      <c r="M12865"/>
    </row>
    <row r="12866" spans="5:13" x14ac:dyDescent="0.25">
      <c r="E12866"/>
      <c r="M12866"/>
    </row>
    <row r="12867" spans="5:13" x14ac:dyDescent="0.25">
      <c r="E12867"/>
      <c r="M12867"/>
    </row>
    <row r="12868" spans="5:13" x14ac:dyDescent="0.25">
      <c r="E12868"/>
      <c r="M12868"/>
    </row>
    <row r="12869" spans="5:13" x14ac:dyDescent="0.25">
      <c r="E12869"/>
      <c r="M12869"/>
    </row>
    <row r="12870" spans="5:13" x14ac:dyDescent="0.25">
      <c r="E12870"/>
      <c r="M12870"/>
    </row>
    <row r="12871" spans="5:13" x14ac:dyDescent="0.25">
      <c r="E12871"/>
      <c r="M12871"/>
    </row>
    <row r="12872" spans="5:13" x14ac:dyDescent="0.25">
      <c r="E12872"/>
      <c r="M12872"/>
    </row>
    <row r="12873" spans="5:13" x14ac:dyDescent="0.25">
      <c r="E12873"/>
      <c r="M12873"/>
    </row>
    <row r="12874" spans="5:13" x14ac:dyDescent="0.25">
      <c r="E12874"/>
      <c r="M12874"/>
    </row>
    <row r="12875" spans="5:13" x14ac:dyDescent="0.25">
      <c r="E12875"/>
      <c r="M12875"/>
    </row>
    <row r="12876" spans="5:13" x14ac:dyDescent="0.25">
      <c r="E12876"/>
      <c r="M12876"/>
    </row>
    <row r="12877" spans="5:13" x14ac:dyDescent="0.25">
      <c r="E12877"/>
      <c r="M12877"/>
    </row>
    <row r="12878" spans="5:13" x14ac:dyDescent="0.25">
      <c r="E12878"/>
      <c r="M12878"/>
    </row>
    <row r="12879" spans="5:13" x14ac:dyDescent="0.25">
      <c r="E12879"/>
      <c r="M12879"/>
    </row>
    <row r="12880" spans="5:13" x14ac:dyDescent="0.25">
      <c r="E12880"/>
      <c r="M12880"/>
    </row>
    <row r="12881" spans="5:13" x14ac:dyDescent="0.25">
      <c r="E12881"/>
      <c r="M12881"/>
    </row>
    <row r="12882" spans="5:13" x14ac:dyDescent="0.25">
      <c r="E12882"/>
      <c r="M12882"/>
    </row>
    <row r="12883" spans="5:13" x14ac:dyDescent="0.25">
      <c r="E12883"/>
      <c r="M12883"/>
    </row>
    <row r="12884" spans="5:13" x14ac:dyDescent="0.25">
      <c r="E12884"/>
      <c r="M12884"/>
    </row>
    <row r="12885" spans="5:13" x14ac:dyDescent="0.25">
      <c r="E12885"/>
      <c r="M12885"/>
    </row>
    <row r="12886" spans="5:13" x14ac:dyDescent="0.25">
      <c r="E12886"/>
      <c r="M12886"/>
    </row>
    <row r="12887" spans="5:13" x14ac:dyDescent="0.25">
      <c r="E12887"/>
      <c r="M12887"/>
    </row>
    <row r="12888" spans="5:13" x14ac:dyDescent="0.25">
      <c r="E12888"/>
      <c r="M12888"/>
    </row>
    <row r="12889" spans="5:13" x14ac:dyDescent="0.25">
      <c r="E12889"/>
      <c r="M12889"/>
    </row>
    <row r="12890" spans="5:13" x14ac:dyDescent="0.25">
      <c r="E12890"/>
      <c r="M12890"/>
    </row>
    <row r="12891" spans="5:13" x14ac:dyDescent="0.25">
      <c r="E12891"/>
      <c r="M12891"/>
    </row>
    <row r="12892" spans="5:13" x14ac:dyDescent="0.25">
      <c r="E12892"/>
      <c r="M12892"/>
    </row>
    <row r="12893" spans="5:13" x14ac:dyDescent="0.25">
      <c r="E12893"/>
      <c r="M12893"/>
    </row>
    <row r="12894" spans="5:13" x14ac:dyDescent="0.25">
      <c r="E12894"/>
      <c r="M12894"/>
    </row>
    <row r="12895" spans="5:13" x14ac:dyDescent="0.25">
      <c r="E12895"/>
      <c r="M12895"/>
    </row>
    <row r="12896" spans="5:13" x14ac:dyDescent="0.25">
      <c r="E12896"/>
      <c r="M12896"/>
    </row>
    <row r="12897" spans="5:13" x14ac:dyDescent="0.25">
      <c r="E12897"/>
      <c r="M12897"/>
    </row>
    <row r="12898" spans="5:13" x14ac:dyDescent="0.25">
      <c r="E12898"/>
      <c r="M12898"/>
    </row>
    <row r="12899" spans="5:13" x14ac:dyDescent="0.25">
      <c r="E12899"/>
      <c r="M12899"/>
    </row>
    <row r="12900" spans="5:13" x14ac:dyDescent="0.25">
      <c r="E12900"/>
      <c r="M12900"/>
    </row>
    <row r="12901" spans="5:13" x14ac:dyDescent="0.25">
      <c r="E12901"/>
      <c r="M12901"/>
    </row>
    <row r="12902" spans="5:13" x14ac:dyDescent="0.25">
      <c r="E12902"/>
      <c r="M12902"/>
    </row>
    <row r="12903" spans="5:13" x14ac:dyDescent="0.25">
      <c r="E12903"/>
      <c r="M12903"/>
    </row>
    <row r="12904" spans="5:13" x14ac:dyDescent="0.25">
      <c r="E12904"/>
      <c r="M12904"/>
    </row>
    <row r="12905" spans="5:13" x14ac:dyDescent="0.25">
      <c r="E12905"/>
      <c r="M12905"/>
    </row>
    <row r="12906" spans="5:13" x14ac:dyDescent="0.25">
      <c r="E12906"/>
      <c r="M12906"/>
    </row>
    <row r="12907" spans="5:13" x14ac:dyDescent="0.25">
      <c r="E12907"/>
      <c r="M12907"/>
    </row>
    <row r="12908" spans="5:13" x14ac:dyDescent="0.25">
      <c r="E12908"/>
      <c r="M12908"/>
    </row>
    <row r="12909" spans="5:13" x14ac:dyDescent="0.25">
      <c r="E12909"/>
      <c r="M12909"/>
    </row>
    <row r="12910" spans="5:13" x14ac:dyDescent="0.25">
      <c r="E12910"/>
      <c r="M12910"/>
    </row>
    <row r="12911" spans="5:13" x14ac:dyDescent="0.25">
      <c r="E12911"/>
      <c r="M12911"/>
    </row>
    <row r="12912" spans="5:13" x14ac:dyDescent="0.25">
      <c r="E12912"/>
      <c r="M12912"/>
    </row>
    <row r="12913" spans="5:13" x14ac:dyDescent="0.25">
      <c r="E12913"/>
      <c r="M12913"/>
    </row>
    <row r="12914" spans="5:13" x14ac:dyDescent="0.25">
      <c r="E12914"/>
      <c r="M12914"/>
    </row>
    <row r="12915" spans="5:13" x14ac:dyDescent="0.25">
      <c r="E12915"/>
      <c r="M12915"/>
    </row>
    <row r="12916" spans="5:13" x14ac:dyDescent="0.25">
      <c r="E12916"/>
      <c r="M12916"/>
    </row>
    <row r="12917" spans="5:13" x14ac:dyDescent="0.25">
      <c r="E12917"/>
      <c r="M12917"/>
    </row>
    <row r="12918" spans="5:13" x14ac:dyDescent="0.25">
      <c r="E12918"/>
      <c r="M12918"/>
    </row>
    <row r="12919" spans="5:13" x14ac:dyDescent="0.25">
      <c r="E12919"/>
      <c r="M12919"/>
    </row>
    <row r="12920" spans="5:13" x14ac:dyDescent="0.25">
      <c r="E12920"/>
      <c r="M12920"/>
    </row>
    <row r="12921" spans="5:13" x14ac:dyDescent="0.25">
      <c r="E12921"/>
      <c r="M12921"/>
    </row>
    <row r="12922" spans="5:13" x14ac:dyDescent="0.25">
      <c r="E12922"/>
      <c r="M12922"/>
    </row>
    <row r="12923" spans="5:13" x14ac:dyDescent="0.25">
      <c r="E12923"/>
      <c r="M12923"/>
    </row>
    <row r="12924" spans="5:13" x14ac:dyDescent="0.25">
      <c r="E12924"/>
      <c r="M12924"/>
    </row>
    <row r="12925" spans="5:13" x14ac:dyDescent="0.25">
      <c r="E12925"/>
      <c r="M12925"/>
    </row>
    <row r="12926" spans="5:13" x14ac:dyDescent="0.25">
      <c r="E12926"/>
      <c r="M12926"/>
    </row>
    <row r="12927" spans="5:13" x14ac:dyDescent="0.25">
      <c r="E12927"/>
      <c r="M12927"/>
    </row>
    <row r="12928" spans="5:13" x14ac:dyDescent="0.25">
      <c r="E12928"/>
      <c r="M12928"/>
    </row>
    <row r="12929" spans="5:13" x14ac:dyDescent="0.25">
      <c r="E12929"/>
      <c r="M12929"/>
    </row>
    <row r="12930" spans="5:13" x14ac:dyDescent="0.25">
      <c r="E12930"/>
      <c r="M12930"/>
    </row>
    <row r="12931" spans="5:13" x14ac:dyDescent="0.25">
      <c r="E12931"/>
      <c r="M12931"/>
    </row>
    <row r="12932" spans="5:13" x14ac:dyDescent="0.25">
      <c r="E12932"/>
      <c r="M12932"/>
    </row>
    <row r="12933" spans="5:13" x14ac:dyDescent="0.25">
      <c r="E12933"/>
      <c r="M12933"/>
    </row>
    <row r="12934" spans="5:13" x14ac:dyDescent="0.25">
      <c r="E12934"/>
      <c r="M12934"/>
    </row>
    <row r="12935" spans="5:13" x14ac:dyDescent="0.25">
      <c r="E12935"/>
      <c r="M12935"/>
    </row>
    <row r="12936" spans="5:13" x14ac:dyDescent="0.25">
      <c r="E12936"/>
      <c r="M12936"/>
    </row>
    <row r="12937" spans="5:13" x14ac:dyDescent="0.25">
      <c r="E12937"/>
      <c r="M12937"/>
    </row>
    <row r="12938" spans="5:13" x14ac:dyDescent="0.25">
      <c r="E12938"/>
      <c r="M12938"/>
    </row>
    <row r="12939" spans="5:13" x14ac:dyDescent="0.25">
      <c r="E12939"/>
      <c r="M12939"/>
    </row>
    <row r="12940" spans="5:13" x14ac:dyDescent="0.25">
      <c r="E12940"/>
      <c r="M12940"/>
    </row>
    <row r="12941" spans="5:13" x14ac:dyDescent="0.25">
      <c r="E12941"/>
      <c r="M12941"/>
    </row>
    <row r="12942" spans="5:13" x14ac:dyDescent="0.25">
      <c r="E12942"/>
      <c r="M12942"/>
    </row>
    <row r="12943" spans="5:13" x14ac:dyDescent="0.25">
      <c r="E12943"/>
      <c r="M12943"/>
    </row>
    <row r="12944" spans="5:13" x14ac:dyDescent="0.25">
      <c r="E12944"/>
      <c r="M12944"/>
    </row>
    <row r="12945" spans="5:13" x14ac:dyDescent="0.25">
      <c r="E12945"/>
      <c r="M12945"/>
    </row>
    <row r="12946" spans="5:13" x14ac:dyDescent="0.25">
      <c r="E12946"/>
      <c r="M12946"/>
    </row>
    <row r="12947" spans="5:13" x14ac:dyDescent="0.25">
      <c r="E12947"/>
      <c r="M12947"/>
    </row>
    <row r="12948" spans="5:13" x14ac:dyDescent="0.25">
      <c r="E12948"/>
      <c r="M12948"/>
    </row>
    <row r="12949" spans="5:13" x14ac:dyDescent="0.25">
      <c r="E12949"/>
      <c r="M12949"/>
    </row>
    <row r="12950" spans="5:13" x14ac:dyDescent="0.25">
      <c r="E12950"/>
      <c r="M12950"/>
    </row>
    <row r="12951" spans="5:13" x14ac:dyDescent="0.25">
      <c r="E12951"/>
      <c r="M12951"/>
    </row>
    <row r="12952" spans="5:13" x14ac:dyDescent="0.25">
      <c r="E12952"/>
      <c r="M12952"/>
    </row>
    <row r="12953" spans="5:13" x14ac:dyDescent="0.25">
      <c r="E12953"/>
      <c r="M12953"/>
    </row>
    <row r="12954" spans="5:13" x14ac:dyDescent="0.25">
      <c r="E12954"/>
      <c r="M12954"/>
    </row>
    <row r="12955" spans="5:13" x14ac:dyDescent="0.25">
      <c r="E12955"/>
      <c r="M12955"/>
    </row>
    <row r="12956" spans="5:13" x14ac:dyDescent="0.25">
      <c r="E12956"/>
      <c r="M12956"/>
    </row>
    <row r="12957" spans="5:13" x14ac:dyDescent="0.25">
      <c r="E12957"/>
      <c r="M12957"/>
    </row>
    <row r="12958" spans="5:13" x14ac:dyDescent="0.25">
      <c r="E12958"/>
      <c r="M12958"/>
    </row>
    <row r="12959" spans="5:13" x14ac:dyDescent="0.25">
      <c r="E12959"/>
      <c r="M12959"/>
    </row>
    <row r="12960" spans="5:13" x14ac:dyDescent="0.25">
      <c r="E12960"/>
      <c r="M12960"/>
    </row>
    <row r="12961" spans="5:13" x14ac:dyDescent="0.25">
      <c r="E12961"/>
      <c r="M12961"/>
    </row>
    <row r="12962" spans="5:13" x14ac:dyDescent="0.25">
      <c r="E12962"/>
      <c r="M12962"/>
    </row>
    <row r="12963" spans="5:13" x14ac:dyDescent="0.25">
      <c r="E12963"/>
      <c r="M12963"/>
    </row>
    <row r="12964" spans="5:13" x14ac:dyDescent="0.25">
      <c r="E12964"/>
      <c r="M12964"/>
    </row>
    <row r="12965" spans="5:13" x14ac:dyDescent="0.25">
      <c r="E12965"/>
      <c r="M12965"/>
    </row>
    <row r="12966" spans="5:13" x14ac:dyDescent="0.25">
      <c r="E12966"/>
      <c r="M12966"/>
    </row>
    <row r="12967" spans="5:13" x14ac:dyDescent="0.25">
      <c r="E12967"/>
      <c r="M12967"/>
    </row>
    <row r="12968" spans="5:13" x14ac:dyDescent="0.25">
      <c r="E12968"/>
      <c r="M12968"/>
    </row>
    <row r="12969" spans="5:13" x14ac:dyDescent="0.25">
      <c r="E12969"/>
      <c r="M12969"/>
    </row>
    <row r="12970" spans="5:13" x14ac:dyDescent="0.25">
      <c r="E12970"/>
      <c r="M12970"/>
    </row>
    <row r="12971" spans="5:13" x14ac:dyDescent="0.25">
      <c r="E12971"/>
      <c r="M12971"/>
    </row>
    <row r="12972" spans="5:13" x14ac:dyDescent="0.25">
      <c r="E12972"/>
      <c r="M12972"/>
    </row>
    <row r="12973" spans="5:13" x14ac:dyDescent="0.25">
      <c r="E12973"/>
      <c r="M12973"/>
    </row>
    <row r="12974" spans="5:13" x14ac:dyDescent="0.25">
      <c r="E12974"/>
      <c r="M12974"/>
    </row>
    <row r="12975" spans="5:13" x14ac:dyDescent="0.25">
      <c r="E12975"/>
      <c r="M12975"/>
    </row>
    <row r="12976" spans="5:13" x14ac:dyDescent="0.25">
      <c r="E12976"/>
      <c r="M12976"/>
    </row>
    <row r="12977" spans="5:13" x14ac:dyDescent="0.25">
      <c r="E12977"/>
      <c r="M12977"/>
    </row>
    <row r="12978" spans="5:13" x14ac:dyDescent="0.25">
      <c r="E12978"/>
      <c r="M12978"/>
    </row>
    <row r="12979" spans="5:13" x14ac:dyDescent="0.25">
      <c r="E12979"/>
      <c r="M12979"/>
    </row>
    <row r="12980" spans="5:13" x14ac:dyDescent="0.25">
      <c r="E12980"/>
      <c r="M12980"/>
    </row>
    <row r="12981" spans="5:13" x14ac:dyDescent="0.25">
      <c r="E12981"/>
      <c r="M12981"/>
    </row>
    <row r="12982" spans="5:13" x14ac:dyDescent="0.25">
      <c r="E12982"/>
      <c r="M12982"/>
    </row>
    <row r="12983" spans="5:13" x14ac:dyDescent="0.25">
      <c r="E12983"/>
      <c r="M12983"/>
    </row>
    <row r="12984" spans="5:13" x14ac:dyDescent="0.25">
      <c r="E12984"/>
      <c r="M12984"/>
    </row>
    <row r="12985" spans="5:13" x14ac:dyDescent="0.25">
      <c r="E12985"/>
      <c r="M12985"/>
    </row>
    <row r="12986" spans="5:13" x14ac:dyDescent="0.25">
      <c r="E12986"/>
      <c r="M12986"/>
    </row>
    <row r="12987" spans="5:13" x14ac:dyDescent="0.25">
      <c r="E12987"/>
      <c r="M12987"/>
    </row>
    <row r="12988" spans="5:13" x14ac:dyDescent="0.25">
      <c r="E12988"/>
      <c r="M12988"/>
    </row>
    <row r="12989" spans="5:13" x14ac:dyDescent="0.25">
      <c r="E12989"/>
      <c r="M12989"/>
    </row>
    <row r="12990" spans="5:13" x14ac:dyDescent="0.25">
      <c r="E12990"/>
      <c r="M12990"/>
    </row>
    <row r="12991" spans="5:13" x14ac:dyDescent="0.25">
      <c r="E12991"/>
      <c r="M12991"/>
    </row>
    <row r="12992" spans="5:13" x14ac:dyDescent="0.25">
      <c r="E12992"/>
      <c r="M12992"/>
    </row>
    <row r="12993" spans="5:13" x14ac:dyDescent="0.25">
      <c r="E12993"/>
      <c r="M12993"/>
    </row>
    <row r="12994" spans="5:13" x14ac:dyDescent="0.25">
      <c r="E12994"/>
      <c r="M12994"/>
    </row>
    <row r="12995" spans="5:13" x14ac:dyDescent="0.25">
      <c r="E12995"/>
      <c r="M12995"/>
    </row>
    <row r="12996" spans="5:13" x14ac:dyDescent="0.25">
      <c r="E12996"/>
      <c r="M12996"/>
    </row>
    <row r="12997" spans="5:13" x14ac:dyDescent="0.25">
      <c r="E12997"/>
      <c r="M12997"/>
    </row>
    <row r="12998" spans="5:13" x14ac:dyDescent="0.25">
      <c r="E12998"/>
      <c r="M12998"/>
    </row>
    <row r="12999" spans="5:13" x14ac:dyDescent="0.25">
      <c r="E12999"/>
      <c r="M12999"/>
    </row>
    <row r="13000" spans="5:13" x14ac:dyDescent="0.25">
      <c r="E13000"/>
      <c r="M13000"/>
    </row>
    <row r="13001" spans="5:13" x14ac:dyDescent="0.25">
      <c r="E13001"/>
      <c r="M13001"/>
    </row>
    <row r="13002" spans="5:13" x14ac:dyDescent="0.25">
      <c r="E13002"/>
      <c r="M13002"/>
    </row>
    <row r="13003" spans="5:13" x14ac:dyDescent="0.25">
      <c r="E13003"/>
      <c r="M13003"/>
    </row>
    <row r="13004" spans="5:13" x14ac:dyDescent="0.25">
      <c r="E13004"/>
      <c r="M13004"/>
    </row>
    <row r="13005" spans="5:13" x14ac:dyDescent="0.25">
      <c r="E13005"/>
      <c r="M13005"/>
    </row>
    <row r="13006" spans="5:13" x14ac:dyDescent="0.25">
      <c r="E13006"/>
      <c r="M13006"/>
    </row>
    <row r="13007" spans="5:13" x14ac:dyDescent="0.25">
      <c r="E13007"/>
      <c r="M13007"/>
    </row>
    <row r="13008" spans="5:13" x14ac:dyDescent="0.25">
      <c r="E13008"/>
      <c r="M13008"/>
    </row>
    <row r="13009" spans="5:13" x14ac:dyDescent="0.25">
      <c r="E13009"/>
      <c r="M13009"/>
    </row>
    <row r="13010" spans="5:13" x14ac:dyDescent="0.25">
      <c r="E13010"/>
      <c r="M13010"/>
    </row>
    <row r="13011" spans="5:13" x14ac:dyDescent="0.25">
      <c r="E13011"/>
      <c r="M13011"/>
    </row>
    <row r="13012" spans="5:13" x14ac:dyDescent="0.25">
      <c r="E13012"/>
      <c r="M13012"/>
    </row>
    <row r="13013" spans="5:13" x14ac:dyDescent="0.25">
      <c r="E13013"/>
      <c r="M13013"/>
    </row>
    <row r="13014" spans="5:13" x14ac:dyDescent="0.25">
      <c r="E13014"/>
      <c r="M13014"/>
    </row>
    <row r="13015" spans="5:13" x14ac:dyDescent="0.25">
      <c r="E13015"/>
      <c r="M13015"/>
    </row>
    <row r="13016" spans="5:13" x14ac:dyDescent="0.25">
      <c r="E13016"/>
      <c r="M13016"/>
    </row>
    <row r="13017" spans="5:13" x14ac:dyDescent="0.25">
      <c r="E13017"/>
      <c r="M13017"/>
    </row>
    <row r="13018" spans="5:13" x14ac:dyDescent="0.25">
      <c r="E13018"/>
      <c r="M13018"/>
    </row>
    <row r="13019" spans="5:13" x14ac:dyDescent="0.25">
      <c r="E13019"/>
      <c r="M13019"/>
    </row>
    <row r="13020" spans="5:13" x14ac:dyDescent="0.25">
      <c r="E13020"/>
      <c r="M13020"/>
    </row>
    <row r="13021" spans="5:13" x14ac:dyDescent="0.25">
      <c r="E13021"/>
      <c r="M13021"/>
    </row>
    <row r="13022" spans="5:13" x14ac:dyDescent="0.25">
      <c r="E13022"/>
      <c r="M13022"/>
    </row>
    <row r="13023" spans="5:13" x14ac:dyDescent="0.25">
      <c r="E13023"/>
      <c r="M13023"/>
    </row>
    <row r="13024" spans="5:13" x14ac:dyDescent="0.25">
      <c r="E13024"/>
      <c r="M13024"/>
    </row>
    <row r="13025" spans="5:13" x14ac:dyDescent="0.25">
      <c r="E13025"/>
      <c r="M13025"/>
    </row>
    <row r="13026" spans="5:13" x14ac:dyDescent="0.25">
      <c r="E13026"/>
      <c r="M13026"/>
    </row>
    <row r="13027" spans="5:13" x14ac:dyDescent="0.25">
      <c r="E13027"/>
      <c r="M13027"/>
    </row>
    <row r="13028" spans="5:13" x14ac:dyDescent="0.25">
      <c r="E13028"/>
      <c r="M13028"/>
    </row>
    <row r="13029" spans="5:13" x14ac:dyDescent="0.25">
      <c r="E13029"/>
      <c r="M13029"/>
    </row>
    <row r="13030" spans="5:13" x14ac:dyDescent="0.25">
      <c r="E13030"/>
      <c r="M13030"/>
    </row>
    <row r="13031" spans="5:13" x14ac:dyDescent="0.25">
      <c r="E13031"/>
      <c r="M13031"/>
    </row>
    <row r="13032" spans="5:13" x14ac:dyDescent="0.25">
      <c r="E13032"/>
      <c r="M13032"/>
    </row>
    <row r="13033" spans="5:13" x14ac:dyDescent="0.25">
      <c r="E13033"/>
      <c r="M13033"/>
    </row>
    <row r="13034" spans="5:13" x14ac:dyDescent="0.25">
      <c r="E13034"/>
      <c r="M13034"/>
    </row>
    <row r="13035" spans="5:13" x14ac:dyDescent="0.25">
      <c r="E13035"/>
      <c r="M13035"/>
    </row>
    <row r="13036" spans="5:13" x14ac:dyDescent="0.25">
      <c r="E13036"/>
      <c r="M13036"/>
    </row>
    <row r="13037" spans="5:13" x14ac:dyDescent="0.25">
      <c r="E13037"/>
      <c r="M13037"/>
    </row>
    <row r="13038" spans="5:13" x14ac:dyDescent="0.25">
      <c r="E13038"/>
      <c r="M13038"/>
    </row>
    <row r="13039" spans="5:13" x14ac:dyDescent="0.25">
      <c r="E13039"/>
      <c r="M13039"/>
    </row>
    <row r="13040" spans="5:13" x14ac:dyDescent="0.25">
      <c r="E13040"/>
      <c r="M13040"/>
    </row>
    <row r="13041" spans="5:13" x14ac:dyDescent="0.25">
      <c r="E13041"/>
      <c r="M13041"/>
    </row>
    <row r="13042" spans="5:13" x14ac:dyDescent="0.25">
      <c r="E13042"/>
      <c r="M13042"/>
    </row>
    <row r="13043" spans="5:13" x14ac:dyDescent="0.25">
      <c r="E13043"/>
      <c r="M13043"/>
    </row>
    <row r="13044" spans="5:13" x14ac:dyDescent="0.25">
      <c r="E13044"/>
      <c r="M13044"/>
    </row>
    <row r="13045" spans="5:13" x14ac:dyDescent="0.25">
      <c r="E13045"/>
      <c r="M13045"/>
    </row>
    <row r="13046" spans="5:13" x14ac:dyDescent="0.25">
      <c r="E13046"/>
      <c r="M13046"/>
    </row>
    <row r="13047" spans="5:13" x14ac:dyDescent="0.25">
      <c r="E13047"/>
      <c r="M13047"/>
    </row>
    <row r="13048" spans="5:13" x14ac:dyDescent="0.25">
      <c r="E13048"/>
      <c r="M13048"/>
    </row>
    <row r="13049" spans="5:13" x14ac:dyDescent="0.25">
      <c r="E13049"/>
      <c r="M13049"/>
    </row>
    <row r="13050" spans="5:13" x14ac:dyDescent="0.25">
      <c r="E13050"/>
      <c r="M13050"/>
    </row>
    <row r="13051" spans="5:13" x14ac:dyDescent="0.25">
      <c r="E13051"/>
      <c r="M13051"/>
    </row>
    <row r="13052" spans="5:13" x14ac:dyDescent="0.25">
      <c r="E13052"/>
      <c r="M13052"/>
    </row>
    <row r="13053" spans="5:13" x14ac:dyDescent="0.25">
      <c r="E13053"/>
      <c r="M13053"/>
    </row>
    <row r="13054" spans="5:13" x14ac:dyDescent="0.25">
      <c r="E13054"/>
      <c r="M13054"/>
    </row>
    <row r="13055" spans="5:13" x14ac:dyDescent="0.25">
      <c r="E13055"/>
      <c r="M13055"/>
    </row>
    <row r="13056" spans="5:13" x14ac:dyDescent="0.25">
      <c r="E13056"/>
      <c r="M13056"/>
    </row>
    <row r="13057" spans="5:13" x14ac:dyDescent="0.25">
      <c r="E13057"/>
      <c r="M13057"/>
    </row>
    <row r="13058" spans="5:13" x14ac:dyDescent="0.25">
      <c r="E13058"/>
      <c r="M13058"/>
    </row>
    <row r="13059" spans="5:13" x14ac:dyDescent="0.25">
      <c r="E13059"/>
      <c r="M13059"/>
    </row>
    <row r="13060" spans="5:13" x14ac:dyDescent="0.25">
      <c r="E13060"/>
      <c r="M13060"/>
    </row>
    <row r="13061" spans="5:13" x14ac:dyDescent="0.25">
      <c r="E13061"/>
      <c r="M13061"/>
    </row>
    <row r="13062" spans="5:13" x14ac:dyDescent="0.25">
      <c r="E13062"/>
      <c r="M13062"/>
    </row>
    <row r="13063" spans="5:13" x14ac:dyDescent="0.25">
      <c r="E13063"/>
      <c r="M13063"/>
    </row>
    <row r="13064" spans="5:13" x14ac:dyDescent="0.25">
      <c r="E13064"/>
      <c r="M13064"/>
    </row>
    <row r="13065" spans="5:13" x14ac:dyDescent="0.25">
      <c r="E13065"/>
      <c r="M13065"/>
    </row>
    <row r="13066" spans="5:13" x14ac:dyDescent="0.25">
      <c r="E13066"/>
      <c r="M13066"/>
    </row>
    <row r="13067" spans="5:13" x14ac:dyDescent="0.25">
      <c r="E13067"/>
      <c r="M13067"/>
    </row>
    <row r="13068" spans="5:13" x14ac:dyDescent="0.25">
      <c r="E13068"/>
      <c r="M13068"/>
    </row>
    <row r="13069" spans="5:13" x14ac:dyDescent="0.25">
      <c r="E13069"/>
      <c r="M13069"/>
    </row>
    <row r="13070" spans="5:13" x14ac:dyDescent="0.25">
      <c r="E13070"/>
      <c r="M13070"/>
    </row>
    <row r="13071" spans="5:13" x14ac:dyDescent="0.25">
      <c r="E13071"/>
      <c r="M13071"/>
    </row>
    <row r="13072" spans="5:13" x14ac:dyDescent="0.25">
      <c r="E13072"/>
      <c r="M13072"/>
    </row>
    <row r="13073" spans="5:13" x14ac:dyDescent="0.25">
      <c r="E13073"/>
      <c r="M13073"/>
    </row>
    <row r="13074" spans="5:13" x14ac:dyDescent="0.25">
      <c r="E13074"/>
      <c r="M13074"/>
    </row>
    <row r="13075" spans="5:13" x14ac:dyDescent="0.25">
      <c r="E13075"/>
      <c r="M13075"/>
    </row>
    <row r="13076" spans="5:13" x14ac:dyDescent="0.25">
      <c r="E13076"/>
      <c r="M13076"/>
    </row>
    <row r="13077" spans="5:13" x14ac:dyDescent="0.25">
      <c r="E13077"/>
      <c r="M13077"/>
    </row>
    <row r="13078" spans="5:13" x14ac:dyDescent="0.25">
      <c r="E13078"/>
      <c r="M13078"/>
    </row>
    <row r="13079" spans="5:13" x14ac:dyDescent="0.25">
      <c r="E13079"/>
      <c r="M13079"/>
    </row>
    <row r="13080" spans="5:13" x14ac:dyDescent="0.25">
      <c r="E13080"/>
      <c r="M13080"/>
    </row>
    <row r="13081" spans="5:13" x14ac:dyDescent="0.25">
      <c r="E13081"/>
      <c r="M13081"/>
    </row>
    <row r="13082" spans="5:13" x14ac:dyDescent="0.25">
      <c r="E13082"/>
      <c r="M13082"/>
    </row>
    <row r="13083" spans="5:13" x14ac:dyDescent="0.25">
      <c r="E13083"/>
      <c r="M13083"/>
    </row>
    <row r="13084" spans="5:13" x14ac:dyDescent="0.25">
      <c r="E13084"/>
      <c r="M13084"/>
    </row>
    <row r="13085" spans="5:13" x14ac:dyDescent="0.25">
      <c r="E13085"/>
      <c r="M13085"/>
    </row>
    <row r="13086" spans="5:13" x14ac:dyDescent="0.25">
      <c r="E13086"/>
      <c r="M13086"/>
    </row>
    <row r="13087" spans="5:13" x14ac:dyDescent="0.25">
      <c r="E13087"/>
      <c r="M13087"/>
    </row>
    <row r="13088" spans="5:13" x14ac:dyDescent="0.25">
      <c r="E13088"/>
      <c r="M13088"/>
    </row>
    <row r="13089" spans="5:13" x14ac:dyDescent="0.25">
      <c r="E13089"/>
      <c r="M13089"/>
    </row>
    <row r="13090" spans="5:13" x14ac:dyDescent="0.25">
      <c r="E13090"/>
      <c r="M13090"/>
    </row>
    <row r="13091" spans="5:13" x14ac:dyDescent="0.25">
      <c r="E13091"/>
      <c r="M13091"/>
    </row>
    <row r="13092" spans="5:13" x14ac:dyDescent="0.25">
      <c r="E13092"/>
      <c r="M13092"/>
    </row>
    <row r="13093" spans="5:13" x14ac:dyDescent="0.25">
      <c r="E13093"/>
      <c r="M13093"/>
    </row>
    <row r="13094" spans="5:13" x14ac:dyDescent="0.25">
      <c r="E13094"/>
      <c r="M13094"/>
    </row>
    <row r="13095" spans="5:13" x14ac:dyDescent="0.25">
      <c r="E13095"/>
      <c r="M13095"/>
    </row>
    <row r="13096" spans="5:13" x14ac:dyDescent="0.25">
      <c r="E13096"/>
      <c r="M13096"/>
    </row>
    <row r="13097" spans="5:13" x14ac:dyDescent="0.25">
      <c r="E13097"/>
      <c r="M13097"/>
    </row>
    <row r="13098" spans="5:13" x14ac:dyDescent="0.25">
      <c r="E13098"/>
      <c r="M13098"/>
    </row>
    <row r="13099" spans="5:13" x14ac:dyDescent="0.25">
      <c r="E13099"/>
      <c r="M13099"/>
    </row>
    <row r="13100" spans="5:13" x14ac:dyDescent="0.25">
      <c r="E13100"/>
      <c r="M13100"/>
    </row>
    <row r="13101" spans="5:13" x14ac:dyDescent="0.25">
      <c r="E13101"/>
      <c r="M13101"/>
    </row>
    <row r="13102" spans="5:13" x14ac:dyDescent="0.25">
      <c r="E13102"/>
      <c r="M13102"/>
    </row>
    <row r="13103" spans="5:13" x14ac:dyDescent="0.25">
      <c r="E13103"/>
      <c r="M13103"/>
    </row>
    <row r="13104" spans="5:13" x14ac:dyDescent="0.25">
      <c r="E13104"/>
      <c r="M13104"/>
    </row>
    <row r="13105" spans="5:13" x14ac:dyDescent="0.25">
      <c r="E13105"/>
      <c r="M13105"/>
    </row>
    <row r="13106" spans="5:13" x14ac:dyDescent="0.25">
      <c r="E13106"/>
      <c r="M13106"/>
    </row>
    <row r="13107" spans="5:13" x14ac:dyDescent="0.25">
      <c r="E13107"/>
      <c r="M13107"/>
    </row>
    <row r="13108" spans="5:13" x14ac:dyDescent="0.25">
      <c r="E13108"/>
      <c r="M13108"/>
    </row>
    <row r="13109" spans="5:13" x14ac:dyDescent="0.25">
      <c r="E13109"/>
      <c r="M13109"/>
    </row>
    <row r="13110" spans="5:13" x14ac:dyDescent="0.25">
      <c r="E13110"/>
      <c r="M13110"/>
    </row>
    <row r="13111" spans="5:13" x14ac:dyDescent="0.25">
      <c r="E13111"/>
      <c r="M13111"/>
    </row>
    <row r="13112" spans="5:13" x14ac:dyDescent="0.25">
      <c r="E13112"/>
      <c r="M13112"/>
    </row>
    <row r="13113" spans="5:13" x14ac:dyDescent="0.25">
      <c r="E13113"/>
      <c r="M13113"/>
    </row>
    <row r="13114" spans="5:13" x14ac:dyDescent="0.25">
      <c r="E13114"/>
      <c r="M13114"/>
    </row>
    <row r="13115" spans="5:13" x14ac:dyDescent="0.25">
      <c r="E13115"/>
      <c r="M13115"/>
    </row>
    <row r="13116" spans="5:13" x14ac:dyDescent="0.25">
      <c r="E13116"/>
      <c r="M13116"/>
    </row>
    <row r="13117" spans="5:13" x14ac:dyDescent="0.25">
      <c r="E13117"/>
      <c r="M13117"/>
    </row>
    <row r="13118" spans="5:13" x14ac:dyDescent="0.25">
      <c r="E13118"/>
      <c r="M13118"/>
    </row>
    <row r="13119" spans="5:13" x14ac:dyDescent="0.25">
      <c r="E13119"/>
      <c r="M13119"/>
    </row>
    <row r="13120" spans="5:13" x14ac:dyDescent="0.25">
      <c r="E13120"/>
      <c r="M13120"/>
    </row>
    <row r="13121" spans="5:13" x14ac:dyDescent="0.25">
      <c r="E13121"/>
      <c r="M13121"/>
    </row>
    <row r="13122" spans="5:13" x14ac:dyDescent="0.25">
      <c r="E13122"/>
      <c r="M13122"/>
    </row>
    <row r="13123" spans="5:13" x14ac:dyDescent="0.25">
      <c r="E13123"/>
      <c r="M13123"/>
    </row>
    <row r="13124" spans="5:13" x14ac:dyDescent="0.25">
      <c r="E13124"/>
      <c r="M13124"/>
    </row>
    <row r="13125" spans="5:13" x14ac:dyDescent="0.25">
      <c r="E13125"/>
      <c r="M13125"/>
    </row>
    <row r="13126" spans="5:13" x14ac:dyDescent="0.25">
      <c r="E13126"/>
      <c r="M13126"/>
    </row>
    <row r="13127" spans="5:13" x14ac:dyDescent="0.25">
      <c r="E13127"/>
      <c r="M13127"/>
    </row>
    <row r="13128" spans="5:13" x14ac:dyDescent="0.25">
      <c r="E13128"/>
      <c r="M13128"/>
    </row>
    <row r="13129" spans="5:13" x14ac:dyDescent="0.25">
      <c r="E13129"/>
      <c r="M13129"/>
    </row>
    <row r="13130" spans="5:13" x14ac:dyDescent="0.25">
      <c r="E13130"/>
      <c r="M13130"/>
    </row>
    <row r="13131" spans="5:13" x14ac:dyDescent="0.25">
      <c r="E13131"/>
      <c r="M13131"/>
    </row>
    <row r="13132" spans="5:13" x14ac:dyDescent="0.25">
      <c r="E13132"/>
      <c r="M13132"/>
    </row>
    <row r="13133" spans="5:13" x14ac:dyDescent="0.25">
      <c r="E13133"/>
      <c r="M13133"/>
    </row>
    <row r="13134" spans="5:13" x14ac:dyDescent="0.25">
      <c r="E13134"/>
      <c r="M13134"/>
    </row>
    <row r="13135" spans="5:13" x14ac:dyDescent="0.25">
      <c r="E13135"/>
      <c r="M13135"/>
    </row>
    <row r="13136" spans="5:13" x14ac:dyDescent="0.25">
      <c r="E13136"/>
      <c r="M13136"/>
    </row>
    <row r="13137" spans="5:13" x14ac:dyDescent="0.25">
      <c r="E13137"/>
      <c r="M13137"/>
    </row>
    <row r="13138" spans="5:13" x14ac:dyDescent="0.25">
      <c r="E13138"/>
      <c r="M13138"/>
    </row>
    <row r="13139" spans="5:13" x14ac:dyDescent="0.25">
      <c r="E13139"/>
      <c r="M13139"/>
    </row>
    <row r="13140" spans="5:13" x14ac:dyDescent="0.25">
      <c r="E13140"/>
      <c r="M13140"/>
    </row>
    <row r="13141" spans="5:13" x14ac:dyDescent="0.25">
      <c r="E13141"/>
      <c r="M13141"/>
    </row>
    <row r="13142" spans="5:13" x14ac:dyDescent="0.25">
      <c r="E13142"/>
      <c r="M13142"/>
    </row>
    <row r="13143" spans="5:13" x14ac:dyDescent="0.25">
      <c r="E13143"/>
      <c r="M13143"/>
    </row>
    <row r="13144" spans="5:13" x14ac:dyDescent="0.25">
      <c r="E13144"/>
      <c r="M13144"/>
    </row>
    <row r="13145" spans="5:13" x14ac:dyDescent="0.25">
      <c r="E13145"/>
      <c r="M13145"/>
    </row>
    <row r="13146" spans="5:13" x14ac:dyDescent="0.25">
      <c r="E13146"/>
      <c r="M13146"/>
    </row>
    <row r="13147" spans="5:13" x14ac:dyDescent="0.25">
      <c r="E13147"/>
      <c r="M13147"/>
    </row>
    <row r="13148" spans="5:13" x14ac:dyDescent="0.25">
      <c r="E13148"/>
      <c r="M13148"/>
    </row>
    <row r="13149" spans="5:13" x14ac:dyDescent="0.25">
      <c r="E13149"/>
      <c r="M13149"/>
    </row>
    <row r="13150" spans="5:13" x14ac:dyDescent="0.25">
      <c r="E13150"/>
      <c r="M13150"/>
    </row>
    <row r="13151" spans="5:13" x14ac:dyDescent="0.25">
      <c r="E13151"/>
      <c r="M13151"/>
    </row>
    <row r="13152" spans="5:13" x14ac:dyDescent="0.25">
      <c r="E13152"/>
      <c r="M13152"/>
    </row>
    <row r="13153" spans="5:13" x14ac:dyDescent="0.25">
      <c r="E13153"/>
      <c r="M13153"/>
    </row>
    <row r="13154" spans="5:13" x14ac:dyDescent="0.25">
      <c r="E13154"/>
      <c r="M13154"/>
    </row>
    <row r="13155" spans="5:13" x14ac:dyDescent="0.25">
      <c r="E13155"/>
      <c r="M13155"/>
    </row>
    <row r="13156" spans="5:13" x14ac:dyDescent="0.25">
      <c r="E13156"/>
      <c r="M13156"/>
    </row>
    <row r="13157" spans="5:13" x14ac:dyDescent="0.25">
      <c r="E13157"/>
      <c r="M13157"/>
    </row>
    <row r="13158" spans="5:13" x14ac:dyDescent="0.25">
      <c r="E13158"/>
      <c r="M13158"/>
    </row>
    <row r="13159" spans="5:13" x14ac:dyDescent="0.25">
      <c r="E13159"/>
      <c r="M13159"/>
    </row>
    <row r="13160" spans="5:13" x14ac:dyDescent="0.25">
      <c r="E13160"/>
      <c r="M13160"/>
    </row>
    <row r="13161" spans="5:13" x14ac:dyDescent="0.25">
      <c r="E13161"/>
      <c r="M13161"/>
    </row>
    <row r="13162" spans="5:13" x14ac:dyDescent="0.25">
      <c r="E13162"/>
      <c r="M13162"/>
    </row>
    <row r="13163" spans="5:13" x14ac:dyDescent="0.25">
      <c r="E13163"/>
      <c r="M13163"/>
    </row>
    <row r="13164" spans="5:13" x14ac:dyDescent="0.25">
      <c r="E13164"/>
      <c r="M13164"/>
    </row>
    <row r="13165" spans="5:13" x14ac:dyDescent="0.25">
      <c r="E13165"/>
      <c r="M13165"/>
    </row>
    <row r="13166" spans="5:13" x14ac:dyDescent="0.25">
      <c r="E13166"/>
      <c r="M13166"/>
    </row>
    <row r="13167" spans="5:13" x14ac:dyDescent="0.25">
      <c r="E13167"/>
      <c r="M13167"/>
    </row>
    <row r="13168" spans="5:13" x14ac:dyDescent="0.25">
      <c r="E13168"/>
      <c r="M13168"/>
    </row>
    <row r="13169" spans="5:13" x14ac:dyDescent="0.25">
      <c r="E13169"/>
      <c r="M13169"/>
    </row>
    <row r="13170" spans="5:13" x14ac:dyDescent="0.25">
      <c r="E13170"/>
      <c r="M13170"/>
    </row>
    <row r="13171" spans="5:13" x14ac:dyDescent="0.25">
      <c r="E13171"/>
      <c r="M13171"/>
    </row>
    <row r="13172" spans="5:13" x14ac:dyDescent="0.25">
      <c r="E13172"/>
      <c r="M13172"/>
    </row>
    <row r="13173" spans="5:13" x14ac:dyDescent="0.25">
      <c r="E13173"/>
      <c r="M13173"/>
    </row>
    <row r="13174" spans="5:13" x14ac:dyDescent="0.25">
      <c r="E13174"/>
      <c r="M13174"/>
    </row>
    <row r="13175" spans="5:13" x14ac:dyDescent="0.25">
      <c r="E13175"/>
      <c r="M13175"/>
    </row>
    <row r="13176" spans="5:13" x14ac:dyDescent="0.25">
      <c r="E13176"/>
      <c r="M13176"/>
    </row>
    <row r="13177" spans="5:13" x14ac:dyDescent="0.25">
      <c r="E13177"/>
      <c r="M13177"/>
    </row>
    <row r="13178" spans="5:13" x14ac:dyDescent="0.25">
      <c r="E13178"/>
      <c r="M13178"/>
    </row>
    <row r="13179" spans="5:13" x14ac:dyDescent="0.25">
      <c r="E13179"/>
      <c r="M13179"/>
    </row>
    <row r="13180" spans="5:13" x14ac:dyDescent="0.25">
      <c r="E13180"/>
      <c r="M13180"/>
    </row>
    <row r="13181" spans="5:13" x14ac:dyDescent="0.25">
      <c r="E13181"/>
      <c r="M13181"/>
    </row>
    <row r="13182" spans="5:13" x14ac:dyDescent="0.25">
      <c r="E13182"/>
      <c r="M13182"/>
    </row>
    <row r="13183" spans="5:13" x14ac:dyDescent="0.25">
      <c r="E13183"/>
      <c r="M13183"/>
    </row>
    <row r="13184" spans="5:13" x14ac:dyDescent="0.25">
      <c r="E13184"/>
      <c r="M13184"/>
    </row>
    <row r="13185" spans="5:13" x14ac:dyDescent="0.25">
      <c r="E13185"/>
      <c r="M13185"/>
    </row>
    <row r="13186" spans="5:13" x14ac:dyDescent="0.25">
      <c r="E13186"/>
      <c r="M13186"/>
    </row>
    <row r="13187" spans="5:13" x14ac:dyDescent="0.25">
      <c r="E13187"/>
      <c r="M13187"/>
    </row>
    <row r="13188" spans="5:13" x14ac:dyDescent="0.25">
      <c r="E13188"/>
      <c r="M13188"/>
    </row>
    <row r="13189" spans="5:13" x14ac:dyDescent="0.25">
      <c r="E13189"/>
      <c r="M13189"/>
    </row>
    <row r="13190" spans="5:13" x14ac:dyDescent="0.25">
      <c r="E13190"/>
      <c r="M13190"/>
    </row>
    <row r="13191" spans="5:13" x14ac:dyDescent="0.25">
      <c r="E13191"/>
      <c r="M13191"/>
    </row>
    <row r="13192" spans="5:13" x14ac:dyDescent="0.25">
      <c r="E13192"/>
      <c r="M13192"/>
    </row>
    <row r="13193" spans="5:13" x14ac:dyDescent="0.25">
      <c r="E13193"/>
      <c r="M13193"/>
    </row>
    <row r="13194" spans="5:13" x14ac:dyDescent="0.25">
      <c r="E13194"/>
      <c r="M13194"/>
    </row>
    <row r="13195" spans="5:13" x14ac:dyDescent="0.25">
      <c r="E13195"/>
      <c r="M13195"/>
    </row>
    <row r="13196" spans="5:13" x14ac:dyDescent="0.25">
      <c r="E13196"/>
      <c r="M13196"/>
    </row>
    <row r="13197" spans="5:13" x14ac:dyDescent="0.25">
      <c r="E13197"/>
      <c r="M13197"/>
    </row>
    <row r="13198" spans="5:13" x14ac:dyDescent="0.25">
      <c r="E13198"/>
      <c r="M13198"/>
    </row>
    <row r="13199" spans="5:13" x14ac:dyDescent="0.25">
      <c r="E13199"/>
      <c r="M13199"/>
    </row>
    <row r="13200" spans="5:13" x14ac:dyDescent="0.25">
      <c r="E13200"/>
      <c r="M13200"/>
    </row>
    <row r="13201" spans="5:13" x14ac:dyDescent="0.25">
      <c r="E13201"/>
      <c r="M13201"/>
    </row>
    <row r="13202" spans="5:13" x14ac:dyDescent="0.25">
      <c r="E13202"/>
      <c r="M13202"/>
    </row>
    <row r="13203" spans="5:13" x14ac:dyDescent="0.25">
      <c r="E13203"/>
      <c r="M13203"/>
    </row>
    <row r="13204" spans="5:13" x14ac:dyDescent="0.25">
      <c r="E13204"/>
      <c r="M13204"/>
    </row>
    <row r="13205" spans="5:13" x14ac:dyDescent="0.25">
      <c r="E13205"/>
      <c r="M13205"/>
    </row>
    <row r="13206" spans="5:13" x14ac:dyDescent="0.25">
      <c r="E13206"/>
      <c r="M13206"/>
    </row>
    <row r="13207" spans="5:13" x14ac:dyDescent="0.25">
      <c r="E13207"/>
      <c r="M13207"/>
    </row>
    <row r="13208" spans="5:13" x14ac:dyDescent="0.25">
      <c r="E13208"/>
      <c r="M13208"/>
    </row>
    <row r="13209" spans="5:13" x14ac:dyDescent="0.25">
      <c r="E13209"/>
      <c r="M13209"/>
    </row>
    <row r="13210" spans="5:13" x14ac:dyDescent="0.25">
      <c r="E13210"/>
      <c r="M13210"/>
    </row>
    <row r="13211" spans="5:13" x14ac:dyDescent="0.25">
      <c r="E13211"/>
      <c r="M13211"/>
    </row>
    <row r="13212" spans="5:13" x14ac:dyDescent="0.25">
      <c r="E13212"/>
      <c r="M13212"/>
    </row>
    <row r="13213" spans="5:13" x14ac:dyDescent="0.25">
      <c r="E13213"/>
      <c r="M13213"/>
    </row>
    <row r="13214" spans="5:13" x14ac:dyDescent="0.25">
      <c r="E13214"/>
      <c r="M13214"/>
    </row>
    <row r="13215" spans="5:13" x14ac:dyDescent="0.25">
      <c r="E13215"/>
      <c r="M13215"/>
    </row>
    <row r="13216" spans="5:13" x14ac:dyDescent="0.25">
      <c r="E13216"/>
      <c r="M13216"/>
    </row>
    <row r="13217" spans="5:13" x14ac:dyDescent="0.25">
      <c r="E13217"/>
      <c r="M13217"/>
    </row>
    <row r="13218" spans="5:13" x14ac:dyDescent="0.25">
      <c r="E13218"/>
      <c r="M13218"/>
    </row>
    <row r="13219" spans="5:13" x14ac:dyDescent="0.25">
      <c r="E13219"/>
      <c r="M13219"/>
    </row>
    <row r="13220" spans="5:13" x14ac:dyDescent="0.25">
      <c r="E13220"/>
      <c r="M13220"/>
    </row>
    <row r="13221" spans="5:13" x14ac:dyDescent="0.25">
      <c r="E13221"/>
      <c r="M13221"/>
    </row>
    <row r="13222" spans="5:13" x14ac:dyDescent="0.25">
      <c r="E13222"/>
      <c r="M13222"/>
    </row>
    <row r="13223" spans="5:13" x14ac:dyDescent="0.25">
      <c r="E13223"/>
      <c r="M13223"/>
    </row>
    <row r="13224" spans="5:13" x14ac:dyDescent="0.25">
      <c r="E13224"/>
      <c r="M13224"/>
    </row>
    <row r="13225" spans="5:13" x14ac:dyDescent="0.25">
      <c r="E13225"/>
      <c r="M13225"/>
    </row>
    <row r="13226" spans="5:13" x14ac:dyDescent="0.25">
      <c r="E13226"/>
      <c r="M13226"/>
    </row>
    <row r="13227" spans="5:13" x14ac:dyDescent="0.25">
      <c r="E13227"/>
      <c r="M13227"/>
    </row>
    <row r="13228" spans="5:13" x14ac:dyDescent="0.25">
      <c r="E13228"/>
      <c r="M13228"/>
    </row>
    <row r="13229" spans="5:13" x14ac:dyDescent="0.25">
      <c r="E13229"/>
      <c r="M13229"/>
    </row>
    <row r="13230" spans="5:13" x14ac:dyDescent="0.25">
      <c r="E13230"/>
      <c r="M13230"/>
    </row>
    <row r="13231" spans="5:13" x14ac:dyDescent="0.25">
      <c r="E13231"/>
      <c r="M13231"/>
    </row>
    <row r="13232" spans="5:13" x14ac:dyDescent="0.25">
      <c r="E13232"/>
      <c r="M13232"/>
    </row>
    <row r="13233" spans="5:13" x14ac:dyDescent="0.25">
      <c r="E13233"/>
      <c r="M13233"/>
    </row>
    <row r="13234" spans="5:13" x14ac:dyDescent="0.25">
      <c r="E13234"/>
      <c r="M13234"/>
    </row>
    <row r="13235" spans="5:13" x14ac:dyDescent="0.25">
      <c r="E13235"/>
      <c r="M13235"/>
    </row>
    <row r="13236" spans="5:13" x14ac:dyDescent="0.25">
      <c r="E13236"/>
      <c r="M13236"/>
    </row>
    <row r="13237" spans="5:13" x14ac:dyDescent="0.25">
      <c r="E13237"/>
      <c r="M13237"/>
    </row>
    <row r="13238" spans="5:13" x14ac:dyDescent="0.25">
      <c r="E13238"/>
      <c r="M13238"/>
    </row>
    <row r="13239" spans="5:13" x14ac:dyDescent="0.25">
      <c r="E13239"/>
      <c r="M13239"/>
    </row>
    <row r="13240" spans="5:13" x14ac:dyDescent="0.25">
      <c r="E13240"/>
      <c r="M13240"/>
    </row>
    <row r="13241" spans="5:13" x14ac:dyDescent="0.25">
      <c r="E13241"/>
      <c r="M13241"/>
    </row>
    <row r="13242" spans="5:13" x14ac:dyDescent="0.25">
      <c r="E13242"/>
      <c r="M13242"/>
    </row>
    <row r="13243" spans="5:13" x14ac:dyDescent="0.25">
      <c r="E13243"/>
      <c r="M13243"/>
    </row>
    <row r="13244" spans="5:13" x14ac:dyDescent="0.25">
      <c r="E13244"/>
      <c r="M13244"/>
    </row>
    <row r="13245" spans="5:13" x14ac:dyDescent="0.25">
      <c r="E13245"/>
      <c r="M13245"/>
    </row>
    <row r="13246" spans="5:13" x14ac:dyDescent="0.25">
      <c r="E13246"/>
      <c r="M13246"/>
    </row>
    <row r="13247" spans="5:13" x14ac:dyDescent="0.25">
      <c r="E13247"/>
      <c r="M13247"/>
    </row>
    <row r="13248" spans="5:13" x14ac:dyDescent="0.25">
      <c r="E13248"/>
      <c r="M13248"/>
    </row>
    <row r="13249" spans="5:13" x14ac:dyDescent="0.25">
      <c r="E13249"/>
      <c r="M13249"/>
    </row>
    <row r="13250" spans="5:13" x14ac:dyDescent="0.25">
      <c r="E13250"/>
      <c r="M13250"/>
    </row>
    <row r="13251" spans="5:13" x14ac:dyDescent="0.25">
      <c r="E13251"/>
      <c r="M13251"/>
    </row>
    <row r="13252" spans="5:13" x14ac:dyDescent="0.25">
      <c r="E13252"/>
      <c r="M13252"/>
    </row>
    <row r="13253" spans="5:13" x14ac:dyDescent="0.25">
      <c r="E13253"/>
      <c r="M13253"/>
    </row>
    <row r="13254" spans="5:13" x14ac:dyDescent="0.25">
      <c r="E13254"/>
      <c r="M13254"/>
    </row>
    <row r="13255" spans="5:13" x14ac:dyDescent="0.25">
      <c r="E13255"/>
      <c r="M13255"/>
    </row>
    <row r="13256" spans="5:13" x14ac:dyDescent="0.25">
      <c r="E13256"/>
      <c r="M13256"/>
    </row>
    <row r="13257" spans="5:13" x14ac:dyDescent="0.25">
      <c r="E13257"/>
      <c r="M13257"/>
    </row>
    <row r="13258" spans="5:13" x14ac:dyDescent="0.25">
      <c r="E13258"/>
      <c r="M13258"/>
    </row>
    <row r="13259" spans="5:13" x14ac:dyDescent="0.25">
      <c r="E13259"/>
      <c r="M13259"/>
    </row>
    <row r="13260" spans="5:13" x14ac:dyDescent="0.25">
      <c r="E13260"/>
      <c r="M13260"/>
    </row>
    <row r="13261" spans="5:13" x14ac:dyDescent="0.25">
      <c r="E13261"/>
      <c r="M13261"/>
    </row>
    <row r="13262" spans="5:13" x14ac:dyDescent="0.25">
      <c r="E13262"/>
      <c r="M13262"/>
    </row>
    <row r="13263" spans="5:13" x14ac:dyDescent="0.25">
      <c r="E13263"/>
      <c r="M13263"/>
    </row>
    <row r="13264" spans="5:13" x14ac:dyDescent="0.25">
      <c r="E13264"/>
      <c r="M13264"/>
    </row>
    <row r="13265" spans="5:13" x14ac:dyDescent="0.25">
      <c r="E13265"/>
      <c r="M13265"/>
    </row>
    <row r="13266" spans="5:13" x14ac:dyDescent="0.25">
      <c r="E13266"/>
      <c r="M13266"/>
    </row>
    <row r="13267" spans="5:13" x14ac:dyDescent="0.25">
      <c r="E13267"/>
      <c r="M13267"/>
    </row>
    <row r="13268" spans="5:13" x14ac:dyDescent="0.25">
      <c r="E13268"/>
      <c r="M13268"/>
    </row>
    <row r="13269" spans="5:13" x14ac:dyDescent="0.25">
      <c r="E13269"/>
      <c r="M13269"/>
    </row>
    <row r="13270" spans="5:13" x14ac:dyDescent="0.25">
      <c r="E13270"/>
      <c r="M13270"/>
    </row>
    <row r="13271" spans="5:13" x14ac:dyDescent="0.25">
      <c r="E13271"/>
      <c r="M13271"/>
    </row>
    <row r="13272" spans="5:13" x14ac:dyDescent="0.25">
      <c r="E13272"/>
      <c r="M13272"/>
    </row>
    <row r="13273" spans="5:13" x14ac:dyDescent="0.25">
      <c r="E13273"/>
      <c r="M13273"/>
    </row>
    <row r="13274" spans="5:13" x14ac:dyDescent="0.25">
      <c r="E13274"/>
      <c r="M13274"/>
    </row>
    <row r="13275" spans="5:13" x14ac:dyDescent="0.25">
      <c r="E13275"/>
      <c r="M13275"/>
    </row>
    <row r="13276" spans="5:13" x14ac:dyDescent="0.25">
      <c r="E13276"/>
      <c r="M13276"/>
    </row>
    <row r="13277" spans="5:13" x14ac:dyDescent="0.25">
      <c r="E13277"/>
      <c r="M13277"/>
    </row>
    <row r="13278" spans="5:13" x14ac:dyDescent="0.25">
      <c r="E13278"/>
      <c r="M13278"/>
    </row>
    <row r="13279" spans="5:13" x14ac:dyDescent="0.25">
      <c r="E13279"/>
      <c r="M13279"/>
    </row>
    <row r="13280" spans="5:13" x14ac:dyDescent="0.25">
      <c r="E13280"/>
      <c r="M13280"/>
    </row>
    <row r="13281" spans="5:13" x14ac:dyDescent="0.25">
      <c r="E13281"/>
      <c r="M13281"/>
    </row>
    <row r="13282" spans="5:13" x14ac:dyDescent="0.25">
      <c r="E13282"/>
      <c r="M13282"/>
    </row>
    <row r="13283" spans="5:13" x14ac:dyDescent="0.25">
      <c r="E13283"/>
      <c r="M13283"/>
    </row>
    <row r="13284" spans="5:13" x14ac:dyDescent="0.25">
      <c r="E13284"/>
      <c r="M13284"/>
    </row>
    <row r="13285" spans="5:13" x14ac:dyDescent="0.25">
      <c r="E13285"/>
      <c r="M13285"/>
    </row>
    <row r="13286" spans="5:13" x14ac:dyDescent="0.25">
      <c r="E13286"/>
      <c r="M13286"/>
    </row>
    <row r="13287" spans="5:13" x14ac:dyDescent="0.25">
      <c r="E13287"/>
      <c r="M13287"/>
    </row>
    <row r="13288" spans="5:13" x14ac:dyDescent="0.25">
      <c r="E13288"/>
      <c r="M13288"/>
    </row>
    <row r="13289" spans="5:13" x14ac:dyDescent="0.25">
      <c r="E13289"/>
      <c r="M13289"/>
    </row>
    <row r="13290" spans="5:13" x14ac:dyDescent="0.25">
      <c r="E13290"/>
      <c r="M13290"/>
    </row>
    <row r="13291" spans="5:13" x14ac:dyDescent="0.25">
      <c r="E13291"/>
      <c r="M13291"/>
    </row>
    <row r="13292" spans="5:13" x14ac:dyDescent="0.25">
      <c r="E13292"/>
      <c r="M13292"/>
    </row>
    <row r="13293" spans="5:13" x14ac:dyDescent="0.25">
      <c r="E13293"/>
      <c r="M13293"/>
    </row>
    <row r="13294" spans="5:13" x14ac:dyDescent="0.25">
      <c r="E13294"/>
      <c r="M13294"/>
    </row>
    <row r="13295" spans="5:13" x14ac:dyDescent="0.25">
      <c r="E13295"/>
      <c r="M13295"/>
    </row>
    <row r="13296" spans="5:13" x14ac:dyDescent="0.25">
      <c r="E13296"/>
      <c r="M13296"/>
    </row>
    <row r="13297" spans="5:13" x14ac:dyDescent="0.25">
      <c r="E13297"/>
      <c r="M13297"/>
    </row>
    <row r="13298" spans="5:13" x14ac:dyDescent="0.25">
      <c r="E13298"/>
      <c r="M13298"/>
    </row>
    <row r="13299" spans="5:13" x14ac:dyDescent="0.25">
      <c r="E13299"/>
      <c r="M13299"/>
    </row>
    <row r="13300" spans="5:13" x14ac:dyDescent="0.25">
      <c r="E13300"/>
      <c r="M13300"/>
    </row>
    <row r="13301" spans="5:13" x14ac:dyDescent="0.25">
      <c r="E13301"/>
      <c r="M13301"/>
    </row>
    <row r="13302" spans="5:13" x14ac:dyDescent="0.25">
      <c r="E13302"/>
      <c r="M13302"/>
    </row>
    <row r="13303" spans="5:13" x14ac:dyDescent="0.25">
      <c r="E13303"/>
      <c r="M13303"/>
    </row>
    <row r="13304" spans="5:13" x14ac:dyDescent="0.25">
      <c r="E13304"/>
      <c r="M13304"/>
    </row>
    <row r="13305" spans="5:13" x14ac:dyDescent="0.25">
      <c r="E13305"/>
      <c r="M13305"/>
    </row>
    <row r="13306" spans="5:13" x14ac:dyDescent="0.25">
      <c r="E13306"/>
      <c r="M13306"/>
    </row>
    <row r="13307" spans="5:13" x14ac:dyDescent="0.25">
      <c r="E13307"/>
      <c r="M13307"/>
    </row>
    <row r="13308" spans="5:13" x14ac:dyDescent="0.25">
      <c r="E13308"/>
      <c r="M13308"/>
    </row>
    <row r="13309" spans="5:13" x14ac:dyDescent="0.25">
      <c r="E13309"/>
      <c r="M13309"/>
    </row>
    <row r="13310" spans="5:13" x14ac:dyDescent="0.25">
      <c r="E13310"/>
      <c r="M13310"/>
    </row>
    <row r="13311" spans="5:13" x14ac:dyDescent="0.25">
      <c r="E13311"/>
      <c r="M13311"/>
    </row>
    <row r="13312" spans="5:13" x14ac:dyDescent="0.25">
      <c r="E13312"/>
      <c r="M13312"/>
    </row>
    <row r="13313" spans="5:13" x14ac:dyDescent="0.25">
      <c r="E13313"/>
      <c r="M13313"/>
    </row>
    <row r="13314" spans="5:13" x14ac:dyDescent="0.25">
      <c r="E13314"/>
      <c r="M13314"/>
    </row>
    <row r="13315" spans="5:13" x14ac:dyDescent="0.25">
      <c r="E13315"/>
      <c r="M13315"/>
    </row>
    <row r="13316" spans="5:13" x14ac:dyDescent="0.25">
      <c r="E13316"/>
      <c r="M13316"/>
    </row>
    <row r="13317" spans="5:13" x14ac:dyDescent="0.25">
      <c r="E13317"/>
      <c r="M13317"/>
    </row>
    <row r="13318" spans="5:13" x14ac:dyDescent="0.25">
      <c r="E13318"/>
      <c r="M13318"/>
    </row>
    <row r="13319" spans="5:13" x14ac:dyDescent="0.25">
      <c r="E13319"/>
      <c r="M13319"/>
    </row>
    <row r="13320" spans="5:13" x14ac:dyDescent="0.25">
      <c r="E13320"/>
      <c r="M13320"/>
    </row>
    <row r="13321" spans="5:13" x14ac:dyDescent="0.25">
      <c r="E13321"/>
      <c r="M13321"/>
    </row>
    <row r="13322" spans="5:13" x14ac:dyDescent="0.25">
      <c r="E13322"/>
      <c r="M13322"/>
    </row>
    <row r="13323" spans="5:13" x14ac:dyDescent="0.25">
      <c r="E13323"/>
      <c r="M13323"/>
    </row>
    <row r="13324" spans="5:13" x14ac:dyDescent="0.25">
      <c r="E13324"/>
      <c r="M13324"/>
    </row>
    <row r="13325" spans="5:13" x14ac:dyDescent="0.25">
      <c r="E13325"/>
      <c r="M13325"/>
    </row>
    <row r="13326" spans="5:13" x14ac:dyDescent="0.25">
      <c r="E13326"/>
      <c r="M13326"/>
    </row>
    <row r="13327" spans="5:13" x14ac:dyDescent="0.25">
      <c r="E13327"/>
      <c r="M13327"/>
    </row>
    <row r="13328" spans="5:13" x14ac:dyDescent="0.25">
      <c r="E13328"/>
      <c r="M13328"/>
    </row>
    <row r="13329" spans="5:13" x14ac:dyDescent="0.25">
      <c r="E13329"/>
      <c r="M13329"/>
    </row>
    <row r="13330" spans="5:13" x14ac:dyDescent="0.25">
      <c r="E13330"/>
      <c r="M13330"/>
    </row>
    <row r="13331" spans="5:13" x14ac:dyDescent="0.25">
      <c r="E13331"/>
      <c r="M13331"/>
    </row>
    <row r="13332" spans="5:13" x14ac:dyDescent="0.25">
      <c r="E13332"/>
      <c r="M13332"/>
    </row>
    <row r="13333" spans="5:13" x14ac:dyDescent="0.25">
      <c r="E13333"/>
      <c r="M13333"/>
    </row>
    <row r="13334" spans="5:13" x14ac:dyDescent="0.25">
      <c r="E13334"/>
      <c r="M13334"/>
    </row>
    <row r="13335" spans="5:13" x14ac:dyDescent="0.25">
      <c r="E13335"/>
      <c r="M13335"/>
    </row>
    <row r="13336" spans="5:13" x14ac:dyDescent="0.25">
      <c r="E13336"/>
      <c r="M13336"/>
    </row>
    <row r="13337" spans="5:13" x14ac:dyDescent="0.25">
      <c r="E13337"/>
      <c r="M13337"/>
    </row>
    <row r="13338" spans="5:13" x14ac:dyDescent="0.25">
      <c r="E13338"/>
      <c r="M13338"/>
    </row>
    <row r="13339" spans="5:13" x14ac:dyDescent="0.25">
      <c r="E13339"/>
      <c r="M13339"/>
    </row>
    <row r="13340" spans="5:13" x14ac:dyDescent="0.25">
      <c r="E13340"/>
      <c r="M13340"/>
    </row>
    <row r="13341" spans="5:13" x14ac:dyDescent="0.25">
      <c r="E13341"/>
      <c r="M13341"/>
    </row>
    <row r="13342" spans="5:13" x14ac:dyDescent="0.25">
      <c r="E13342"/>
      <c r="M13342"/>
    </row>
    <row r="13343" spans="5:13" x14ac:dyDescent="0.25">
      <c r="E13343"/>
      <c r="M13343"/>
    </row>
    <row r="13344" spans="5:13" x14ac:dyDescent="0.25">
      <c r="E13344"/>
      <c r="M13344"/>
    </row>
    <row r="13345" spans="5:13" x14ac:dyDescent="0.25">
      <c r="E13345"/>
      <c r="M13345"/>
    </row>
    <row r="13346" spans="5:13" x14ac:dyDescent="0.25">
      <c r="E13346"/>
      <c r="M13346"/>
    </row>
    <row r="13347" spans="5:13" x14ac:dyDescent="0.25">
      <c r="E13347"/>
      <c r="M13347"/>
    </row>
    <row r="13348" spans="5:13" x14ac:dyDescent="0.25">
      <c r="E13348"/>
      <c r="M13348"/>
    </row>
    <row r="13349" spans="5:13" x14ac:dyDescent="0.25">
      <c r="E13349"/>
      <c r="M13349"/>
    </row>
    <row r="13350" spans="5:13" x14ac:dyDescent="0.25">
      <c r="E13350"/>
      <c r="M13350"/>
    </row>
    <row r="13351" spans="5:13" x14ac:dyDescent="0.25">
      <c r="E13351"/>
      <c r="M13351"/>
    </row>
    <row r="13352" spans="5:13" x14ac:dyDescent="0.25">
      <c r="E13352"/>
      <c r="M13352"/>
    </row>
    <row r="13353" spans="5:13" x14ac:dyDescent="0.25">
      <c r="E13353"/>
      <c r="M13353"/>
    </row>
    <row r="13354" spans="5:13" x14ac:dyDescent="0.25">
      <c r="E13354"/>
      <c r="M13354"/>
    </row>
    <row r="13355" spans="5:13" x14ac:dyDescent="0.25">
      <c r="E13355"/>
      <c r="M13355"/>
    </row>
    <row r="13356" spans="5:13" x14ac:dyDescent="0.25">
      <c r="E13356"/>
      <c r="M13356"/>
    </row>
    <row r="13357" spans="5:13" x14ac:dyDescent="0.25">
      <c r="E13357"/>
      <c r="M13357"/>
    </row>
    <row r="13358" spans="5:13" x14ac:dyDescent="0.25">
      <c r="E13358"/>
      <c r="M13358"/>
    </row>
    <row r="13359" spans="5:13" x14ac:dyDescent="0.25">
      <c r="E13359"/>
      <c r="M13359"/>
    </row>
    <row r="13360" spans="5:13" x14ac:dyDescent="0.25">
      <c r="E13360"/>
      <c r="M13360"/>
    </row>
    <row r="13361" spans="5:13" x14ac:dyDescent="0.25">
      <c r="E13361"/>
      <c r="M13361"/>
    </row>
    <row r="13362" spans="5:13" x14ac:dyDescent="0.25">
      <c r="E13362"/>
      <c r="M13362"/>
    </row>
    <row r="13363" spans="5:13" x14ac:dyDescent="0.25">
      <c r="E13363"/>
      <c r="M13363"/>
    </row>
    <row r="13364" spans="5:13" x14ac:dyDescent="0.25">
      <c r="E13364"/>
      <c r="M13364"/>
    </row>
    <row r="13365" spans="5:13" x14ac:dyDescent="0.25">
      <c r="E13365"/>
      <c r="M13365"/>
    </row>
    <row r="13366" spans="5:13" x14ac:dyDescent="0.25">
      <c r="E13366"/>
      <c r="M13366"/>
    </row>
    <row r="13367" spans="5:13" x14ac:dyDescent="0.25">
      <c r="E13367"/>
      <c r="M13367"/>
    </row>
    <row r="13368" spans="5:13" x14ac:dyDescent="0.25">
      <c r="E13368"/>
      <c r="M13368"/>
    </row>
    <row r="13369" spans="5:13" x14ac:dyDescent="0.25">
      <c r="E13369"/>
      <c r="M13369"/>
    </row>
    <row r="13370" spans="5:13" x14ac:dyDescent="0.25">
      <c r="E13370"/>
      <c r="M13370"/>
    </row>
    <row r="13371" spans="5:13" x14ac:dyDescent="0.25">
      <c r="E13371"/>
      <c r="M13371"/>
    </row>
    <row r="13372" spans="5:13" x14ac:dyDescent="0.25">
      <c r="E13372"/>
      <c r="M13372"/>
    </row>
    <row r="13373" spans="5:13" x14ac:dyDescent="0.25">
      <c r="E13373"/>
      <c r="M13373"/>
    </row>
    <row r="13374" spans="5:13" x14ac:dyDescent="0.25">
      <c r="E13374"/>
      <c r="M13374"/>
    </row>
    <row r="13375" spans="5:13" x14ac:dyDescent="0.25">
      <c r="E13375"/>
      <c r="M13375"/>
    </row>
    <row r="13376" spans="5:13" x14ac:dyDescent="0.25">
      <c r="E13376"/>
      <c r="M13376"/>
    </row>
    <row r="13377" spans="5:13" x14ac:dyDescent="0.25">
      <c r="E13377"/>
      <c r="M13377"/>
    </row>
    <row r="13378" spans="5:13" x14ac:dyDescent="0.25">
      <c r="E13378"/>
      <c r="M13378"/>
    </row>
    <row r="13379" spans="5:13" x14ac:dyDescent="0.25">
      <c r="E13379"/>
      <c r="M13379"/>
    </row>
    <row r="13380" spans="5:13" x14ac:dyDescent="0.25">
      <c r="E13380"/>
      <c r="M13380"/>
    </row>
    <row r="13381" spans="5:13" x14ac:dyDescent="0.25">
      <c r="E13381"/>
      <c r="M13381"/>
    </row>
    <row r="13382" spans="5:13" x14ac:dyDescent="0.25">
      <c r="E13382"/>
      <c r="M13382"/>
    </row>
    <row r="13383" spans="5:13" x14ac:dyDescent="0.25">
      <c r="E13383"/>
      <c r="M13383"/>
    </row>
    <row r="13384" spans="5:13" x14ac:dyDescent="0.25">
      <c r="E13384"/>
      <c r="M13384"/>
    </row>
    <row r="13385" spans="5:13" x14ac:dyDescent="0.25">
      <c r="E13385"/>
      <c r="M13385"/>
    </row>
    <row r="13386" spans="5:13" x14ac:dyDescent="0.25">
      <c r="E13386"/>
      <c r="M13386"/>
    </row>
    <row r="13387" spans="5:13" x14ac:dyDescent="0.25">
      <c r="E13387"/>
      <c r="M13387"/>
    </row>
    <row r="13388" spans="5:13" x14ac:dyDescent="0.25">
      <c r="E13388"/>
      <c r="M13388"/>
    </row>
    <row r="13389" spans="5:13" x14ac:dyDescent="0.25">
      <c r="E13389"/>
      <c r="M13389"/>
    </row>
    <row r="13390" spans="5:13" x14ac:dyDescent="0.25">
      <c r="E13390"/>
      <c r="M13390"/>
    </row>
    <row r="13391" spans="5:13" x14ac:dyDescent="0.25">
      <c r="E13391"/>
      <c r="M13391"/>
    </row>
    <row r="13392" spans="5:13" x14ac:dyDescent="0.25">
      <c r="E13392"/>
      <c r="M13392"/>
    </row>
    <row r="13393" spans="5:13" x14ac:dyDescent="0.25">
      <c r="E13393"/>
      <c r="M13393"/>
    </row>
    <row r="13394" spans="5:13" x14ac:dyDescent="0.25">
      <c r="E13394"/>
      <c r="M13394"/>
    </row>
    <row r="13395" spans="5:13" x14ac:dyDescent="0.25">
      <c r="E13395"/>
      <c r="M13395"/>
    </row>
    <row r="13396" spans="5:13" x14ac:dyDescent="0.25">
      <c r="E13396"/>
      <c r="M13396"/>
    </row>
    <row r="13397" spans="5:13" x14ac:dyDescent="0.25">
      <c r="E13397"/>
      <c r="M13397"/>
    </row>
    <row r="13398" spans="5:13" x14ac:dyDescent="0.25">
      <c r="E13398"/>
      <c r="M13398"/>
    </row>
    <row r="13399" spans="5:13" x14ac:dyDescent="0.25">
      <c r="E13399"/>
      <c r="M13399"/>
    </row>
    <row r="13400" spans="5:13" x14ac:dyDescent="0.25">
      <c r="E13400"/>
      <c r="M13400"/>
    </row>
    <row r="13401" spans="5:13" x14ac:dyDescent="0.25">
      <c r="E13401"/>
      <c r="M13401"/>
    </row>
    <row r="13402" spans="5:13" x14ac:dyDescent="0.25">
      <c r="E13402"/>
      <c r="M13402"/>
    </row>
    <row r="13403" spans="5:13" x14ac:dyDescent="0.25">
      <c r="E13403"/>
      <c r="M13403"/>
    </row>
    <row r="13404" spans="5:13" x14ac:dyDescent="0.25">
      <c r="E13404"/>
      <c r="M13404"/>
    </row>
    <row r="13405" spans="5:13" x14ac:dyDescent="0.25">
      <c r="E13405"/>
      <c r="M13405"/>
    </row>
    <row r="13406" spans="5:13" x14ac:dyDescent="0.25">
      <c r="E13406"/>
      <c r="M13406"/>
    </row>
    <row r="13407" spans="5:13" x14ac:dyDescent="0.25">
      <c r="E13407"/>
      <c r="M13407"/>
    </row>
    <row r="13408" spans="5:13" x14ac:dyDescent="0.25">
      <c r="E13408"/>
      <c r="M13408"/>
    </row>
    <row r="13409" spans="5:13" x14ac:dyDescent="0.25">
      <c r="E13409"/>
      <c r="M13409"/>
    </row>
    <row r="13410" spans="5:13" x14ac:dyDescent="0.25">
      <c r="E13410"/>
      <c r="M13410"/>
    </row>
    <row r="13411" spans="5:13" x14ac:dyDescent="0.25">
      <c r="E13411"/>
      <c r="M13411"/>
    </row>
    <row r="13412" spans="5:13" x14ac:dyDescent="0.25">
      <c r="E13412"/>
      <c r="M13412"/>
    </row>
    <row r="13413" spans="5:13" x14ac:dyDescent="0.25">
      <c r="E13413"/>
      <c r="M13413"/>
    </row>
    <row r="13414" spans="5:13" x14ac:dyDescent="0.25">
      <c r="E13414"/>
      <c r="M13414"/>
    </row>
    <row r="13415" spans="5:13" x14ac:dyDescent="0.25">
      <c r="E13415"/>
      <c r="M13415"/>
    </row>
    <row r="13416" spans="5:13" x14ac:dyDescent="0.25">
      <c r="E13416"/>
      <c r="M13416"/>
    </row>
    <row r="13417" spans="5:13" x14ac:dyDescent="0.25">
      <c r="E13417"/>
      <c r="M13417"/>
    </row>
    <row r="13418" spans="5:13" x14ac:dyDescent="0.25">
      <c r="E13418"/>
      <c r="M13418"/>
    </row>
    <row r="13419" spans="5:13" x14ac:dyDescent="0.25">
      <c r="E13419"/>
      <c r="M13419"/>
    </row>
    <row r="13420" spans="5:13" x14ac:dyDescent="0.25">
      <c r="E13420"/>
      <c r="M13420"/>
    </row>
    <row r="13421" spans="5:13" x14ac:dyDescent="0.25">
      <c r="E13421"/>
      <c r="M13421"/>
    </row>
    <row r="13422" spans="5:13" x14ac:dyDescent="0.25">
      <c r="E13422"/>
      <c r="M13422"/>
    </row>
    <row r="13423" spans="5:13" x14ac:dyDescent="0.25">
      <c r="E13423"/>
      <c r="M13423"/>
    </row>
    <row r="13424" spans="5:13" x14ac:dyDescent="0.25">
      <c r="E13424"/>
      <c r="M13424"/>
    </row>
    <row r="13425" spans="5:13" x14ac:dyDescent="0.25">
      <c r="E13425"/>
      <c r="M13425"/>
    </row>
    <row r="13426" spans="5:13" x14ac:dyDescent="0.25">
      <c r="E13426"/>
      <c r="M13426"/>
    </row>
    <row r="13427" spans="5:13" x14ac:dyDescent="0.25">
      <c r="E13427"/>
      <c r="M13427"/>
    </row>
    <row r="13428" spans="5:13" x14ac:dyDescent="0.25">
      <c r="E13428"/>
      <c r="M13428"/>
    </row>
    <row r="13429" spans="5:13" x14ac:dyDescent="0.25">
      <c r="E13429"/>
      <c r="M13429"/>
    </row>
    <row r="13430" spans="5:13" x14ac:dyDescent="0.25">
      <c r="E13430"/>
      <c r="M13430"/>
    </row>
    <row r="13431" spans="5:13" x14ac:dyDescent="0.25">
      <c r="E13431"/>
      <c r="M13431"/>
    </row>
    <row r="13432" spans="5:13" x14ac:dyDescent="0.25">
      <c r="E13432"/>
      <c r="M13432"/>
    </row>
    <row r="13433" spans="5:13" x14ac:dyDescent="0.25">
      <c r="E13433"/>
      <c r="M13433"/>
    </row>
    <row r="13434" spans="5:13" x14ac:dyDescent="0.25">
      <c r="E13434"/>
      <c r="M13434"/>
    </row>
    <row r="13435" spans="5:13" x14ac:dyDescent="0.25">
      <c r="E13435"/>
      <c r="M13435"/>
    </row>
    <row r="13436" spans="5:13" x14ac:dyDescent="0.25">
      <c r="E13436"/>
      <c r="M13436"/>
    </row>
    <row r="13437" spans="5:13" x14ac:dyDescent="0.25">
      <c r="E13437"/>
      <c r="M13437"/>
    </row>
    <row r="13438" spans="5:13" x14ac:dyDescent="0.25">
      <c r="E13438"/>
      <c r="M13438"/>
    </row>
    <row r="13439" spans="5:13" x14ac:dyDescent="0.25">
      <c r="E13439"/>
      <c r="M13439"/>
    </row>
    <row r="13440" spans="5:13" x14ac:dyDescent="0.25">
      <c r="E13440"/>
      <c r="M13440"/>
    </row>
    <row r="13441" spans="5:13" x14ac:dyDescent="0.25">
      <c r="E13441"/>
      <c r="M13441"/>
    </row>
    <row r="13442" spans="5:13" x14ac:dyDescent="0.25">
      <c r="E13442"/>
      <c r="M13442"/>
    </row>
    <row r="13443" spans="5:13" x14ac:dyDescent="0.25">
      <c r="E13443"/>
      <c r="M13443"/>
    </row>
    <row r="13444" spans="5:13" x14ac:dyDescent="0.25">
      <c r="E13444"/>
      <c r="M13444"/>
    </row>
    <row r="13445" spans="5:13" x14ac:dyDescent="0.25">
      <c r="E13445"/>
      <c r="M13445"/>
    </row>
    <row r="13446" spans="5:13" x14ac:dyDescent="0.25">
      <c r="E13446"/>
      <c r="M13446"/>
    </row>
    <row r="13447" spans="5:13" x14ac:dyDescent="0.25">
      <c r="E13447"/>
      <c r="M13447"/>
    </row>
    <row r="13448" spans="5:13" x14ac:dyDescent="0.25">
      <c r="E13448"/>
      <c r="M13448"/>
    </row>
    <row r="13449" spans="5:13" x14ac:dyDescent="0.25">
      <c r="E13449"/>
      <c r="M13449"/>
    </row>
    <row r="13450" spans="5:13" x14ac:dyDescent="0.25">
      <c r="E13450"/>
      <c r="M13450"/>
    </row>
    <row r="13451" spans="5:13" x14ac:dyDescent="0.25">
      <c r="E13451"/>
      <c r="M13451"/>
    </row>
    <row r="13452" spans="5:13" x14ac:dyDescent="0.25">
      <c r="E13452"/>
      <c r="M13452"/>
    </row>
    <row r="13453" spans="5:13" x14ac:dyDescent="0.25">
      <c r="E13453"/>
      <c r="M13453"/>
    </row>
    <row r="13454" spans="5:13" x14ac:dyDescent="0.25">
      <c r="E13454"/>
      <c r="M13454"/>
    </row>
    <row r="13455" spans="5:13" x14ac:dyDescent="0.25">
      <c r="E13455"/>
      <c r="M13455"/>
    </row>
    <row r="13456" spans="5:13" x14ac:dyDescent="0.25">
      <c r="E13456"/>
      <c r="M13456"/>
    </row>
    <row r="13457" spans="5:13" x14ac:dyDescent="0.25">
      <c r="E13457"/>
      <c r="M13457"/>
    </row>
    <row r="13458" spans="5:13" x14ac:dyDescent="0.25">
      <c r="E13458"/>
      <c r="M13458"/>
    </row>
    <row r="13459" spans="5:13" x14ac:dyDescent="0.25">
      <c r="E13459"/>
      <c r="M13459"/>
    </row>
    <row r="13460" spans="5:13" x14ac:dyDescent="0.25">
      <c r="E13460"/>
      <c r="M13460"/>
    </row>
    <row r="13461" spans="5:13" x14ac:dyDescent="0.25">
      <c r="E13461"/>
      <c r="M13461"/>
    </row>
    <row r="13462" spans="5:13" x14ac:dyDescent="0.25">
      <c r="E13462"/>
      <c r="M13462"/>
    </row>
    <row r="13463" spans="5:13" x14ac:dyDescent="0.25">
      <c r="E13463"/>
      <c r="M13463"/>
    </row>
    <row r="13464" spans="5:13" x14ac:dyDescent="0.25">
      <c r="E13464"/>
      <c r="M13464"/>
    </row>
    <row r="13465" spans="5:13" x14ac:dyDescent="0.25">
      <c r="E13465"/>
      <c r="M13465"/>
    </row>
    <row r="13466" spans="5:13" x14ac:dyDescent="0.25">
      <c r="E13466"/>
      <c r="M13466"/>
    </row>
    <row r="13467" spans="5:13" x14ac:dyDescent="0.25">
      <c r="E13467"/>
      <c r="M13467"/>
    </row>
    <row r="13468" spans="5:13" x14ac:dyDescent="0.25">
      <c r="E13468"/>
      <c r="M13468"/>
    </row>
    <row r="13469" spans="5:13" x14ac:dyDescent="0.25">
      <c r="E13469"/>
      <c r="M13469"/>
    </row>
    <row r="13470" spans="5:13" x14ac:dyDescent="0.25">
      <c r="E13470"/>
      <c r="M13470"/>
    </row>
    <row r="13471" spans="5:13" x14ac:dyDescent="0.25">
      <c r="E13471"/>
      <c r="M13471"/>
    </row>
    <row r="13472" spans="5:13" x14ac:dyDescent="0.25">
      <c r="E13472"/>
      <c r="M13472"/>
    </row>
    <row r="13473" spans="5:13" x14ac:dyDescent="0.25">
      <c r="E13473"/>
      <c r="M13473"/>
    </row>
    <row r="13474" spans="5:13" x14ac:dyDescent="0.25">
      <c r="E13474"/>
      <c r="M13474"/>
    </row>
    <row r="13475" spans="5:13" x14ac:dyDescent="0.25">
      <c r="E13475"/>
      <c r="M13475"/>
    </row>
    <row r="13476" spans="5:13" x14ac:dyDescent="0.25">
      <c r="E13476"/>
      <c r="M13476"/>
    </row>
    <row r="13477" spans="5:13" x14ac:dyDescent="0.25">
      <c r="E13477"/>
      <c r="M13477"/>
    </row>
    <row r="13478" spans="5:13" x14ac:dyDescent="0.25">
      <c r="E13478"/>
      <c r="M13478"/>
    </row>
    <row r="13479" spans="5:13" x14ac:dyDescent="0.25">
      <c r="E13479"/>
      <c r="M13479"/>
    </row>
    <row r="13480" spans="5:13" x14ac:dyDescent="0.25">
      <c r="E13480"/>
      <c r="M13480"/>
    </row>
    <row r="13481" spans="5:13" x14ac:dyDescent="0.25">
      <c r="E13481"/>
      <c r="M13481"/>
    </row>
    <row r="13482" spans="5:13" x14ac:dyDescent="0.25">
      <c r="E13482"/>
      <c r="M13482"/>
    </row>
    <row r="13483" spans="5:13" x14ac:dyDescent="0.25">
      <c r="E13483"/>
      <c r="M13483"/>
    </row>
    <row r="13484" spans="5:13" x14ac:dyDescent="0.25">
      <c r="E13484"/>
      <c r="M13484"/>
    </row>
    <row r="13485" spans="5:13" x14ac:dyDescent="0.25">
      <c r="E13485"/>
      <c r="M13485"/>
    </row>
    <row r="13486" spans="5:13" x14ac:dyDescent="0.25">
      <c r="E13486"/>
      <c r="M13486"/>
    </row>
    <row r="13487" spans="5:13" x14ac:dyDescent="0.25">
      <c r="E13487"/>
      <c r="M13487"/>
    </row>
    <row r="13488" spans="5:13" x14ac:dyDescent="0.25">
      <c r="E13488"/>
      <c r="M13488"/>
    </row>
    <row r="13489" spans="5:13" x14ac:dyDescent="0.25">
      <c r="E13489"/>
      <c r="M13489"/>
    </row>
    <row r="13490" spans="5:13" x14ac:dyDescent="0.25">
      <c r="E13490"/>
      <c r="M13490"/>
    </row>
    <row r="13491" spans="5:13" x14ac:dyDescent="0.25">
      <c r="E13491"/>
      <c r="M13491"/>
    </row>
    <row r="13492" spans="5:13" x14ac:dyDescent="0.25">
      <c r="E13492"/>
      <c r="M13492"/>
    </row>
    <row r="13493" spans="5:13" x14ac:dyDescent="0.25">
      <c r="E13493"/>
      <c r="M13493"/>
    </row>
    <row r="13494" spans="5:13" x14ac:dyDescent="0.25">
      <c r="E13494"/>
      <c r="M13494"/>
    </row>
    <row r="13495" spans="5:13" x14ac:dyDescent="0.25">
      <c r="E13495"/>
      <c r="M13495"/>
    </row>
    <row r="13496" spans="5:13" x14ac:dyDescent="0.25">
      <c r="E13496"/>
      <c r="M13496"/>
    </row>
    <row r="13497" spans="5:13" x14ac:dyDescent="0.25">
      <c r="E13497"/>
      <c r="M13497"/>
    </row>
    <row r="13498" spans="5:13" x14ac:dyDescent="0.25">
      <c r="E13498"/>
      <c r="M13498"/>
    </row>
    <row r="13499" spans="5:13" x14ac:dyDescent="0.25">
      <c r="E13499"/>
      <c r="M13499"/>
    </row>
    <row r="13500" spans="5:13" x14ac:dyDescent="0.25">
      <c r="E13500"/>
      <c r="M13500"/>
    </row>
    <row r="13501" spans="5:13" x14ac:dyDescent="0.25">
      <c r="E13501"/>
      <c r="M13501"/>
    </row>
    <row r="13502" spans="5:13" x14ac:dyDescent="0.25">
      <c r="E13502"/>
      <c r="M13502"/>
    </row>
    <row r="13503" spans="5:13" x14ac:dyDescent="0.25">
      <c r="E13503"/>
      <c r="M13503"/>
    </row>
    <row r="13504" spans="5:13" x14ac:dyDescent="0.25">
      <c r="E13504"/>
      <c r="M13504"/>
    </row>
    <row r="13505" spans="5:13" x14ac:dyDescent="0.25">
      <c r="E13505"/>
      <c r="M13505"/>
    </row>
    <row r="13506" spans="5:13" x14ac:dyDescent="0.25">
      <c r="E13506"/>
      <c r="M13506"/>
    </row>
    <row r="13507" spans="5:13" x14ac:dyDescent="0.25">
      <c r="E13507"/>
      <c r="M13507"/>
    </row>
    <row r="13508" spans="5:13" x14ac:dyDescent="0.25">
      <c r="E13508"/>
      <c r="M13508"/>
    </row>
    <row r="13509" spans="5:13" x14ac:dyDescent="0.25">
      <c r="E13509"/>
      <c r="M13509"/>
    </row>
    <row r="13510" spans="5:13" x14ac:dyDescent="0.25">
      <c r="E13510"/>
      <c r="M13510"/>
    </row>
    <row r="13511" spans="5:13" x14ac:dyDescent="0.25">
      <c r="E13511"/>
      <c r="M13511"/>
    </row>
    <row r="13512" spans="5:13" x14ac:dyDescent="0.25">
      <c r="E13512"/>
      <c r="M13512"/>
    </row>
    <row r="13513" spans="5:13" x14ac:dyDescent="0.25">
      <c r="E13513"/>
      <c r="M13513"/>
    </row>
    <row r="13514" spans="5:13" x14ac:dyDescent="0.25">
      <c r="E13514"/>
      <c r="M13514"/>
    </row>
    <row r="13515" spans="5:13" x14ac:dyDescent="0.25">
      <c r="E13515"/>
      <c r="M13515"/>
    </row>
    <row r="13516" spans="5:13" x14ac:dyDescent="0.25">
      <c r="E13516"/>
      <c r="M13516"/>
    </row>
    <row r="13517" spans="5:13" x14ac:dyDescent="0.25">
      <c r="E13517"/>
      <c r="M13517"/>
    </row>
    <row r="13518" spans="5:13" x14ac:dyDescent="0.25">
      <c r="E13518"/>
      <c r="M13518"/>
    </row>
    <row r="13519" spans="5:13" x14ac:dyDescent="0.25">
      <c r="E13519"/>
      <c r="M13519"/>
    </row>
    <row r="13520" spans="5:13" x14ac:dyDescent="0.25">
      <c r="E13520"/>
      <c r="M13520"/>
    </row>
    <row r="13521" spans="5:13" x14ac:dyDescent="0.25">
      <c r="E13521"/>
      <c r="M13521"/>
    </row>
    <row r="13522" spans="5:13" x14ac:dyDescent="0.25">
      <c r="E13522"/>
      <c r="M13522"/>
    </row>
    <row r="13523" spans="5:13" x14ac:dyDescent="0.25">
      <c r="E13523"/>
      <c r="M13523"/>
    </row>
    <row r="13524" spans="5:13" x14ac:dyDescent="0.25">
      <c r="E13524"/>
      <c r="M13524"/>
    </row>
    <row r="13525" spans="5:13" x14ac:dyDescent="0.25">
      <c r="E13525"/>
      <c r="M13525"/>
    </row>
    <row r="13526" spans="5:13" x14ac:dyDescent="0.25">
      <c r="E13526"/>
      <c r="M13526"/>
    </row>
    <row r="13527" spans="5:13" x14ac:dyDescent="0.25">
      <c r="E13527"/>
      <c r="M13527"/>
    </row>
    <row r="13528" spans="5:13" x14ac:dyDescent="0.25">
      <c r="E13528"/>
      <c r="M13528"/>
    </row>
    <row r="13529" spans="5:13" x14ac:dyDescent="0.25">
      <c r="E13529"/>
      <c r="M13529"/>
    </row>
    <row r="13530" spans="5:13" x14ac:dyDescent="0.25">
      <c r="E13530"/>
      <c r="M13530"/>
    </row>
    <row r="13531" spans="5:13" x14ac:dyDescent="0.25">
      <c r="E13531"/>
      <c r="M13531"/>
    </row>
    <row r="13532" spans="5:13" x14ac:dyDescent="0.25">
      <c r="E13532"/>
      <c r="M13532"/>
    </row>
    <row r="13533" spans="5:13" x14ac:dyDescent="0.25">
      <c r="E13533"/>
      <c r="M13533"/>
    </row>
    <row r="13534" spans="5:13" x14ac:dyDescent="0.25">
      <c r="E13534"/>
      <c r="M13534"/>
    </row>
    <row r="13535" spans="5:13" x14ac:dyDescent="0.25">
      <c r="E13535"/>
      <c r="M13535"/>
    </row>
    <row r="13536" spans="5:13" x14ac:dyDescent="0.25">
      <c r="E13536"/>
      <c r="M13536"/>
    </row>
    <row r="13537" spans="5:13" x14ac:dyDescent="0.25">
      <c r="E13537"/>
      <c r="M13537"/>
    </row>
    <row r="13538" spans="5:13" x14ac:dyDescent="0.25">
      <c r="E13538"/>
      <c r="M13538"/>
    </row>
    <row r="13539" spans="5:13" x14ac:dyDescent="0.25">
      <c r="E13539"/>
      <c r="M13539"/>
    </row>
    <row r="13540" spans="5:13" x14ac:dyDescent="0.25">
      <c r="E13540"/>
      <c r="M13540"/>
    </row>
    <row r="13541" spans="5:13" x14ac:dyDescent="0.25">
      <c r="E13541"/>
      <c r="M13541"/>
    </row>
    <row r="13542" spans="5:13" x14ac:dyDescent="0.25">
      <c r="E13542"/>
      <c r="M13542"/>
    </row>
    <row r="13543" spans="5:13" x14ac:dyDescent="0.25">
      <c r="E13543"/>
      <c r="M13543"/>
    </row>
    <row r="13544" spans="5:13" x14ac:dyDescent="0.25">
      <c r="E13544"/>
      <c r="M13544"/>
    </row>
    <row r="13545" spans="5:13" x14ac:dyDescent="0.25">
      <c r="E13545"/>
      <c r="M13545"/>
    </row>
    <row r="13546" spans="5:13" x14ac:dyDescent="0.25">
      <c r="E13546"/>
      <c r="M13546"/>
    </row>
    <row r="13547" spans="5:13" x14ac:dyDescent="0.25">
      <c r="E13547"/>
      <c r="M13547"/>
    </row>
    <row r="13548" spans="5:13" x14ac:dyDescent="0.25">
      <c r="E13548"/>
      <c r="M13548"/>
    </row>
    <row r="13549" spans="5:13" x14ac:dyDescent="0.25">
      <c r="E13549"/>
      <c r="M13549"/>
    </row>
    <row r="13550" spans="5:13" x14ac:dyDescent="0.25">
      <c r="E13550"/>
      <c r="M13550"/>
    </row>
    <row r="13551" spans="5:13" x14ac:dyDescent="0.25">
      <c r="E13551"/>
      <c r="M13551"/>
    </row>
    <row r="13552" spans="5:13" x14ac:dyDescent="0.25">
      <c r="E13552"/>
      <c r="M13552"/>
    </row>
    <row r="13553" spans="5:13" x14ac:dyDescent="0.25">
      <c r="E13553"/>
      <c r="M13553"/>
    </row>
    <row r="13554" spans="5:13" x14ac:dyDescent="0.25">
      <c r="E13554"/>
      <c r="M13554"/>
    </row>
    <row r="13555" spans="5:13" x14ac:dyDescent="0.25">
      <c r="E13555"/>
      <c r="M13555"/>
    </row>
    <row r="13556" spans="5:13" x14ac:dyDescent="0.25">
      <c r="E13556"/>
      <c r="M13556"/>
    </row>
    <row r="13557" spans="5:13" x14ac:dyDescent="0.25">
      <c r="E13557"/>
      <c r="M13557"/>
    </row>
    <row r="13558" spans="5:13" x14ac:dyDescent="0.25">
      <c r="E13558"/>
      <c r="M13558"/>
    </row>
    <row r="13559" spans="5:13" x14ac:dyDescent="0.25">
      <c r="E13559"/>
      <c r="M13559"/>
    </row>
    <row r="13560" spans="5:13" x14ac:dyDescent="0.25">
      <c r="E13560"/>
      <c r="M13560"/>
    </row>
    <row r="13561" spans="5:13" x14ac:dyDescent="0.25">
      <c r="E13561"/>
      <c r="M13561"/>
    </row>
    <row r="13562" spans="5:13" x14ac:dyDescent="0.25">
      <c r="E13562"/>
      <c r="M13562"/>
    </row>
    <row r="13563" spans="5:13" x14ac:dyDescent="0.25">
      <c r="E13563"/>
      <c r="M13563"/>
    </row>
    <row r="13564" spans="5:13" x14ac:dyDescent="0.25">
      <c r="E13564"/>
      <c r="M13564"/>
    </row>
    <row r="13565" spans="5:13" x14ac:dyDescent="0.25">
      <c r="E13565"/>
      <c r="M13565"/>
    </row>
    <row r="13566" spans="5:13" x14ac:dyDescent="0.25">
      <c r="E13566"/>
      <c r="M13566"/>
    </row>
    <row r="13567" spans="5:13" x14ac:dyDescent="0.25">
      <c r="E13567"/>
      <c r="M13567"/>
    </row>
    <row r="13568" spans="5:13" x14ac:dyDescent="0.25">
      <c r="E13568"/>
      <c r="M13568"/>
    </row>
    <row r="13569" spans="5:13" x14ac:dyDescent="0.25">
      <c r="E13569"/>
      <c r="M13569"/>
    </row>
    <row r="13570" spans="5:13" x14ac:dyDescent="0.25">
      <c r="E13570"/>
      <c r="M13570"/>
    </row>
    <row r="13571" spans="5:13" x14ac:dyDescent="0.25">
      <c r="E13571"/>
      <c r="M13571"/>
    </row>
    <row r="13572" spans="5:13" x14ac:dyDescent="0.25">
      <c r="E13572"/>
      <c r="M13572"/>
    </row>
    <row r="13573" spans="5:13" x14ac:dyDescent="0.25">
      <c r="E13573"/>
      <c r="M13573"/>
    </row>
    <row r="13574" spans="5:13" x14ac:dyDescent="0.25">
      <c r="E13574"/>
      <c r="M13574"/>
    </row>
    <row r="13575" spans="5:13" x14ac:dyDescent="0.25">
      <c r="E13575"/>
      <c r="M13575"/>
    </row>
    <row r="13576" spans="5:13" x14ac:dyDescent="0.25">
      <c r="E13576"/>
      <c r="M13576"/>
    </row>
    <row r="13577" spans="5:13" x14ac:dyDescent="0.25">
      <c r="E13577"/>
      <c r="M13577"/>
    </row>
    <row r="13578" spans="5:13" x14ac:dyDescent="0.25">
      <c r="E13578"/>
      <c r="M13578"/>
    </row>
    <row r="13579" spans="5:13" x14ac:dyDescent="0.25">
      <c r="E13579"/>
      <c r="M13579"/>
    </row>
    <row r="13580" spans="5:13" x14ac:dyDescent="0.25">
      <c r="E13580"/>
      <c r="M13580"/>
    </row>
    <row r="13581" spans="5:13" x14ac:dyDescent="0.25">
      <c r="E13581"/>
      <c r="M13581"/>
    </row>
    <row r="13582" spans="5:13" x14ac:dyDescent="0.25">
      <c r="E13582"/>
      <c r="M13582"/>
    </row>
    <row r="13583" spans="5:13" x14ac:dyDescent="0.25">
      <c r="E13583"/>
      <c r="M13583"/>
    </row>
    <row r="13584" spans="5:13" x14ac:dyDescent="0.25">
      <c r="E13584"/>
      <c r="M13584"/>
    </row>
    <row r="13585" spans="5:13" x14ac:dyDescent="0.25">
      <c r="E13585"/>
      <c r="M13585"/>
    </row>
    <row r="13586" spans="5:13" x14ac:dyDescent="0.25">
      <c r="E13586"/>
      <c r="M13586"/>
    </row>
    <row r="13587" spans="5:13" x14ac:dyDescent="0.25">
      <c r="E13587"/>
      <c r="M13587"/>
    </row>
    <row r="13588" spans="5:13" x14ac:dyDescent="0.25">
      <c r="E13588"/>
      <c r="M13588"/>
    </row>
    <row r="13589" spans="5:13" x14ac:dyDescent="0.25">
      <c r="E13589"/>
      <c r="M13589"/>
    </row>
    <row r="13590" spans="5:13" x14ac:dyDescent="0.25">
      <c r="E13590"/>
      <c r="M13590"/>
    </row>
    <row r="13591" spans="5:13" x14ac:dyDescent="0.25">
      <c r="E13591"/>
      <c r="M13591"/>
    </row>
    <row r="13592" spans="5:13" x14ac:dyDescent="0.25">
      <c r="E13592"/>
      <c r="M13592"/>
    </row>
    <row r="13593" spans="5:13" x14ac:dyDescent="0.25">
      <c r="E13593"/>
      <c r="M13593"/>
    </row>
    <row r="13594" spans="5:13" x14ac:dyDescent="0.25">
      <c r="E13594"/>
      <c r="M13594"/>
    </row>
    <row r="13595" spans="5:13" x14ac:dyDescent="0.25">
      <c r="E13595"/>
      <c r="M13595"/>
    </row>
    <row r="13596" spans="5:13" x14ac:dyDescent="0.25">
      <c r="E13596"/>
      <c r="M13596"/>
    </row>
    <row r="13597" spans="5:13" x14ac:dyDescent="0.25">
      <c r="E13597"/>
      <c r="M13597"/>
    </row>
    <row r="13598" spans="5:13" x14ac:dyDescent="0.25">
      <c r="E13598"/>
      <c r="M13598"/>
    </row>
    <row r="13599" spans="5:13" x14ac:dyDescent="0.25">
      <c r="E13599"/>
      <c r="M13599"/>
    </row>
    <row r="13600" spans="5:13" x14ac:dyDescent="0.25">
      <c r="E13600"/>
      <c r="M13600"/>
    </row>
    <row r="13601" spans="5:13" x14ac:dyDescent="0.25">
      <c r="E13601"/>
      <c r="M13601"/>
    </row>
    <row r="13602" spans="5:13" x14ac:dyDescent="0.25">
      <c r="E13602"/>
      <c r="M13602"/>
    </row>
    <row r="13603" spans="5:13" x14ac:dyDescent="0.25">
      <c r="E13603"/>
      <c r="M13603"/>
    </row>
    <row r="13604" spans="5:13" x14ac:dyDescent="0.25">
      <c r="E13604"/>
      <c r="M13604"/>
    </row>
    <row r="13605" spans="5:13" x14ac:dyDescent="0.25">
      <c r="E13605"/>
      <c r="M13605"/>
    </row>
    <row r="13606" spans="5:13" x14ac:dyDescent="0.25">
      <c r="E13606"/>
      <c r="M13606"/>
    </row>
    <row r="13607" spans="5:13" x14ac:dyDescent="0.25">
      <c r="E13607"/>
      <c r="M13607"/>
    </row>
    <row r="13608" spans="5:13" x14ac:dyDescent="0.25">
      <c r="E13608"/>
      <c r="M13608"/>
    </row>
    <row r="13609" spans="5:13" x14ac:dyDescent="0.25">
      <c r="E13609"/>
      <c r="M13609"/>
    </row>
    <row r="13610" spans="5:13" x14ac:dyDescent="0.25">
      <c r="E13610"/>
      <c r="M13610"/>
    </row>
    <row r="13611" spans="5:13" x14ac:dyDescent="0.25">
      <c r="E13611"/>
      <c r="M13611"/>
    </row>
    <row r="13612" spans="5:13" x14ac:dyDescent="0.25">
      <c r="E13612"/>
      <c r="M13612"/>
    </row>
    <row r="13613" spans="5:13" x14ac:dyDescent="0.25">
      <c r="E13613"/>
      <c r="M13613"/>
    </row>
    <row r="13614" spans="5:13" x14ac:dyDescent="0.25">
      <c r="E13614"/>
      <c r="M13614"/>
    </row>
    <row r="13615" spans="5:13" x14ac:dyDescent="0.25">
      <c r="E13615"/>
      <c r="M13615"/>
    </row>
    <row r="13616" spans="5:13" x14ac:dyDescent="0.25">
      <c r="E13616"/>
      <c r="M13616"/>
    </row>
    <row r="13617" spans="5:13" x14ac:dyDescent="0.25">
      <c r="E13617"/>
      <c r="M13617"/>
    </row>
    <row r="13618" spans="5:13" x14ac:dyDescent="0.25">
      <c r="E13618"/>
      <c r="M13618"/>
    </row>
    <row r="13619" spans="5:13" x14ac:dyDescent="0.25">
      <c r="E13619"/>
      <c r="M13619"/>
    </row>
    <row r="13620" spans="5:13" x14ac:dyDescent="0.25">
      <c r="E13620"/>
      <c r="M13620"/>
    </row>
    <row r="13621" spans="5:13" x14ac:dyDescent="0.25">
      <c r="E13621"/>
      <c r="M13621"/>
    </row>
    <row r="13622" spans="5:13" x14ac:dyDescent="0.25">
      <c r="E13622"/>
      <c r="M13622"/>
    </row>
    <row r="13623" spans="5:13" x14ac:dyDescent="0.25">
      <c r="E13623"/>
      <c r="M13623"/>
    </row>
    <row r="13624" spans="5:13" x14ac:dyDescent="0.25">
      <c r="E13624"/>
      <c r="M13624"/>
    </row>
    <row r="13625" spans="5:13" x14ac:dyDescent="0.25">
      <c r="E13625"/>
      <c r="M13625"/>
    </row>
    <row r="13626" spans="5:13" x14ac:dyDescent="0.25">
      <c r="E13626"/>
      <c r="M13626"/>
    </row>
    <row r="13627" spans="5:13" x14ac:dyDescent="0.25">
      <c r="E13627"/>
      <c r="M13627"/>
    </row>
    <row r="13628" spans="5:13" x14ac:dyDescent="0.25">
      <c r="E13628"/>
      <c r="M13628"/>
    </row>
    <row r="13629" spans="5:13" x14ac:dyDescent="0.25">
      <c r="E13629"/>
      <c r="M13629"/>
    </row>
    <row r="13630" spans="5:13" x14ac:dyDescent="0.25">
      <c r="E13630"/>
      <c r="M13630"/>
    </row>
    <row r="13631" spans="5:13" x14ac:dyDescent="0.25">
      <c r="E13631"/>
      <c r="M13631"/>
    </row>
    <row r="13632" spans="5:13" x14ac:dyDescent="0.25">
      <c r="E13632"/>
      <c r="M13632"/>
    </row>
    <row r="13633" spans="5:13" x14ac:dyDescent="0.25">
      <c r="E13633"/>
      <c r="M13633"/>
    </row>
    <row r="13634" spans="5:13" x14ac:dyDescent="0.25">
      <c r="E13634"/>
      <c r="M13634"/>
    </row>
    <row r="13635" spans="5:13" x14ac:dyDescent="0.25">
      <c r="E13635"/>
      <c r="M13635"/>
    </row>
    <row r="13636" spans="5:13" x14ac:dyDescent="0.25">
      <c r="E13636"/>
      <c r="M13636"/>
    </row>
    <row r="13637" spans="5:13" x14ac:dyDescent="0.25">
      <c r="E13637"/>
      <c r="M13637"/>
    </row>
    <row r="13638" spans="5:13" x14ac:dyDescent="0.25">
      <c r="E13638"/>
      <c r="M13638"/>
    </row>
    <row r="13639" spans="5:13" x14ac:dyDescent="0.25">
      <c r="E13639"/>
      <c r="M13639"/>
    </row>
    <row r="13640" spans="5:13" x14ac:dyDescent="0.25">
      <c r="E13640"/>
      <c r="M13640"/>
    </row>
    <row r="13641" spans="5:13" x14ac:dyDescent="0.25">
      <c r="E13641"/>
      <c r="M13641"/>
    </row>
    <row r="13642" spans="5:13" x14ac:dyDescent="0.25">
      <c r="E13642"/>
      <c r="M13642"/>
    </row>
    <row r="13643" spans="5:13" x14ac:dyDescent="0.25">
      <c r="E13643"/>
      <c r="M13643"/>
    </row>
    <row r="13644" spans="5:13" x14ac:dyDescent="0.25">
      <c r="E13644"/>
      <c r="M13644"/>
    </row>
    <row r="13645" spans="5:13" x14ac:dyDescent="0.25">
      <c r="E13645"/>
      <c r="M13645"/>
    </row>
    <row r="13646" spans="5:13" x14ac:dyDescent="0.25">
      <c r="E13646"/>
      <c r="M13646"/>
    </row>
    <row r="13647" spans="5:13" x14ac:dyDescent="0.25">
      <c r="E13647"/>
      <c r="M13647"/>
    </row>
    <row r="13648" spans="5:13" x14ac:dyDescent="0.25">
      <c r="E13648"/>
      <c r="M13648"/>
    </row>
    <row r="13649" spans="5:13" x14ac:dyDescent="0.25">
      <c r="E13649"/>
      <c r="M13649"/>
    </row>
    <row r="13650" spans="5:13" x14ac:dyDescent="0.25">
      <c r="E13650"/>
      <c r="M13650"/>
    </row>
    <row r="13651" spans="5:13" x14ac:dyDescent="0.25">
      <c r="E13651"/>
      <c r="M13651"/>
    </row>
    <row r="13652" spans="5:13" x14ac:dyDescent="0.25">
      <c r="E13652"/>
      <c r="M13652"/>
    </row>
    <row r="13653" spans="5:13" x14ac:dyDescent="0.25">
      <c r="E13653"/>
      <c r="M13653"/>
    </row>
    <row r="13654" spans="5:13" x14ac:dyDescent="0.25">
      <c r="E13654"/>
      <c r="M13654"/>
    </row>
    <row r="13655" spans="5:13" x14ac:dyDescent="0.25">
      <c r="E13655"/>
      <c r="M13655"/>
    </row>
    <row r="13656" spans="5:13" x14ac:dyDescent="0.25">
      <c r="E13656"/>
      <c r="M13656"/>
    </row>
    <row r="13657" spans="5:13" x14ac:dyDescent="0.25">
      <c r="E13657"/>
      <c r="M13657"/>
    </row>
    <row r="13658" spans="5:13" x14ac:dyDescent="0.25">
      <c r="E13658"/>
      <c r="M13658"/>
    </row>
    <row r="13659" spans="5:13" x14ac:dyDescent="0.25">
      <c r="E13659"/>
      <c r="M13659"/>
    </row>
    <row r="13660" spans="5:13" x14ac:dyDescent="0.25">
      <c r="E13660"/>
      <c r="M13660"/>
    </row>
    <row r="13661" spans="5:13" x14ac:dyDescent="0.25">
      <c r="E13661"/>
      <c r="M13661"/>
    </row>
    <row r="13662" spans="5:13" x14ac:dyDescent="0.25">
      <c r="E13662"/>
      <c r="M13662"/>
    </row>
    <row r="13663" spans="5:13" x14ac:dyDescent="0.25">
      <c r="E13663"/>
      <c r="M13663"/>
    </row>
    <row r="13664" spans="5:13" x14ac:dyDescent="0.25">
      <c r="E13664"/>
      <c r="M13664"/>
    </row>
    <row r="13665" spans="5:13" x14ac:dyDescent="0.25">
      <c r="E13665"/>
      <c r="M13665"/>
    </row>
    <row r="13666" spans="5:13" x14ac:dyDescent="0.25">
      <c r="E13666"/>
      <c r="M13666"/>
    </row>
    <row r="13667" spans="5:13" x14ac:dyDescent="0.25">
      <c r="E13667"/>
      <c r="M13667"/>
    </row>
    <row r="13668" spans="5:13" x14ac:dyDescent="0.25">
      <c r="E13668"/>
      <c r="M13668"/>
    </row>
    <row r="13669" spans="5:13" x14ac:dyDescent="0.25">
      <c r="E13669"/>
      <c r="M13669"/>
    </row>
    <row r="13670" spans="5:13" x14ac:dyDescent="0.25">
      <c r="E13670"/>
      <c r="M13670"/>
    </row>
    <row r="13671" spans="5:13" x14ac:dyDescent="0.25">
      <c r="E13671"/>
      <c r="M13671"/>
    </row>
    <row r="13672" spans="5:13" x14ac:dyDescent="0.25">
      <c r="E13672"/>
      <c r="M13672"/>
    </row>
    <row r="13673" spans="5:13" x14ac:dyDescent="0.25">
      <c r="E13673"/>
      <c r="M13673"/>
    </row>
    <row r="13674" spans="5:13" x14ac:dyDescent="0.25">
      <c r="E13674"/>
      <c r="M13674"/>
    </row>
    <row r="13675" spans="5:13" x14ac:dyDescent="0.25">
      <c r="E13675"/>
      <c r="M13675"/>
    </row>
    <row r="13676" spans="5:13" x14ac:dyDescent="0.25">
      <c r="E13676"/>
      <c r="M13676"/>
    </row>
    <row r="13677" spans="5:13" x14ac:dyDescent="0.25">
      <c r="E13677"/>
      <c r="M13677"/>
    </row>
    <row r="13678" spans="5:13" x14ac:dyDescent="0.25">
      <c r="E13678"/>
      <c r="M13678"/>
    </row>
    <row r="13679" spans="5:13" x14ac:dyDescent="0.25">
      <c r="E13679"/>
      <c r="M13679"/>
    </row>
    <row r="13680" spans="5:13" x14ac:dyDescent="0.25">
      <c r="E13680"/>
      <c r="M13680"/>
    </row>
    <row r="13681" spans="5:13" x14ac:dyDescent="0.25">
      <c r="E13681"/>
      <c r="M13681"/>
    </row>
    <row r="13682" spans="5:13" x14ac:dyDescent="0.25">
      <c r="E13682"/>
      <c r="M13682"/>
    </row>
    <row r="13683" spans="5:13" x14ac:dyDescent="0.25">
      <c r="E13683"/>
      <c r="M13683"/>
    </row>
    <row r="13684" spans="5:13" x14ac:dyDescent="0.25">
      <c r="E13684"/>
      <c r="M13684"/>
    </row>
    <row r="13685" spans="5:13" x14ac:dyDescent="0.25">
      <c r="E13685"/>
      <c r="M13685"/>
    </row>
    <row r="13686" spans="5:13" x14ac:dyDescent="0.25">
      <c r="E13686"/>
      <c r="M13686"/>
    </row>
    <row r="13687" spans="5:13" x14ac:dyDescent="0.25">
      <c r="E13687"/>
      <c r="M13687"/>
    </row>
    <row r="13688" spans="5:13" x14ac:dyDescent="0.25">
      <c r="E13688"/>
      <c r="M13688"/>
    </row>
    <row r="13689" spans="5:13" x14ac:dyDescent="0.25">
      <c r="E13689"/>
      <c r="M13689"/>
    </row>
    <row r="13690" spans="5:13" x14ac:dyDescent="0.25">
      <c r="E13690"/>
      <c r="M13690"/>
    </row>
    <row r="13691" spans="5:13" x14ac:dyDescent="0.25">
      <c r="E13691"/>
      <c r="M13691"/>
    </row>
    <row r="13692" spans="5:13" x14ac:dyDescent="0.25">
      <c r="E13692"/>
      <c r="M13692"/>
    </row>
    <row r="13693" spans="5:13" x14ac:dyDescent="0.25">
      <c r="E13693"/>
      <c r="M13693"/>
    </row>
    <row r="13694" spans="5:13" x14ac:dyDescent="0.25">
      <c r="E13694"/>
      <c r="M13694"/>
    </row>
    <row r="13695" spans="5:13" x14ac:dyDescent="0.25">
      <c r="E13695"/>
      <c r="M13695"/>
    </row>
    <row r="13696" spans="5:13" x14ac:dyDescent="0.25">
      <c r="E13696"/>
      <c r="M13696"/>
    </row>
    <row r="13697" spans="5:13" x14ac:dyDescent="0.25">
      <c r="E13697"/>
      <c r="M13697"/>
    </row>
    <row r="13698" spans="5:13" x14ac:dyDescent="0.25">
      <c r="E13698"/>
      <c r="M13698"/>
    </row>
    <row r="13699" spans="5:13" x14ac:dyDescent="0.25">
      <c r="E13699"/>
      <c r="M13699"/>
    </row>
    <row r="13700" spans="5:13" x14ac:dyDescent="0.25">
      <c r="E13700"/>
      <c r="M13700"/>
    </row>
    <row r="13701" spans="5:13" x14ac:dyDescent="0.25">
      <c r="E13701"/>
      <c r="M13701"/>
    </row>
    <row r="13702" spans="5:13" x14ac:dyDescent="0.25">
      <c r="E13702"/>
      <c r="M13702"/>
    </row>
    <row r="13703" spans="5:13" x14ac:dyDescent="0.25">
      <c r="E13703"/>
      <c r="M13703"/>
    </row>
    <row r="13704" spans="5:13" x14ac:dyDescent="0.25">
      <c r="E13704"/>
      <c r="M13704"/>
    </row>
    <row r="13705" spans="5:13" x14ac:dyDescent="0.25">
      <c r="E13705"/>
      <c r="M13705"/>
    </row>
    <row r="13706" spans="5:13" x14ac:dyDescent="0.25">
      <c r="E13706"/>
      <c r="M13706"/>
    </row>
    <row r="13707" spans="5:13" x14ac:dyDescent="0.25">
      <c r="E13707"/>
      <c r="M13707"/>
    </row>
    <row r="13708" spans="5:13" x14ac:dyDescent="0.25">
      <c r="E13708"/>
      <c r="M13708"/>
    </row>
    <row r="13709" spans="5:13" x14ac:dyDescent="0.25">
      <c r="E13709"/>
      <c r="M13709"/>
    </row>
    <row r="13710" spans="5:13" x14ac:dyDescent="0.25">
      <c r="E13710"/>
      <c r="M13710"/>
    </row>
    <row r="13711" spans="5:13" x14ac:dyDescent="0.25">
      <c r="E13711"/>
      <c r="M13711"/>
    </row>
    <row r="13712" spans="5:13" x14ac:dyDescent="0.25">
      <c r="E13712"/>
      <c r="M13712"/>
    </row>
    <row r="13713" spans="5:13" x14ac:dyDescent="0.25">
      <c r="E13713"/>
      <c r="M13713"/>
    </row>
    <row r="13714" spans="5:13" x14ac:dyDescent="0.25">
      <c r="E13714"/>
      <c r="M13714"/>
    </row>
    <row r="13715" spans="5:13" x14ac:dyDescent="0.25">
      <c r="E13715"/>
      <c r="M13715"/>
    </row>
    <row r="13716" spans="5:13" x14ac:dyDescent="0.25">
      <c r="E13716"/>
      <c r="M13716"/>
    </row>
    <row r="13717" spans="5:13" x14ac:dyDescent="0.25">
      <c r="E13717"/>
      <c r="M13717"/>
    </row>
    <row r="13718" spans="5:13" x14ac:dyDescent="0.25">
      <c r="E13718"/>
      <c r="M13718"/>
    </row>
    <row r="13719" spans="5:13" x14ac:dyDescent="0.25">
      <c r="E13719"/>
      <c r="M13719"/>
    </row>
    <row r="13720" spans="5:13" x14ac:dyDescent="0.25">
      <c r="E13720"/>
      <c r="M13720"/>
    </row>
    <row r="13721" spans="5:13" x14ac:dyDescent="0.25">
      <c r="E13721"/>
      <c r="M13721"/>
    </row>
    <row r="13722" spans="5:13" x14ac:dyDescent="0.25">
      <c r="E13722"/>
      <c r="M13722"/>
    </row>
    <row r="13723" spans="5:13" x14ac:dyDescent="0.25">
      <c r="E13723"/>
      <c r="M13723"/>
    </row>
    <row r="13724" spans="5:13" x14ac:dyDescent="0.25">
      <c r="E13724"/>
      <c r="M13724"/>
    </row>
    <row r="13725" spans="5:13" x14ac:dyDescent="0.25">
      <c r="E13725"/>
      <c r="M13725"/>
    </row>
    <row r="13726" spans="5:13" x14ac:dyDescent="0.25">
      <c r="E13726"/>
      <c r="M13726"/>
    </row>
    <row r="13727" spans="5:13" x14ac:dyDescent="0.25">
      <c r="E13727"/>
      <c r="M13727"/>
    </row>
    <row r="13728" spans="5:13" x14ac:dyDescent="0.25">
      <c r="E13728"/>
      <c r="M13728"/>
    </row>
    <row r="13729" spans="5:13" x14ac:dyDescent="0.25">
      <c r="E13729"/>
      <c r="M13729"/>
    </row>
    <row r="13730" spans="5:13" x14ac:dyDescent="0.25">
      <c r="E13730"/>
      <c r="M13730"/>
    </row>
    <row r="13731" spans="5:13" x14ac:dyDescent="0.25">
      <c r="E13731"/>
      <c r="M13731"/>
    </row>
    <row r="13732" spans="5:13" x14ac:dyDescent="0.25">
      <c r="E13732"/>
      <c r="M13732"/>
    </row>
    <row r="13733" spans="5:13" x14ac:dyDescent="0.25">
      <c r="E13733"/>
      <c r="M13733"/>
    </row>
    <row r="13734" spans="5:13" x14ac:dyDescent="0.25">
      <c r="E13734"/>
      <c r="M13734"/>
    </row>
    <row r="13735" spans="5:13" x14ac:dyDescent="0.25">
      <c r="E13735"/>
      <c r="M13735"/>
    </row>
    <row r="13736" spans="5:13" x14ac:dyDescent="0.25">
      <c r="E13736"/>
      <c r="M13736"/>
    </row>
    <row r="13737" spans="5:13" x14ac:dyDescent="0.25">
      <c r="E13737"/>
      <c r="M13737"/>
    </row>
    <row r="13738" spans="5:13" x14ac:dyDescent="0.25">
      <c r="E13738"/>
      <c r="M13738"/>
    </row>
    <row r="13739" spans="5:13" x14ac:dyDescent="0.25">
      <c r="E13739"/>
      <c r="M13739"/>
    </row>
    <row r="13740" spans="5:13" x14ac:dyDescent="0.25">
      <c r="E13740"/>
      <c r="M13740"/>
    </row>
    <row r="13741" spans="5:13" x14ac:dyDescent="0.25">
      <c r="E13741"/>
      <c r="M13741"/>
    </row>
    <row r="13742" spans="5:13" x14ac:dyDescent="0.25">
      <c r="E13742"/>
      <c r="M13742"/>
    </row>
    <row r="13743" spans="5:13" x14ac:dyDescent="0.25">
      <c r="E13743"/>
      <c r="M13743"/>
    </row>
    <row r="13744" spans="5:13" x14ac:dyDescent="0.25">
      <c r="E13744"/>
      <c r="M13744"/>
    </row>
    <row r="13745" spans="5:13" x14ac:dyDescent="0.25">
      <c r="E13745"/>
      <c r="M13745"/>
    </row>
    <row r="13746" spans="5:13" x14ac:dyDescent="0.25">
      <c r="E13746"/>
      <c r="M13746"/>
    </row>
    <row r="13747" spans="5:13" x14ac:dyDescent="0.25">
      <c r="E13747"/>
      <c r="M13747"/>
    </row>
    <row r="13748" spans="5:13" x14ac:dyDescent="0.25">
      <c r="E13748"/>
      <c r="M13748"/>
    </row>
    <row r="13749" spans="5:13" x14ac:dyDescent="0.25">
      <c r="E13749"/>
      <c r="M13749"/>
    </row>
    <row r="13750" spans="5:13" x14ac:dyDescent="0.25">
      <c r="E13750"/>
      <c r="M13750"/>
    </row>
    <row r="13751" spans="5:13" x14ac:dyDescent="0.25">
      <c r="E13751"/>
      <c r="M13751"/>
    </row>
    <row r="13752" spans="5:13" x14ac:dyDescent="0.25">
      <c r="E13752"/>
      <c r="M13752"/>
    </row>
    <row r="13753" spans="5:13" x14ac:dyDescent="0.25">
      <c r="E13753"/>
      <c r="M13753"/>
    </row>
    <row r="13754" spans="5:13" x14ac:dyDescent="0.25">
      <c r="E13754"/>
      <c r="M13754"/>
    </row>
    <row r="13755" spans="5:13" x14ac:dyDescent="0.25">
      <c r="E13755"/>
      <c r="M13755"/>
    </row>
    <row r="13756" spans="5:13" x14ac:dyDescent="0.25">
      <c r="E13756"/>
      <c r="M13756"/>
    </row>
    <row r="13757" spans="5:13" x14ac:dyDescent="0.25">
      <c r="E13757"/>
      <c r="M13757"/>
    </row>
    <row r="13758" spans="5:13" x14ac:dyDescent="0.25">
      <c r="E13758"/>
      <c r="M13758"/>
    </row>
    <row r="13759" spans="5:13" x14ac:dyDescent="0.25">
      <c r="E13759"/>
      <c r="M13759"/>
    </row>
    <row r="13760" spans="5:13" x14ac:dyDescent="0.25">
      <c r="E13760"/>
      <c r="M13760"/>
    </row>
    <row r="13761" spans="5:13" x14ac:dyDescent="0.25">
      <c r="E13761"/>
      <c r="M13761"/>
    </row>
    <row r="13762" spans="5:13" x14ac:dyDescent="0.25">
      <c r="E13762"/>
      <c r="M13762"/>
    </row>
    <row r="13763" spans="5:13" x14ac:dyDescent="0.25">
      <c r="E13763"/>
      <c r="M13763"/>
    </row>
    <row r="13764" spans="5:13" x14ac:dyDescent="0.25">
      <c r="E13764"/>
      <c r="M13764"/>
    </row>
    <row r="13765" spans="5:13" x14ac:dyDescent="0.25">
      <c r="E13765"/>
      <c r="M13765"/>
    </row>
    <row r="13766" spans="5:13" x14ac:dyDescent="0.25">
      <c r="E13766"/>
      <c r="M13766"/>
    </row>
    <row r="13767" spans="5:13" x14ac:dyDescent="0.25">
      <c r="E13767"/>
      <c r="M13767"/>
    </row>
    <row r="13768" spans="5:13" x14ac:dyDescent="0.25">
      <c r="E13768"/>
      <c r="M13768"/>
    </row>
    <row r="13769" spans="5:13" x14ac:dyDescent="0.25">
      <c r="E13769"/>
      <c r="M13769"/>
    </row>
    <row r="13770" spans="5:13" x14ac:dyDescent="0.25">
      <c r="E13770"/>
      <c r="M13770"/>
    </row>
    <row r="13771" spans="5:13" x14ac:dyDescent="0.25">
      <c r="E13771"/>
      <c r="M13771"/>
    </row>
    <row r="13772" spans="5:13" x14ac:dyDescent="0.25">
      <c r="E13772"/>
      <c r="M13772"/>
    </row>
    <row r="13773" spans="5:13" x14ac:dyDescent="0.25">
      <c r="E13773"/>
      <c r="M13773"/>
    </row>
    <row r="13774" spans="5:13" x14ac:dyDescent="0.25">
      <c r="E13774"/>
      <c r="M13774"/>
    </row>
    <row r="13775" spans="5:13" x14ac:dyDescent="0.25">
      <c r="E13775"/>
      <c r="M13775"/>
    </row>
    <row r="13776" spans="5:13" x14ac:dyDescent="0.25">
      <c r="E13776"/>
      <c r="M13776"/>
    </row>
    <row r="13777" spans="5:13" x14ac:dyDescent="0.25">
      <c r="E13777"/>
      <c r="M13777"/>
    </row>
    <row r="13778" spans="5:13" x14ac:dyDescent="0.25">
      <c r="E13778"/>
      <c r="M13778"/>
    </row>
    <row r="13779" spans="5:13" x14ac:dyDescent="0.25">
      <c r="E13779"/>
      <c r="M13779"/>
    </row>
    <row r="13780" spans="5:13" x14ac:dyDescent="0.25">
      <c r="E13780"/>
      <c r="M13780"/>
    </row>
    <row r="13781" spans="5:13" x14ac:dyDescent="0.25">
      <c r="E13781"/>
      <c r="M13781"/>
    </row>
    <row r="13782" spans="5:13" x14ac:dyDescent="0.25">
      <c r="E13782"/>
      <c r="M13782"/>
    </row>
    <row r="13783" spans="5:13" x14ac:dyDescent="0.25">
      <c r="E13783"/>
      <c r="M13783"/>
    </row>
    <row r="13784" spans="5:13" x14ac:dyDescent="0.25">
      <c r="E13784"/>
      <c r="M13784"/>
    </row>
    <row r="13785" spans="5:13" x14ac:dyDescent="0.25">
      <c r="E13785"/>
      <c r="M13785"/>
    </row>
    <row r="13786" spans="5:13" x14ac:dyDescent="0.25">
      <c r="E13786"/>
      <c r="M13786"/>
    </row>
    <row r="13787" spans="5:13" x14ac:dyDescent="0.25">
      <c r="E13787"/>
      <c r="M13787"/>
    </row>
    <row r="13788" spans="5:13" x14ac:dyDescent="0.25">
      <c r="E13788"/>
      <c r="M13788"/>
    </row>
    <row r="13789" spans="5:13" x14ac:dyDescent="0.25">
      <c r="E13789"/>
      <c r="M13789"/>
    </row>
    <row r="13790" spans="5:13" x14ac:dyDescent="0.25">
      <c r="E13790"/>
      <c r="M13790"/>
    </row>
    <row r="13791" spans="5:13" x14ac:dyDescent="0.25">
      <c r="E13791"/>
      <c r="M13791"/>
    </row>
    <row r="13792" spans="5:13" x14ac:dyDescent="0.25">
      <c r="E13792"/>
      <c r="M13792"/>
    </row>
    <row r="13793" spans="5:13" x14ac:dyDescent="0.25">
      <c r="E13793"/>
      <c r="M13793"/>
    </row>
    <row r="13794" spans="5:13" x14ac:dyDescent="0.25">
      <c r="E13794"/>
      <c r="M13794"/>
    </row>
    <row r="13795" spans="5:13" x14ac:dyDescent="0.25">
      <c r="E13795"/>
      <c r="M13795"/>
    </row>
    <row r="13796" spans="5:13" x14ac:dyDescent="0.25">
      <c r="E13796"/>
      <c r="M13796"/>
    </row>
    <row r="13797" spans="5:13" x14ac:dyDescent="0.25">
      <c r="E13797"/>
      <c r="M13797"/>
    </row>
    <row r="13798" spans="5:13" x14ac:dyDescent="0.25">
      <c r="E13798"/>
      <c r="M13798"/>
    </row>
    <row r="13799" spans="5:13" x14ac:dyDescent="0.25">
      <c r="E13799"/>
      <c r="M13799"/>
    </row>
    <row r="13800" spans="5:13" x14ac:dyDescent="0.25">
      <c r="E13800"/>
      <c r="M13800"/>
    </row>
    <row r="13801" spans="5:13" x14ac:dyDescent="0.25">
      <c r="E13801"/>
      <c r="M13801"/>
    </row>
    <row r="13802" spans="5:13" x14ac:dyDescent="0.25">
      <c r="E13802"/>
      <c r="M13802"/>
    </row>
    <row r="13803" spans="5:13" x14ac:dyDescent="0.25">
      <c r="E13803"/>
      <c r="M13803"/>
    </row>
    <row r="13804" spans="5:13" x14ac:dyDescent="0.25">
      <c r="E13804"/>
      <c r="M13804"/>
    </row>
    <row r="13805" spans="5:13" x14ac:dyDescent="0.25">
      <c r="E13805"/>
      <c r="M13805"/>
    </row>
    <row r="13806" spans="5:13" x14ac:dyDescent="0.25">
      <c r="E13806"/>
      <c r="M13806"/>
    </row>
    <row r="13807" spans="5:13" x14ac:dyDescent="0.25">
      <c r="E13807"/>
      <c r="M13807"/>
    </row>
    <row r="13808" spans="5:13" x14ac:dyDescent="0.25">
      <c r="E13808"/>
      <c r="M13808"/>
    </row>
    <row r="13809" spans="5:13" x14ac:dyDescent="0.25">
      <c r="E13809"/>
      <c r="M13809"/>
    </row>
    <row r="13810" spans="5:13" x14ac:dyDescent="0.25">
      <c r="E13810"/>
      <c r="M13810"/>
    </row>
    <row r="13811" spans="5:13" x14ac:dyDescent="0.25">
      <c r="E13811"/>
      <c r="M13811"/>
    </row>
    <row r="13812" spans="5:13" x14ac:dyDescent="0.25">
      <c r="E13812"/>
      <c r="M13812"/>
    </row>
    <row r="13813" spans="5:13" x14ac:dyDescent="0.25">
      <c r="E13813"/>
      <c r="M13813"/>
    </row>
    <row r="13814" spans="5:13" x14ac:dyDescent="0.25">
      <c r="E13814"/>
      <c r="M13814"/>
    </row>
    <row r="13815" spans="5:13" x14ac:dyDescent="0.25">
      <c r="E13815"/>
      <c r="M13815"/>
    </row>
    <row r="13816" spans="5:13" x14ac:dyDescent="0.25">
      <c r="E13816"/>
      <c r="M13816"/>
    </row>
    <row r="13817" spans="5:13" x14ac:dyDescent="0.25">
      <c r="E13817"/>
      <c r="M13817"/>
    </row>
    <row r="13818" spans="5:13" x14ac:dyDescent="0.25">
      <c r="E13818"/>
      <c r="M13818"/>
    </row>
    <row r="13819" spans="5:13" x14ac:dyDescent="0.25">
      <c r="E13819"/>
      <c r="M13819"/>
    </row>
    <row r="13820" spans="5:13" x14ac:dyDescent="0.25">
      <c r="E13820"/>
      <c r="M13820"/>
    </row>
    <row r="13821" spans="5:13" x14ac:dyDescent="0.25">
      <c r="E13821"/>
      <c r="M13821"/>
    </row>
    <row r="13822" spans="5:13" x14ac:dyDescent="0.25">
      <c r="E13822"/>
      <c r="M13822"/>
    </row>
    <row r="13823" spans="5:13" x14ac:dyDescent="0.25">
      <c r="E13823"/>
      <c r="M13823"/>
    </row>
    <row r="13824" spans="5:13" x14ac:dyDescent="0.25">
      <c r="E13824"/>
      <c r="M13824"/>
    </row>
    <row r="13825" spans="5:13" x14ac:dyDescent="0.25">
      <c r="E13825"/>
      <c r="M13825"/>
    </row>
    <row r="13826" spans="5:13" x14ac:dyDescent="0.25">
      <c r="E13826"/>
      <c r="M13826"/>
    </row>
    <row r="13827" spans="5:13" x14ac:dyDescent="0.25">
      <c r="E13827"/>
      <c r="M13827"/>
    </row>
    <row r="13828" spans="5:13" x14ac:dyDescent="0.25">
      <c r="E13828"/>
      <c r="M13828"/>
    </row>
    <row r="13829" spans="5:13" x14ac:dyDescent="0.25">
      <c r="E13829"/>
      <c r="M13829"/>
    </row>
    <row r="13830" spans="5:13" x14ac:dyDescent="0.25">
      <c r="E13830"/>
      <c r="M13830"/>
    </row>
    <row r="13831" spans="5:13" x14ac:dyDescent="0.25">
      <c r="E13831"/>
      <c r="M13831"/>
    </row>
    <row r="13832" spans="5:13" x14ac:dyDescent="0.25">
      <c r="E13832"/>
      <c r="M13832"/>
    </row>
    <row r="13833" spans="5:13" x14ac:dyDescent="0.25">
      <c r="E13833"/>
      <c r="M13833"/>
    </row>
    <row r="13834" spans="5:13" x14ac:dyDescent="0.25">
      <c r="E13834"/>
      <c r="M13834"/>
    </row>
    <row r="13835" spans="5:13" x14ac:dyDescent="0.25">
      <c r="E13835"/>
      <c r="M13835"/>
    </row>
    <row r="13836" spans="5:13" x14ac:dyDescent="0.25">
      <c r="E13836"/>
      <c r="M13836"/>
    </row>
    <row r="13837" spans="5:13" x14ac:dyDescent="0.25">
      <c r="E13837"/>
      <c r="M13837"/>
    </row>
    <row r="13838" spans="5:13" x14ac:dyDescent="0.25">
      <c r="E13838"/>
      <c r="M13838"/>
    </row>
    <row r="13839" spans="5:13" x14ac:dyDescent="0.25">
      <c r="E13839"/>
      <c r="M13839"/>
    </row>
    <row r="13840" spans="5:13" x14ac:dyDescent="0.25">
      <c r="E13840"/>
      <c r="M13840"/>
    </row>
    <row r="13841" spans="5:13" x14ac:dyDescent="0.25">
      <c r="E13841"/>
      <c r="M13841"/>
    </row>
    <row r="13842" spans="5:13" x14ac:dyDescent="0.25">
      <c r="E13842"/>
      <c r="M13842"/>
    </row>
    <row r="13843" spans="5:13" x14ac:dyDescent="0.25">
      <c r="E13843"/>
      <c r="M13843"/>
    </row>
    <row r="13844" spans="5:13" x14ac:dyDescent="0.25">
      <c r="E13844"/>
      <c r="M13844"/>
    </row>
    <row r="13845" spans="5:13" x14ac:dyDescent="0.25">
      <c r="E13845"/>
      <c r="M13845"/>
    </row>
    <row r="13846" spans="5:13" x14ac:dyDescent="0.25">
      <c r="E13846"/>
      <c r="M13846"/>
    </row>
    <row r="13847" spans="5:13" x14ac:dyDescent="0.25">
      <c r="E13847"/>
      <c r="M13847"/>
    </row>
    <row r="13848" spans="5:13" x14ac:dyDescent="0.25">
      <c r="E13848"/>
      <c r="M13848"/>
    </row>
    <row r="13849" spans="5:13" x14ac:dyDescent="0.25">
      <c r="E13849"/>
      <c r="M13849"/>
    </row>
    <row r="13850" spans="5:13" x14ac:dyDescent="0.25">
      <c r="E13850"/>
      <c r="M13850"/>
    </row>
    <row r="13851" spans="5:13" x14ac:dyDescent="0.25">
      <c r="E13851"/>
      <c r="M13851"/>
    </row>
    <row r="13852" spans="5:13" x14ac:dyDescent="0.25">
      <c r="E13852"/>
      <c r="M13852"/>
    </row>
    <row r="13853" spans="5:13" x14ac:dyDescent="0.25">
      <c r="E13853"/>
      <c r="M13853"/>
    </row>
    <row r="13854" spans="5:13" x14ac:dyDescent="0.25">
      <c r="E13854"/>
      <c r="M13854"/>
    </row>
    <row r="13855" spans="5:13" x14ac:dyDescent="0.25">
      <c r="E13855"/>
      <c r="M13855"/>
    </row>
    <row r="13856" spans="5:13" x14ac:dyDescent="0.25">
      <c r="E13856"/>
      <c r="M13856"/>
    </row>
    <row r="13857" spans="5:13" x14ac:dyDescent="0.25">
      <c r="E13857"/>
      <c r="M13857"/>
    </row>
    <row r="13858" spans="5:13" x14ac:dyDescent="0.25">
      <c r="E13858"/>
      <c r="M13858"/>
    </row>
    <row r="13859" spans="5:13" x14ac:dyDescent="0.25">
      <c r="E13859"/>
      <c r="M13859"/>
    </row>
    <row r="13860" spans="5:13" x14ac:dyDescent="0.25">
      <c r="E13860"/>
      <c r="M13860"/>
    </row>
    <row r="13861" spans="5:13" x14ac:dyDescent="0.25">
      <c r="E13861"/>
      <c r="M13861"/>
    </row>
    <row r="13862" spans="5:13" x14ac:dyDescent="0.25">
      <c r="E13862"/>
      <c r="M13862"/>
    </row>
    <row r="13863" spans="5:13" x14ac:dyDescent="0.25">
      <c r="E13863"/>
      <c r="M13863"/>
    </row>
    <row r="13864" spans="5:13" x14ac:dyDescent="0.25">
      <c r="E13864"/>
      <c r="M13864"/>
    </row>
    <row r="13865" spans="5:13" x14ac:dyDescent="0.25">
      <c r="E13865"/>
      <c r="M13865"/>
    </row>
    <row r="13866" spans="5:13" x14ac:dyDescent="0.25">
      <c r="E13866"/>
      <c r="M13866"/>
    </row>
    <row r="13867" spans="5:13" x14ac:dyDescent="0.25">
      <c r="E13867"/>
      <c r="M13867"/>
    </row>
    <row r="13868" spans="5:13" x14ac:dyDescent="0.25">
      <c r="E13868"/>
      <c r="M13868"/>
    </row>
    <row r="13869" spans="5:13" x14ac:dyDescent="0.25">
      <c r="E13869"/>
      <c r="M13869"/>
    </row>
    <row r="13870" spans="5:13" x14ac:dyDescent="0.25">
      <c r="E13870"/>
      <c r="M13870"/>
    </row>
    <row r="13871" spans="5:13" x14ac:dyDescent="0.25">
      <c r="E13871"/>
      <c r="M13871"/>
    </row>
    <row r="13872" spans="5:13" x14ac:dyDescent="0.25">
      <c r="E13872"/>
      <c r="M13872"/>
    </row>
    <row r="13873" spans="5:13" x14ac:dyDescent="0.25">
      <c r="E13873"/>
      <c r="M13873"/>
    </row>
    <row r="13874" spans="5:13" x14ac:dyDescent="0.25">
      <c r="E13874"/>
      <c r="M13874"/>
    </row>
    <row r="13875" spans="5:13" x14ac:dyDescent="0.25">
      <c r="E13875"/>
      <c r="M13875"/>
    </row>
    <row r="13876" spans="5:13" x14ac:dyDescent="0.25">
      <c r="E13876"/>
      <c r="M13876"/>
    </row>
    <row r="13877" spans="5:13" x14ac:dyDescent="0.25">
      <c r="E13877"/>
      <c r="M13877"/>
    </row>
    <row r="13878" spans="5:13" x14ac:dyDescent="0.25">
      <c r="E13878"/>
      <c r="M13878"/>
    </row>
    <row r="13879" spans="5:13" x14ac:dyDescent="0.25">
      <c r="E13879"/>
      <c r="M13879"/>
    </row>
    <row r="13880" spans="5:13" x14ac:dyDescent="0.25">
      <c r="E13880"/>
      <c r="M13880"/>
    </row>
    <row r="13881" spans="5:13" x14ac:dyDescent="0.25">
      <c r="E13881"/>
      <c r="M13881"/>
    </row>
    <row r="13882" spans="5:13" x14ac:dyDescent="0.25">
      <c r="E13882"/>
      <c r="M13882"/>
    </row>
    <row r="13883" spans="5:13" x14ac:dyDescent="0.25">
      <c r="E13883"/>
      <c r="M13883"/>
    </row>
    <row r="13884" spans="5:13" x14ac:dyDescent="0.25">
      <c r="E13884"/>
      <c r="M13884"/>
    </row>
    <row r="13885" spans="5:13" x14ac:dyDescent="0.25">
      <c r="E13885"/>
      <c r="M13885"/>
    </row>
    <row r="13886" spans="5:13" x14ac:dyDescent="0.25">
      <c r="E13886"/>
      <c r="M13886"/>
    </row>
    <row r="13887" spans="5:13" x14ac:dyDescent="0.25">
      <c r="E13887"/>
      <c r="M13887"/>
    </row>
    <row r="13888" spans="5:13" x14ac:dyDescent="0.25">
      <c r="E13888"/>
      <c r="M13888"/>
    </row>
    <row r="13889" spans="5:13" x14ac:dyDescent="0.25">
      <c r="E13889"/>
      <c r="M13889"/>
    </row>
    <row r="13890" spans="5:13" x14ac:dyDescent="0.25">
      <c r="E13890"/>
      <c r="M13890"/>
    </row>
    <row r="13891" spans="5:13" x14ac:dyDescent="0.25">
      <c r="E13891"/>
      <c r="M13891"/>
    </row>
    <row r="13892" spans="5:13" x14ac:dyDescent="0.25">
      <c r="E13892"/>
      <c r="M13892"/>
    </row>
    <row r="13893" spans="5:13" x14ac:dyDescent="0.25">
      <c r="E13893"/>
      <c r="M13893"/>
    </row>
    <row r="13894" spans="5:13" x14ac:dyDescent="0.25">
      <c r="E13894"/>
      <c r="M13894"/>
    </row>
    <row r="13895" spans="5:13" x14ac:dyDescent="0.25">
      <c r="E13895"/>
      <c r="M13895"/>
    </row>
    <row r="13896" spans="5:13" x14ac:dyDescent="0.25">
      <c r="E13896"/>
      <c r="M13896"/>
    </row>
    <row r="13897" spans="5:13" x14ac:dyDescent="0.25">
      <c r="E13897"/>
      <c r="M13897"/>
    </row>
    <row r="13898" spans="5:13" x14ac:dyDescent="0.25">
      <c r="E13898"/>
      <c r="M13898"/>
    </row>
    <row r="13899" spans="5:13" x14ac:dyDescent="0.25">
      <c r="E13899"/>
      <c r="M13899"/>
    </row>
    <row r="13900" spans="5:13" x14ac:dyDescent="0.25">
      <c r="E13900"/>
      <c r="M13900"/>
    </row>
    <row r="13901" spans="5:13" x14ac:dyDescent="0.25">
      <c r="E13901"/>
      <c r="M13901"/>
    </row>
    <row r="13902" spans="5:13" x14ac:dyDescent="0.25">
      <c r="E13902"/>
      <c r="M13902"/>
    </row>
    <row r="13903" spans="5:13" x14ac:dyDescent="0.25">
      <c r="E13903"/>
      <c r="M13903"/>
    </row>
    <row r="13904" spans="5:13" x14ac:dyDescent="0.25">
      <c r="E13904"/>
      <c r="M13904"/>
    </row>
    <row r="13905" spans="5:13" x14ac:dyDescent="0.25">
      <c r="E13905"/>
      <c r="M13905"/>
    </row>
    <row r="13906" spans="5:13" x14ac:dyDescent="0.25">
      <c r="E13906"/>
      <c r="M13906"/>
    </row>
    <row r="13907" spans="5:13" x14ac:dyDescent="0.25">
      <c r="E13907"/>
      <c r="M13907"/>
    </row>
    <row r="13908" spans="5:13" x14ac:dyDescent="0.25">
      <c r="E13908"/>
      <c r="M13908"/>
    </row>
    <row r="13909" spans="5:13" x14ac:dyDescent="0.25">
      <c r="E13909"/>
      <c r="M13909"/>
    </row>
    <row r="13910" spans="5:13" x14ac:dyDescent="0.25">
      <c r="E13910"/>
      <c r="M13910"/>
    </row>
    <row r="13911" spans="5:13" x14ac:dyDescent="0.25">
      <c r="E13911"/>
      <c r="M13911"/>
    </row>
    <row r="13912" spans="5:13" x14ac:dyDescent="0.25">
      <c r="E13912"/>
      <c r="M13912"/>
    </row>
    <row r="13913" spans="5:13" x14ac:dyDescent="0.25">
      <c r="E13913"/>
      <c r="M13913"/>
    </row>
    <row r="13914" spans="5:13" x14ac:dyDescent="0.25">
      <c r="E13914"/>
      <c r="M13914"/>
    </row>
    <row r="13915" spans="5:13" x14ac:dyDescent="0.25">
      <c r="E13915"/>
      <c r="M13915"/>
    </row>
    <row r="13916" spans="5:13" x14ac:dyDescent="0.25">
      <c r="E13916"/>
      <c r="M13916"/>
    </row>
    <row r="13917" spans="5:13" x14ac:dyDescent="0.25">
      <c r="E13917"/>
      <c r="M13917"/>
    </row>
    <row r="13918" spans="5:13" x14ac:dyDescent="0.25">
      <c r="E13918"/>
      <c r="M13918"/>
    </row>
    <row r="13919" spans="5:13" x14ac:dyDescent="0.25">
      <c r="E13919"/>
      <c r="M13919"/>
    </row>
    <row r="13920" spans="5:13" x14ac:dyDescent="0.25">
      <c r="E13920"/>
      <c r="M13920"/>
    </row>
    <row r="13921" spans="5:13" x14ac:dyDescent="0.25">
      <c r="E13921"/>
      <c r="M13921"/>
    </row>
    <row r="13922" spans="5:13" x14ac:dyDescent="0.25">
      <c r="E13922"/>
      <c r="M13922"/>
    </row>
    <row r="13923" spans="5:13" x14ac:dyDescent="0.25">
      <c r="E13923"/>
      <c r="M13923"/>
    </row>
    <row r="13924" spans="5:13" x14ac:dyDescent="0.25">
      <c r="E13924"/>
      <c r="M13924"/>
    </row>
    <row r="13925" spans="5:13" x14ac:dyDescent="0.25">
      <c r="E13925"/>
      <c r="M13925"/>
    </row>
    <row r="13926" spans="5:13" x14ac:dyDescent="0.25">
      <c r="E13926"/>
      <c r="M13926"/>
    </row>
    <row r="13927" spans="5:13" x14ac:dyDescent="0.25">
      <c r="E13927"/>
      <c r="M13927"/>
    </row>
    <row r="13928" spans="5:13" x14ac:dyDescent="0.25">
      <c r="E13928"/>
      <c r="M13928"/>
    </row>
    <row r="13929" spans="5:13" x14ac:dyDescent="0.25">
      <c r="E13929"/>
      <c r="M13929"/>
    </row>
    <row r="13930" spans="5:13" x14ac:dyDescent="0.25">
      <c r="E13930"/>
      <c r="M13930"/>
    </row>
    <row r="13931" spans="5:13" x14ac:dyDescent="0.25">
      <c r="E13931"/>
      <c r="M13931"/>
    </row>
    <row r="13932" spans="5:13" x14ac:dyDescent="0.25">
      <c r="E13932"/>
      <c r="M13932"/>
    </row>
    <row r="13933" spans="5:13" x14ac:dyDescent="0.25">
      <c r="E13933"/>
      <c r="M13933"/>
    </row>
    <row r="13934" spans="5:13" x14ac:dyDescent="0.25">
      <c r="E13934"/>
      <c r="M13934"/>
    </row>
    <row r="13935" spans="5:13" x14ac:dyDescent="0.25">
      <c r="E13935"/>
      <c r="M13935"/>
    </row>
    <row r="13936" spans="5:13" x14ac:dyDescent="0.25">
      <c r="E13936"/>
      <c r="M13936"/>
    </row>
    <row r="13937" spans="5:13" x14ac:dyDescent="0.25">
      <c r="E13937"/>
      <c r="M13937"/>
    </row>
    <row r="13938" spans="5:13" x14ac:dyDescent="0.25">
      <c r="E13938"/>
      <c r="M13938"/>
    </row>
    <row r="13939" spans="5:13" x14ac:dyDescent="0.25">
      <c r="E13939"/>
      <c r="M13939"/>
    </row>
    <row r="13940" spans="5:13" x14ac:dyDescent="0.25">
      <c r="E13940"/>
      <c r="M13940"/>
    </row>
    <row r="13941" spans="5:13" x14ac:dyDescent="0.25">
      <c r="E13941"/>
      <c r="M13941"/>
    </row>
    <row r="13942" spans="5:13" x14ac:dyDescent="0.25">
      <c r="E13942"/>
      <c r="M13942"/>
    </row>
    <row r="13943" spans="5:13" x14ac:dyDescent="0.25">
      <c r="E13943"/>
      <c r="M13943"/>
    </row>
    <row r="13944" spans="5:13" x14ac:dyDescent="0.25">
      <c r="E13944"/>
      <c r="M13944"/>
    </row>
    <row r="13945" spans="5:13" x14ac:dyDescent="0.25">
      <c r="E13945"/>
      <c r="M13945"/>
    </row>
    <row r="13946" spans="5:13" x14ac:dyDescent="0.25">
      <c r="E13946"/>
      <c r="M13946"/>
    </row>
    <row r="13947" spans="5:13" x14ac:dyDescent="0.25">
      <c r="E13947"/>
      <c r="M13947"/>
    </row>
    <row r="13948" spans="5:13" x14ac:dyDescent="0.25">
      <c r="E13948"/>
      <c r="M13948"/>
    </row>
    <row r="13949" spans="5:13" x14ac:dyDescent="0.25">
      <c r="E13949"/>
      <c r="M13949"/>
    </row>
    <row r="13950" spans="5:13" x14ac:dyDescent="0.25">
      <c r="E13950"/>
      <c r="M13950"/>
    </row>
    <row r="13951" spans="5:13" x14ac:dyDescent="0.25">
      <c r="E13951"/>
      <c r="M13951"/>
    </row>
    <row r="13952" spans="5:13" x14ac:dyDescent="0.25">
      <c r="E13952"/>
      <c r="M13952"/>
    </row>
    <row r="13953" spans="5:13" x14ac:dyDescent="0.25">
      <c r="E13953"/>
      <c r="M13953"/>
    </row>
    <row r="13954" spans="5:13" x14ac:dyDescent="0.25">
      <c r="E13954"/>
      <c r="M13954"/>
    </row>
    <row r="13955" spans="5:13" x14ac:dyDescent="0.25">
      <c r="E13955"/>
      <c r="M13955"/>
    </row>
    <row r="13956" spans="5:13" x14ac:dyDescent="0.25">
      <c r="E13956"/>
      <c r="M13956"/>
    </row>
    <row r="13957" spans="5:13" x14ac:dyDescent="0.25">
      <c r="E13957"/>
      <c r="M13957"/>
    </row>
    <row r="13958" spans="5:13" x14ac:dyDescent="0.25">
      <c r="E13958"/>
      <c r="M13958"/>
    </row>
    <row r="13959" spans="5:13" x14ac:dyDescent="0.25">
      <c r="E13959"/>
      <c r="M13959"/>
    </row>
    <row r="13960" spans="5:13" x14ac:dyDescent="0.25">
      <c r="E13960"/>
      <c r="M13960"/>
    </row>
    <row r="13961" spans="5:13" x14ac:dyDescent="0.25">
      <c r="E13961"/>
      <c r="M13961"/>
    </row>
    <row r="13962" spans="5:13" x14ac:dyDescent="0.25">
      <c r="E13962"/>
      <c r="M13962"/>
    </row>
    <row r="13963" spans="5:13" x14ac:dyDescent="0.25">
      <c r="E13963"/>
      <c r="M13963"/>
    </row>
    <row r="13964" spans="5:13" x14ac:dyDescent="0.25">
      <c r="E13964"/>
      <c r="M13964"/>
    </row>
    <row r="13965" spans="5:13" x14ac:dyDescent="0.25">
      <c r="E13965"/>
      <c r="M13965"/>
    </row>
    <row r="13966" spans="5:13" x14ac:dyDescent="0.25">
      <c r="E13966"/>
      <c r="M13966"/>
    </row>
    <row r="13967" spans="5:13" x14ac:dyDescent="0.25">
      <c r="E13967"/>
      <c r="M13967"/>
    </row>
    <row r="13968" spans="5:13" x14ac:dyDescent="0.25">
      <c r="E13968"/>
      <c r="M13968"/>
    </row>
    <row r="13969" spans="5:13" x14ac:dyDescent="0.25">
      <c r="E13969"/>
      <c r="M13969"/>
    </row>
    <row r="13970" spans="5:13" x14ac:dyDescent="0.25">
      <c r="E13970"/>
      <c r="M13970"/>
    </row>
    <row r="13971" spans="5:13" x14ac:dyDescent="0.25">
      <c r="E13971"/>
      <c r="M13971"/>
    </row>
    <row r="13972" spans="5:13" x14ac:dyDescent="0.25">
      <c r="E13972"/>
      <c r="M13972"/>
    </row>
    <row r="13973" spans="5:13" x14ac:dyDescent="0.25">
      <c r="E13973"/>
      <c r="M13973"/>
    </row>
    <row r="13974" spans="5:13" x14ac:dyDescent="0.25">
      <c r="E13974"/>
      <c r="M13974"/>
    </row>
    <row r="13975" spans="5:13" x14ac:dyDescent="0.25">
      <c r="E13975"/>
      <c r="M13975"/>
    </row>
    <row r="13976" spans="5:13" x14ac:dyDescent="0.25">
      <c r="E13976"/>
      <c r="M13976"/>
    </row>
    <row r="13977" spans="5:13" x14ac:dyDescent="0.25">
      <c r="E13977"/>
      <c r="M13977"/>
    </row>
    <row r="13978" spans="5:13" x14ac:dyDescent="0.25">
      <c r="E13978"/>
      <c r="M13978"/>
    </row>
    <row r="13979" spans="5:13" x14ac:dyDescent="0.25">
      <c r="E13979"/>
      <c r="M13979"/>
    </row>
    <row r="13980" spans="5:13" x14ac:dyDescent="0.25">
      <c r="E13980"/>
      <c r="M13980"/>
    </row>
    <row r="13981" spans="5:13" x14ac:dyDescent="0.25">
      <c r="E13981"/>
      <c r="M13981"/>
    </row>
    <row r="13982" spans="5:13" x14ac:dyDescent="0.25">
      <c r="E13982"/>
      <c r="M13982"/>
    </row>
    <row r="13983" spans="5:13" x14ac:dyDescent="0.25">
      <c r="E13983"/>
      <c r="M13983"/>
    </row>
    <row r="13984" spans="5:13" x14ac:dyDescent="0.25">
      <c r="E13984"/>
      <c r="M13984"/>
    </row>
    <row r="13985" spans="5:13" x14ac:dyDescent="0.25">
      <c r="E13985"/>
      <c r="M13985"/>
    </row>
    <row r="13986" spans="5:13" x14ac:dyDescent="0.25">
      <c r="E13986"/>
      <c r="M13986"/>
    </row>
    <row r="13987" spans="5:13" x14ac:dyDescent="0.25">
      <c r="E13987"/>
      <c r="M13987"/>
    </row>
    <row r="13988" spans="5:13" x14ac:dyDescent="0.25">
      <c r="E13988"/>
      <c r="M13988"/>
    </row>
    <row r="13989" spans="5:13" x14ac:dyDescent="0.25">
      <c r="E13989"/>
      <c r="M13989"/>
    </row>
    <row r="13990" spans="5:13" x14ac:dyDescent="0.25">
      <c r="E13990"/>
      <c r="M13990"/>
    </row>
    <row r="13991" spans="5:13" x14ac:dyDescent="0.25">
      <c r="E13991"/>
      <c r="M13991"/>
    </row>
    <row r="13992" spans="5:13" x14ac:dyDescent="0.25">
      <c r="E13992"/>
      <c r="M13992"/>
    </row>
    <row r="13993" spans="5:13" x14ac:dyDescent="0.25">
      <c r="E13993"/>
      <c r="M13993"/>
    </row>
    <row r="13994" spans="5:13" x14ac:dyDescent="0.25">
      <c r="E13994"/>
      <c r="M13994"/>
    </row>
    <row r="13995" spans="5:13" x14ac:dyDescent="0.25">
      <c r="E13995"/>
      <c r="M13995"/>
    </row>
    <row r="13996" spans="5:13" x14ac:dyDescent="0.25">
      <c r="E13996"/>
      <c r="M13996"/>
    </row>
    <row r="13997" spans="5:13" x14ac:dyDescent="0.25">
      <c r="E13997"/>
      <c r="M13997"/>
    </row>
    <row r="13998" spans="5:13" x14ac:dyDescent="0.25">
      <c r="E13998"/>
      <c r="M13998"/>
    </row>
    <row r="13999" spans="5:13" x14ac:dyDescent="0.25">
      <c r="E13999"/>
      <c r="M13999"/>
    </row>
    <row r="14000" spans="5:13" x14ac:dyDescent="0.25">
      <c r="E14000"/>
      <c r="M14000"/>
    </row>
    <row r="14001" spans="5:13" x14ac:dyDescent="0.25">
      <c r="E14001"/>
      <c r="M14001"/>
    </row>
    <row r="14002" spans="5:13" x14ac:dyDescent="0.25">
      <c r="E14002"/>
      <c r="M14002"/>
    </row>
    <row r="14003" spans="5:13" x14ac:dyDescent="0.25">
      <c r="E14003"/>
      <c r="M14003"/>
    </row>
    <row r="14004" spans="5:13" x14ac:dyDescent="0.25">
      <c r="E14004"/>
      <c r="M14004"/>
    </row>
    <row r="14005" spans="5:13" x14ac:dyDescent="0.25">
      <c r="E14005"/>
      <c r="M14005"/>
    </row>
    <row r="14006" spans="5:13" x14ac:dyDescent="0.25">
      <c r="E14006"/>
      <c r="M14006"/>
    </row>
    <row r="14007" spans="5:13" x14ac:dyDescent="0.25">
      <c r="E14007"/>
      <c r="M14007"/>
    </row>
    <row r="14008" spans="5:13" x14ac:dyDescent="0.25">
      <c r="E14008"/>
      <c r="M14008"/>
    </row>
    <row r="14009" spans="5:13" x14ac:dyDescent="0.25">
      <c r="E14009"/>
      <c r="M14009"/>
    </row>
    <row r="14010" spans="5:13" x14ac:dyDescent="0.25">
      <c r="E14010"/>
      <c r="M14010"/>
    </row>
    <row r="14011" spans="5:13" x14ac:dyDescent="0.25">
      <c r="E14011"/>
      <c r="M14011"/>
    </row>
    <row r="14012" spans="5:13" x14ac:dyDescent="0.25">
      <c r="E14012"/>
      <c r="M14012"/>
    </row>
    <row r="14013" spans="5:13" x14ac:dyDescent="0.25">
      <c r="E14013"/>
      <c r="M14013"/>
    </row>
    <row r="14014" spans="5:13" x14ac:dyDescent="0.25">
      <c r="E14014"/>
      <c r="M14014"/>
    </row>
    <row r="14015" spans="5:13" x14ac:dyDescent="0.25">
      <c r="E14015"/>
      <c r="M14015"/>
    </row>
    <row r="14016" spans="5:13" x14ac:dyDescent="0.25">
      <c r="E14016"/>
      <c r="M14016"/>
    </row>
    <row r="14017" spans="5:13" x14ac:dyDescent="0.25">
      <c r="E14017"/>
      <c r="M14017"/>
    </row>
    <row r="14018" spans="5:13" x14ac:dyDescent="0.25">
      <c r="E14018"/>
      <c r="M14018"/>
    </row>
    <row r="14019" spans="5:13" x14ac:dyDescent="0.25">
      <c r="E14019"/>
      <c r="M14019"/>
    </row>
    <row r="14020" spans="5:13" x14ac:dyDescent="0.25">
      <c r="E14020"/>
      <c r="M14020"/>
    </row>
    <row r="14021" spans="5:13" x14ac:dyDescent="0.25">
      <c r="E14021"/>
      <c r="M14021"/>
    </row>
    <row r="14022" spans="5:13" x14ac:dyDescent="0.25">
      <c r="E14022"/>
      <c r="M14022"/>
    </row>
    <row r="14023" spans="5:13" x14ac:dyDescent="0.25">
      <c r="E14023"/>
      <c r="M14023"/>
    </row>
    <row r="14024" spans="5:13" x14ac:dyDescent="0.25">
      <c r="E14024"/>
      <c r="M14024"/>
    </row>
    <row r="14025" spans="5:13" x14ac:dyDescent="0.25">
      <c r="E14025"/>
      <c r="M14025"/>
    </row>
    <row r="14026" spans="5:13" x14ac:dyDescent="0.25">
      <c r="E14026"/>
      <c r="M14026"/>
    </row>
    <row r="14027" spans="5:13" x14ac:dyDescent="0.25">
      <c r="E14027"/>
      <c r="M14027"/>
    </row>
    <row r="14028" spans="5:13" x14ac:dyDescent="0.25">
      <c r="E14028"/>
      <c r="M14028"/>
    </row>
    <row r="14029" spans="5:13" x14ac:dyDescent="0.25">
      <c r="E14029"/>
      <c r="M14029"/>
    </row>
    <row r="14030" spans="5:13" x14ac:dyDescent="0.25">
      <c r="E14030"/>
      <c r="M14030"/>
    </row>
    <row r="14031" spans="5:13" x14ac:dyDescent="0.25">
      <c r="E14031"/>
      <c r="M14031"/>
    </row>
    <row r="14032" spans="5:13" x14ac:dyDescent="0.25">
      <c r="E14032"/>
      <c r="M14032"/>
    </row>
    <row r="14033" spans="5:13" x14ac:dyDescent="0.25">
      <c r="E14033"/>
      <c r="M14033"/>
    </row>
    <row r="14034" spans="5:13" x14ac:dyDescent="0.25">
      <c r="E14034"/>
      <c r="M14034"/>
    </row>
    <row r="14035" spans="5:13" x14ac:dyDescent="0.25">
      <c r="E14035"/>
      <c r="M14035"/>
    </row>
    <row r="14036" spans="5:13" x14ac:dyDescent="0.25">
      <c r="E14036"/>
      <c r="M14036"/>
    </row>
    <row r="14037" spans="5:13" x14ac:dyDescent="0.25">
      <c r="E14037"/>
      <c r="M14037"/>
    </row>
    <row r="14038" spans="5:13" x14ac:dyDescent="0.25">
      <c r="E14038"/>
      <c r="M14038"/>
    </row>
    <row r="14039" spans="5:13" x14ac:dyDescent="0.25">
      <c r="E14039"/>
      <c r="M14039"/>
    </row>
    <row r="14040" spans="5:13" x14ac:dyDescent="0.25">
      <c r="E14040"/>
      <c r="M14040"/>
    </row>
    <row r="14041" spans="5:13" x14ac:dyDescent="0.25">
      <c r="E14041"/>
      <c r="M14041"/>
    </row>
    <row r="14042" spans="5:13" x14ac:dyDescent="0.25">
      <c r="E14042"/>
      <c r="M14042"/>
    </row>
    <row r="14043" spans="5:13" x14ac:dyDescent="0.25">
      <c r="E14043"/>
      <c r="M14043"/>
    </row>
    <row r="14044" spans="5:13" x14ac:dyDescent="0.25">
      <c r="E14044"/>
      <c r="M14044"/>
    </row>
    <row r="14045" spans="5:13" x14ac:dyDescent="0.25">
      <c r="E14045"/>
      <c r="M14045"/>
    </row>
    <row r="14046" spans="5:13" x14ac:dyDescent="0.25">
      <c r="E14046"/>
      <c r="M14046"/>
    </row>
    <row r="14047" spans="5:13" x14ac:dyDescent="0.25">
      <c r="E14047"/>
      <c r="M14047"/>
    </row>
    <row r="14048" spans="5:13" x14ac:dyDescent="0.25">
      <c r="E14048"/>
      <c r="M14048"/>
    </row>
    <row r="14049" spans="5:13" x14ac:dyDescent="0.25">
      <c r="E14049"/>
      <c r="M14049"/>
    </row>
    <row r="14050" spans="5:13" x14ac:dyDescent="0.25">
      <c r="E14050"/>
      <c r="M14050"/>
    </row>
    <row r="14051" spans="5:13" x14ac:dyDescent="0.25">
      <c r="E14051"/>
      <c r="M14051"/>
    </row>
    <row r="14052" spans="5:13" x14ac:dyDescent="0.25">
      <c r="E14052"/>
      <c r="M14052"/>
    </row>
    <row r="14053" spans="5:13" x14ac:dyDescent="0.25">
      <c r="E14053"/>
      <c r="M14053"/>
    </row>
    <row r="14054" spans="5:13" x14ac:dyDescent="0.25">
      <c r="E14054"/>
      <c r="M14054"/>
    </row>
    <row r="14055" spans="5:13" x14ac:dyDescent="0.25">
      <c r="E14055"/>
      <c r="M14055"/>
    </row>
    <row r="14056" spans="5:13" x14ac:dyDescent="0.25">
      <c r="E14056"/>
      <c r="M14056"/>
    </row>
    <row r="14057" spans="5:13" x14ac:dyDescent="0.25">
      <c r="E14057"/>
      <c r="M14057"/>
    </row>
    <row r="14058" spans="5:13" x14ac:dyDescent="0.25">
      <c r="E14058"/>
      <c r="M14058"/>
    </row>
    <row r="14059" spans="5:13" x14ac:dyDescent="0.25">
      <c r="E14059"/>
      <c r="M14059"/>
    </row>
    <row r="14060" spans="5:13" x14ac:dyDescent="0.25">
      <c r="E14060"/>
      <c r="M14060"/>
    </row>
    <row r="14061" spans="5:13" x14ac:dyDescent="0.25">
      <c r="E14061"/>
      <c r="M14061"/>
    </row>
    <row r="14062" spans="5:13" x14ac:dyDescent="0.25">
      <c r="E14062"/>
      <c r="M14062"/>
    </row>
    <row r="14063" spans="5:13" x14ac:dyDescent="0.25">
      <c r="E14063"/>
      <c r="M14063"/>
    </row>
    <row r="14064" spans="5:13" x14ac:dyDescent="0.25">
      <c r="E14064"/>
      <c r="M14064"/>
    </row>
    <row r="14065" spans="5:13" x14ac:dyDescent="0.25">
      <c r="E14065"/>
      <c r="M14065"/>
    </row>
    <row r="14066" spans="5:13" x14ac:dyDescent="0.25">
      <c r="E14066"/>
      <c r="M14066"/>
    </row>
    <row r="14067" spans="5:13" x14ac:dyDescent="0.25">
      <c r="E14067"/>
      <c r="M14067"/>
    </row>
    <row r="14068" spans="5:13" x14ac:dyDescent="0.25">
      <c r="E14068"/>
      <c r="M14068"/>
    </row>
    <row r="14069" spans="5:13" x14ac:dyDescent="0.25">
      <c r="E14069"/>
      <c r="M14069"/>
    </row>
    <row r="14070" spans="5:13" x14ac:dyDescent="0.25">
      <c r="E14070"/>
      <c r="M14070"/>
    </row>
    <row r="14071" spans="5:13" x14ac:dyDescent="0.25">
      <c r="E14071"/>
      <c r="M14071"/>
    </row>
    <row r="14072" spans="5:13" x14ac:dyDescent="0.25">
      <c r="E14072"/>
      <c r="M14072"/>
    </row>
    <row r="14073" spans="5:13" x14ac:dyDescent="0.25">
      <c r="E14073"/>
      <c r="M14073"/>
    </row>
    <row r="14074" spans="5:13" x14ac:dyDescent="0.25">
      <c r="E14074"/>
      <c r="M14074"/>
    </row>
    <row r="14075" spans="5:13" x14ac:dyDescent="0.25">
      <c r="E14075"/>
      <c r="M14075"/>
    </row>
    <row r="14076" spans="5:13" x14ac:dyDescent="0.25">
      <c r="E14076"/>
      <c r="M14076"/>
    </row>
    <row r="14077" spans="5:13" x14ac:dyDescent="0.25">
      <c r="E14077"/>
      <c r="M14077"/>
    </row>
    <row r="14078" spans="5:13" x14ac:dyDescent="0.25">
      <c r="E14078"/>
      <c r="M14078"/>
    </row>
    <row r="14079" spans="5:13" x14ac:dyDescent="0.25">
      <c r="E14079"/>
      <c r="M14079"/>
    </row>
    <row r="14080" spans="5:13" x14ac:dyDescent="0.25">
      <c r="E14080"/>
      <c r="M14080"/>
    </row>
    <row r="14081" spans="5:13" x14ac:dyDescent="0.25">
      <c r="E14081"/>
      <c r="M14081"/>
    </row>
    <row r="14082" spans="5:13" x14ac:dyDescent="0.25">
      <c r="E14082"/>
      <c r="M14082"/>
    </row>
    <row r="14083" spans="5:13" x14ac:dyDescent="0.25">
      <c r="E14083"/>
      <c r="M14083"/>
    </row>
    <row r="14084" spans="5:13" x14ac:dyDescent="0.25">
      <c r="E14084"/>
      <c r="M14084"/>
    </row>
    <row r="14085" spans="5:13" x14ac:dyDescent="0.25">
      <c r="E14085"/>
      <c r="M14085"/>
    </row>
    <row r="14086" spans="5:13" x14ac:dyDescent="0.25">
      <c r="E14086"/>
      <c r="M14086"/>
    </row>
    <row r="14087" spans="5:13" x14ac:dyDescent="0.25">
      <c r="E14087"/>
      <c r="M14087"/>
    </row>
    <row r="14088" spans="5:13" x14ac:dyDescent="0.25">
      <c r="E14088"/>
      <c r="M14088"/>
    </row>
    <row r="14089" spans="5:13" x14ac:dyDescent="0.25">
      <c r="E14089"/>
      <c r="M14089"/>
    </row>
    <row r="14090" spans="5:13" x14ac:dyDescent="0.25">
      <c r="E14090"/>
      <c r="M14090"/>
    </row>
    <row r="14091" spans="5:13" x14ac:dyDescent="0.25">
      <c r="E14091"/>
      <c r="M14091"/>
    </row>
    <row r="14092" spans="5:13" x14ac:dyDescent="0.25">
      <c r="E14092"/>
      <c r="M14092"/>
    </row>
    <row r="14093" spans="5:13" x14ac:dyDescent="0.25">
      <c r="E14093"/>
      <c r="M14093"/>
    </row>
    <row r="14094" spans="5:13" x14ac:dyDescent="0.25">
      <c r="E14094"/>
      <c r="M14094"/>
    </row>
    <row r="14095" spans="5:13" x14ac:dyDescent="0.25">
      <c r="E14095"/>
      <c r="M14095"/>
    </row>
    <row r="14096" spans="5:13" x14ac:dyDescent="0.25">
      <c r="E14096"/>
      <c r="M14096"/>
    </row>
    <row r="14097" spans="5:13" x14ac:dyDescent="0.25">
      <c r="E14097"/>
      <c r="M14097"/>
    </row>
    <row r="14098" spans="5:13" x14ac:dyDescent="0.25">
      <c r="E14098"/>
      <c r="M14098"/>
    </row>
    <row r="14099" spans="5:13" x14ac:dyDescent="0.25">
      <c r="E14099"/>
      <c r="M14099"/>
    </row>
    <row r="14100" spans="5:13" x14ac:dyDescent="0.25">
      <c r="E14100"/>
      <c r="M14100"/>
    </row>
    <row r="14101" spans="5:13" x14ac:dyDescent="0.25">
      <c r="E14101"/>
      <c r="M14101"/>
    </row>
    <row r="14102" spans="5:13" x14ac:dyDescent="0.25">
      <c r="E14102"/>
      <c r="M14102"/>
    </row>
    <row r="14103" spans="5:13" x14ac:dyDescent="0.25">
      <c r="E14103"/>
      <c r="M14103"/>
    </row>
    <row r="14104" spans="5:13" x14ac:dyDescent="0.25">
      <c r="E14104"/>
      <c r="M14104"/>
    </row>
    <row r="14105" spans="5:13" x14ac:dyDescent="0.25">
      <c r="E14105"/>
      <c r="M14105"/>
    </row>
    <row r="14106" spans="5:13" x14ac:dyDescent="0.25">
      <c r="E14106"/>
      <c r="M14106"/>
    </row>
    <row r="14107" spans="5:13" x14ac:dyDescent="0.25">
      <c r="E14107"/>
      <c r="M14107"/>
    </row>
    <row r="14108" spans="5:13" x14ac:dyDescent="0.25">
      <c r="E14108"/>
      <c r="M14108"/>
    </row>
    <row r="14109" spans="5:13" x14ac:dyDescent="0.25">
      <c r="E14109"/>
      <c r="M14109"/>
    </row>
    <row r="14110" spans="5:13" x14ac:dyDescent="0.25">
      <c r="E14110"/>
      <c r="M14110"/>
    </row>
    <row r="14111" spans="5:13" x14ac:dyDescent="0.25">
      <c r="E14111"/>
      <c r="M14111"/>
    </row>
    <row r="14112" spans="5:13" x14ac:dyDescent="0.25">
      <c r="E14112"/>
      <c r="M14112"/>
    </row>
    <row r="14113" spans="5:13" x14ac:dyDescent="0.25">
      <c r="E14113"/>
      <c r="M14113"/>
    </row>
    <row r="14114" spans="5:13" x14ac:dyDescent="0.25">
      <c r="E14114"/>
      <c r="M14114"/>
    </row>
    <row r="14115" spans="5:13" x14ac:dyDescent="0.25">
      <c r="E14115"/>
      <c r="M14115"/>
    </row>
    <row r="14116" spans="5:13" x14ac:dyDescent="0.25">
      <c r="E14116"/>
      <c r="M14116"/>
    </row>
    <row r="14117" spans="5:13" x14ac:dyDescent="0.25">
      <c r="E14117"/>
      <c r="M14117"/>
    </row>
    <row r="14118" spans="5:13" x14ac:dyDescent="0.25">
      <c r="E14118"/>
      <c r="M14118"/>
    </row>
    <row r="14119" spans="5:13" x14ac:dyDescent="0.25">
      <c r="E14119"/>
      <c r="M14119"/>
    </row>
    <row r="14120" spans="5:13" x14ac:dyDescent="0.25">
      <c r="E14120"/>
      <c r="M14120"/>
    </row>
    <row r="14121" spans="5:13" x14ac:dyDescent="0.25">
      <c r="E14121"/>
      <c r="M14121"/>
    </row>
    <row r="14122" spans="5:13" x14ac:dyDescent="0.25">
      <c r="E14122"/>
      <c r="M14122"/>
    </row>
    <row r="14123" spans="5:13" x14ac:dyDescent="0.25">
      <c r="E14123"/>
      <c r="M14123"/>
    </row>
    <row r="14124" spans="5:13" x14ac:dyDescent="0.25">
      <c r="E14124"/>
      <c r="M14124"/>
    </row>
    <row r="14125" spans="5:13" x14ac:dyDescent="0.25">
      <c r="E14125"/>
      <c r="M14125"/>
    </row>
    <row r="14126" spans="5:13" x14ac:dyDescent="0.25">
      <c r="E14126"/>
      <c r="M14126"/>
    </row>
    <row r="14127" spans="5:13" x14ac:dyDescent="0.25">
      <c r="E14127"/>
      <c r="M14127"/>
    </row>
    <row r="14128" spans="5:13" x14ac:dyDescent="0.25">
      <c r="E14128"/>
      <c r="M14128"/>
    </row>
    <row r="14129" spans="5:13" x14ac:dyDescent="0.25">
      <c r="E14129"/>
      <c r="M14129"/>
    </row>
    <row r="14130" spans="5:13" x14ac:dyDescent="0.25">
      <c r="E14130"/>
      <c r="M14130"/>
    </row>
    <row r="14131" spans="5:13" x14ac:dyDescent="0.25">
      <c r="E14131"/>
      <c r="M14131"/>
    </row>
    <row r="14132" spans="5:13" x14ac:dyDescent="0.25">
      <c r="E14132"/>
      <c r="M14132"/>
    </row>
    <row r="14133" spans="5:13" x14ac:dyDescent="0.25">
      <c r="E14133"/>
      <c r="M14133"/>
    </row>
    <row r="14134" spans="5:13" x14ac:dyDescent="0.25">
      <c r="E14134"/>
      <c r="M14134"/>
    </row>
    <row r="14135" spans="5:13" x14ac:dyDescent="0.25">
      <c r="E14135"/>
      <c r="M14135"/>
    </row>
    <row r="14136" spans="5:13" x14ac:dyDescent="0.25">
      <c r="E14136"/>
      <c r="M14136"/>
    </row>
    <row r="14137" spans="5:13" x14ac:dyDescent="0.25">
      <c r="E14137"/>
      <c r="M14137"/>
    </row>
    <row r="14138" spans="5:13" x14ac:dyDescent="0.25">
      <c r="E14138"/>
      <c r="M14138"/>
    </row>
    <row r="14139" spans="5:13" x14ac:dyDescent="0.25">
      <c r="E14139"/>
      <c r="M14139"/>
    </row>
    <row r="14140" spans="5:13" x14ac:dyDescent="0.25">
      <c r="E14140"/>
      <c r="M14140"/>
    </row>
    <row r="14141" spans="5:13" x14ac:dyDescent="0.25">
      <c r="E14141"/>
      <c r="M14141"/>
    </row>
    <row r="14142" spans="5:13" x14ac:dyDescent="0.25">
      <c r="E14142"/>
      <c r="M14142"/>
    </row>
    <row r="14143" spans="5:13" x14ac:dyDescent="0.25">
      <c r="E14143"/>
      <c r="M14143"/>
    </row>
    <row r="14144" spans="5:13" x14ac:dyDescent="0.25">
      <c r="E14144"/>
      <c r="M14144"/>
    </row>
    <row r="14145" spans="5:13" x14ac:dyDescent="0.25">
      <c r="E14145"/>
      <c r="M14145"/>
    </row>
    <row r="14146" spans="5:13" x14ac:dyDescent="0.25">
      <c r="E14146"/>
      <c r="M14146"/>
    </row>
    <row r="14147" spans="5:13" x14ac:dyDescent="0.25">
      <c r="E14147"/>
      <c r="M14147"/>
    </row>
    <row r="14148" spans="5:13" x14ac:dyDescent="0.25">
      <c r="E14148"/>
      <c r="M14148"/>
    </row>
    <row r="14149" spans="5:13" x14ac:dyDescent="0.25">
      <c r="E14149"/>
      <c r="M14149"/>
    </row>
    <row r="14150" spans="5:13" x14ac:dyDescent="0.25">
      <c r="E14150"/>
      <c r="M14150"/>
    </row>
    <row r="14151" spans="5:13" x14ac:dyDescent="0.25">
      <c r="E14151"/>
      <c r="M14151"/>
    </row>
    <row r="14152" spans="5:13" x14ac:dyDescent="0.25">
      <c r="E14152"/>
      <c r="M14152"/>
    </row>
    <row r="14153" spans="5:13" x14ac:dyDescent="0.25">
      <c r="E14153"/>
      <c r="M14153"/>
    </row>
    <row r="14154" spans="5:13" x14ac:dyDescent="0.25">
      <c r="E14154"/>
      <c r="M14154"/>
    </row>
    <row r="14155" spans="5:13" x14ac:dyDescent="0.25">
      <c r="E14155"/>
      <c r="M14155"/>
    </row>
    <row r="14156" spans="5:13" x14ac:dyDescent="0.25">
      <c r="E14156"/>
      <c r="M14156"/>
    </row>
    <row r="14157" spans="5:13" x14ac:dyDescent="0.25">
      <c r="E14157"/>
      <c r="M14157"/>
    </row>
    <row r="14158" spans="5:13" x14ac:dyDescent="0.25">
      <c r="E14158"/>
      <c r="M14158"/>
    </row>
    <row r="14159" spans="5:13" x14ac:dyDescent="0.25">
      <c r="E14159"/>
      <c r="M14159"/>
    </row>
    <row r="14160" spans="5:13" x14ac:dyDescent="0.25">
      <c r="E14160"/>
      <c r="M14160"/>
    </row>
    <row r="14161" spans="5:13" x14ac:dyDescent="0.25">
      <c r="E14161"/>
      <c r="M14161"/>
    </row>
    <row r="14162" spans="5:13" x14ac:dyDescent="0.25">
      <c r="E14162"/>
      <c r="M14162"/>
    </row>
    <row r="14163" spans="5:13" x14ac:dyDescent="0.25">
      <c r="E14163"/>
      <c r="M14163"/>
    </row>
    <row r="14164" spans="5:13" x14ac:dyDescent="0.25">
      <c r="E14164"/>
      <c r="M14164"/>
    </row>
    <row r="14165" spans="5:13" x14ac:dyDescent="0.25">
      <c r="E14165"/>
      <c r="M14165"/>
    </row>
    <row r="14166" spans="5:13" x14ac:dyDescent="0.25">
      <c r="E14166"/>
      <c r="M14166"/>
    </row>
    <row r="14167" spans="5:13" x14ac:dyDescent="0.25">
      <c r="E14167"/>
      <c r="M14167"/>
    </row>
    <row r="14168" spans="5:13" x14ac:dyDescent="0.25">
      <c r="E14168"/>
      <c r="M14168"/>
    </row>
    <row r="14169" spans="5:13" x14ac:dyDescent="0.25">
      <c r="E14169"/>
      <c r="M14169"/>
    </row>
    <row r="14170" spans="5:13" x14ac:dyDescent="0.25">
      <c r="E14170"/>
      <c r="M14170"/>
    </row>
    <row r="14171" spans="5:13" x14ac:dyDescent="0.25">
      <c r="E14171"/>
      <c r="M14171"/>
    </row>
    <row r="14172" spans="5:13" x14ac:dyDescent="0.25">
      <c r="E14172"/>
      <c r="M14172"/>
    </row>
    <row r="14173" spans="5:13" x14ac:dyDescent="0.25">
      <c r="E14173"/>
      <c r="M14173"/>
    </row>
    <row r="14174" spans="5:13" x14ac:dyDescent="0.25">
      <c r="E14174"/>
      <c r="M14174"/>
    </row>
    <row r="14175" spans="5:13" x14ac:dyDescent="0.25">
      <c r="E14175"/>
      <c r="M14175"/>
    </row>
    <row r="14176" spans="5:13" x14ac:dyDescent="0.25">
      <c r="E14176"/>
      <c r="M14176"/>
    </row>
    <row r="14177" spans="5:13" x14ac:dyDescent="0.25">
      <c r="E14177"/>
      <c r="M14177"/>
    </row>
    <row r="14178" spans="5:13" x14ac:dyDescent="0.25">
      <c r="E14178"/>
      <c r="M14178"/>
    </row>
    <row r="14179" spans="5:13" x14ac:dyDescent="0.25">
      <c r="E14179"/>
      <c r="M14179"/>
    </row>
    <row r="14180" spans="5:13" x14ac:dyDescent="0.25">
      <c r="E14180"/>
      <c r="M14180"/>
    </row>
    <row r="14181" spans="5:13" x14ac:dyDescent="0.25">
      <c r="E14181"/>
      <c r="M14181"/>
    </row>
    <row r="14182" spans="5:13" x14ac:dyDescent="0.25">
      <c r="E14182"/>
      <c r="M14182"/>
    </row>
    <row r="14183" spans="5:13" x14ac:dyDescent="0.25">
      <c r="E14183"/>
      <c r="M14183"/>
    </row>
    <row r="14184" spans="5:13" x14ac:dyDescent="0.25">
      <c r="E14184"/>
      <c r="M14184"/>
    </row>
    <row r="14185" spans="5:13" x14ac:dyDescent="0.25">
      <c r="E14185"/>
      <c r="M14185"/>
    </row>
    <row r="14186" spans="5:13" x14ac:dyDescent="0.25">
      <c r="E14186"/>
      <c r="M14186"/>
    </row>
    <row r="14187" spans="5:13" x14ac:dyDescent="0.25">
      <c r="E14187"/>
      <c r="M14187"/>
    </row>
    <row r="14188" spans="5:13" x14ac:dyDescent="0.25">
      <c r="E14188"/>
      <c r="M14188"/>
    </row>
    <row r="14189" spans="5:13" x14ac:dyDescent="0.25">
      <c r="E14189"/>
      <c r="M14189"/>
    </row>
    <row r="14190" spans="5:13" x14ac:dyDescent="0.25">
      <c r="E14190"/>
      <c r="M14190"/>
    </row>
    <row r="14191" spans="5:13" x14ac:dyDescent="0.25">
      <c r="E14191"/>
      <c r="M14191"/>
    </row>
    <row r="14192" spans="5:13" x14ac:dyDescent="0.25">
      <c r="E14192"/>
      <c r="M14192"/>
    </row>
    <row r="14193" spans="5:13" x14ac:dyDescent="0.25">
      <c r="E14193"/>
      <c r="M14193"/>
    </row>
    <row r="14194" spans="5:13" x14ac:dyDescent="0.25">
      <c r="E14194"/>
      <c r="M14194"/>
    </row>
    <row r="14195" spans="5:13" x14ac:dyDescent="0.25">
      <c r="E14195"/>
      <c r="M14195"/>
    </row>
    <row r="14196" spans="5:13" x14ac:dyDescent="0.25">
      <c r="E14196"/>
      <c r="M14196"/>
    </row>
    <row r="14197" spans="5:13" x14ac:dyDescent="0.25">
      <c r="E14197"/>
      <c r="M14197"/>
    </row>
    <row r="14198" spans="5:13" x14ac:dyDescent="0.25">
      <c r="E14198"/>
      <c r="M14198"/>
    </row>
    <row r="14199" spans="5:13" x14ac:dyDescent="0.25">
      <c r="E14199"/>
      <c r="M14199"/>
    </row>
    <row r="14200" spans="5:13" x14ac:dyDescent="0.25">
      <c r="E14200"/>
      <c r="M14200"/>
    </row>
    <row r="14201" spans="5:13" x14ac:dyDescent="0.25">
      <c r="E14201"/>
      <c r="M14201"/>
    </row>
    <row r="14202" spans="5:13" x14ac:dyDescent="0.25">
      <c r="E14202"/>
      <c r="M14202"/>
    </row>
    <row r="14203" spans="5:13" x14ac:dyDescent="0.25">
      <c r="E14203"/>
      <c r="M14203"/>
    </row>
    <row r="14204" spans="5:13" x14ac:dyDescent="0.25">
      <c r="E14204"/>
      <c r="M14204"/>
    </row>
    <row r="14205" spans="5:13" x14ac:dyDescent="0.25">
      <c r="E14205"/>
      <c r="M14205"/>
    </row>
    <row r="14206" spans="5:13" x14ac:dyDescent="0.25">
      <c r="E14206"/>
      <c r="M14206"/>
    </row>
    <row r="14207" spans="5:13" x14ac:dyDescent="0.25">
      <c r="E14207"/>
      <c r="M14207"/>
    </row>
    <row r="14208" spans="5:13" x14ac:dyDescent="0.25">
      <c r="E14208"/>
      <c r="M14208"/>
    </row>
    <row r="14209" spans="5:13" x14ac:dyDescent="0.25">
      <c r="E14209"/>
      <c r="M14209"/>
    </row>
    <row r="14210" spans="5:13" x14ac:dyDescent="0.25">
      <c r="E14210"/>
      <c r="M14210"/>
    </row>
    <row r="14211" spans="5:13" x14ac:dyDescent="0.25">
      <c r="E14211"/>
      <c r="M14211"/>
    </row>
    <row r="14212" spans="5:13" x14ac:dyDescent="0.25">
      <c r="E14212"/>
      <c r="M14212"/>
    </row>
    <row r="14213" spans="5:13" x14ac:dyDescent="0.25">
      <c r="E14213"/>
      <c r="M14213"/>
    </row>
    <row r="14214" spans="5:13" x14ac:dyDescent="0.25">
      <c r="E14214"/>
      <c r="M14214"/>
    </row>
    <row r="14215" spans="5:13" x14ac:dyDescent="0.25">
      <c r="E14215"/>
      <c r="M14215"/>
    </row>
    <row r="14216" spans="5:13" x14ac:dyDescent="0.25">
      <c r="E14216"/>
      <c r="M14216"/>
    </row>
    <row r="14217" spans="5:13" x14ac:dyDescent="0.25">
      <c r="E14217"/>
      <c r="M14217"/>
    </row>
    <row r="14218" spans="5:13" x14ac:dyDescent="0.25">
      <c r="E14218"/>
      <c r="M14218"/>
    </row>
    <row r="14219" spans="5:13" x14ac:dyDescent="0.25">
      <c r="E14219"/>
      <c r="M14219"/>
    </row>
    <row r="14220" spans="5:13" x14ac:dyDescent="0.25">
      <c r="E14220"/>
      <c r="M14220"/>
    </row>
    <row r="14221" spans="5:13" x14ac:dyDescent="0.25">
      <c r="E14221"/>
      <c r="M14221"/>
    </row>
    <row r="14222" spans="5:13" x14ac:dyDescent="0.25">
      <c r="E14222"/>
      <c r="M14222"/>
    </row>
    <row r="14223" spans="5:13" x14ac:dyDescent="0.25">
      <c r="E14223"/>
      <c r="M14223"/>
    </row>
    <row r="14224" spans="5:13" x14ac:dyDescent="0.25">
      <c r="E14224"/>
      <c r="M14224"/>
    </row>
    <row r="14225" spans="5:13" x14ac:dyDescent="0.25">
      <c r="E14225"/>
      <c r="M14225"/>
    </row>
    <row r="14226" spans="5:13" x14ac:dyDescent="0.25">
      <c r="E14226"/>
      <c r="M14226"/>
    </row>
    <row r="14227" spans="5:13" x14ac:dyDescent="0.25">
      <c r="E14227"/>
      <c r="M14227"/>
    </row>
    <row r="14228" spans="5:13" x14ac:dyDescent="0.25">
      <c r="E14228"/>
      <c r="M14228"/>
    </row>
    <row r="14229" spans="5:13" x14ac:dyDescent="0.25">
      <c r="E14229"/>
      <c r="M14229"/>
    </row>
    <row r="14230" spans="5:13" x14ac:dyDescent="0.25">
      <c r="E14230"/>
      <c r="M14230"/>
    </row>
    <row r="14231" spans="5:13" x14ac:dyDescent="0.25">
      <c r="E14231"/>
      <c r="M14231"/>
    </row>
    <row r="14232" spans="5:13" x14ac:dyDescent="0.25">
      <c r="E14232"/>
      <c r="M14232"/>
    </row>
    <row r="14233" spans="5:13" x14ac:dyDescent="0.25">
      <c r="E14233"/>
      <c r="M14233"/>
    </row>
    <row r="14234" spans="5:13" x14ac:dyDescent="0.25">
      <c r="E14234"/>
      <c r="M14234"/>
    </row>
    <row r="14235" spans="5:13" x14ac:dyDescent="0.25">
      <c r="E14235"/>
      <c r="M14235"/>
    </row>
    <row r="14236" spans="5:13" x14ac:dyDescent="0.25">
      <c r="E14236"/>
      <c r="M14236"/>
    </row>
    <row r="14237" spans="5:13" x14ac:dyDescent="0.25">
      <c r="E14237"/>
      <c r="M14237"/>
    </row>
    <row r="14238" spans="5:13" x14ac:dyDescent="0.25">
      <c r="E14238"/>
      <c r="M14238"/>
    </row>
    <row r="14239" spans="5:13" x14ac:dyDescent="0.25">
      <c r="E14239"/>
      <c r="M14239"/>
    </row>
    <row r="14240" spans="5:13" x14ac:dyDescent="0.25">
      <c r="E14240"/>
      <c r="M14240"/>
    </row>
    <row r="14241" spans="5:13" x14ac:dyDescent="0.25">
      <c r="E14241"/>
      <c r="M14241"/>
    </row>
    <row r="14242" spans="5:13" x14ac:dyDescent="0.25">
      <c r="E14242"/>
      <c r="M14242"/>
    </row>
    <row r="14243" spans="5:13" x14ac:dyDescent="0.25">
      <c r="E14243"/>
      <c r="M14243"/>
    </row>
    <row r="14244" spans="5:13" x14ac:dyDescent="0.25">
      <c r="E14244"/>
      <c r="M14244"/>
    </row>
    <row r="14245" spans="5:13" x14ac:dyDescent="0.25">
      <c r="E14245"/>
      <c r="M14245"/>
    </row>
    <row r="14246" spans="5:13" x14ac:dyDescent="0.25">
      <c r="E14246"/>
      <c r="M14246"/>
    </row>
    <row r="14247" spans="5:13" x14ac:dyDescent="0.25">
      <c r="E14247"/>
      <c r="M14247"/>
    </row>
    <row r="14248" spans="5:13" x14ac:dyDescent="0.25">
      <c r="E14248"/>
      <c r="M14248"/>
    </row>
    <row r="14249" spans="5:13" x14ac:dyDescent="0.25">
      <c r="E14249"/>
      <c r="M14249"/>
    </row>
    <row r="14250" spans="5:13" x14ac:dyDescent="0.25">
      <c r="E14250"/>
      <c r="M14250"/>
    </row>
    <row r="14251" spans="5:13" x14ac:dyDescent="0.25">
      <c r="E14251"/>
      <c r="M14251"/>
    </row>
    <row r="14252" spans="5:13" x14ac:dyDescent="0.25">
      <c r="E14252"/>
      <c r="M14252"/>
    </row>
    <row r="14253" spans="5:13" x14ac:dyDescent="0.25">
      <c r="E14253"/>
      <c r="M14253"/>
    </row>
    <row r="14254" spans="5:13" x14ac:dyDescent="0.25">
      <c r="E14254"/>
      <c r="M14254"/>
    </row>
    <row r="14255" spans="5:13" x14ac:dyDescent="0.25">
      <c r="E14255"/>
      <c r="M14255"/>
    </row>
    <row r="14256" spans="5:13" x14ac:dyDescent="0.25">
      <c r="E14256"/>
      <c r="M14256"/>
    </row>
    <row r="14257" spans="5:13" x14ac:dyDescent="0.25">
      <c r="E14257"/>
      <c r="M14257"/>
    </row>
    <row r="14258" spans="5:13" x14ac:dyDescent="0.25">
      <c r="E14258"/>
      <c r="M14258"/>
    </row>
    <row r="14259" spans="5:13" x14ac:dyDescent="0.25">
      <c r="E14259"/>
      <c r="M14259"/>
    </row>
    <row r="14260" spans="5:13" x14ac:dyDescent="0.25">
      <c r="E14260"/>
      <c r="M14260"/>
    </row>
    <row r="14261" spans="5:13" x14ac:dyDescent="0.25">
      <c r="E14261"/>
      <c r="M14261"/>
    </row>
    <row r="14262" spans="5:13" x14ac:dyDescent="0.25">
      <c r="E14262"/>
      <c r="M14262"/>
    </row>
    <row r="14263" spans="5:13" x14ac:dyDescent="0.25">
      <c r="E14263"/>
      <c r="M14263"/>
    </row>
    <row r="14264" spans="5:13" x14ac:dyDescent="0.25">
      <c r="E14264"/>
      <c r="M14264"/>
    </row>
    <row r="14265" spans="5:13" x14ac:dyDescent="0.25">
      <c r="E14265"/>
      <c r="M14265"/>
    </row>
    <row r="14266" spans="5:13" x14ac:dyDescent="0.25">
      <c r="E14266"/>
      <c r="M14266"/>
    </row>
    <row r="14267" spans="5:13" x14ac:dyDescent="0.25">
      <c r="E14267"/>
      <c r="M14267"/>
    </row>
    <row r="14268" spans="5:13" x14ac:dyDescent="0.25">
      <c r="E14268"/>
      <c r="M14268"/>
    </row>
    <row r="14269" spans="5:13" x14ac:dyDescent="0.25">
      <c r="E14269"/>
      <c r="M14269"/>
    </row>
    <row r="14270" spans="5:13" x14ac:dyDescent="0.25">
      <c r="E14270"/>
      <c r="M14270"/>
    </row>
    <row r="14271" spans="5:13" x14ac:dyDescent="0.25">
      <c r="E14271"/>
      <c r="M14271"/>
    </row>
    <row r="14272" spans="5:13" x14ac:dyDescent="0.25">
      <c r="E14272"/>
      <c r="M14272"/>
    </row>
    <row r="14273" spans="5:13" x14ac:dyDescent="0.25">
      <c r="E14273"/>
      <c r="M14273"/>
    </row>
    <row r="14274" spans="5:13" x14ac:dyDescent="0.25">
      <c r="E14274"/>
      <c r="M14274"/>
    </row>
    <row r="14275" spans="5:13" x14ac:dyDescent="0.25">
      <c r="E14275"/>
      <c r="M14275"/>
    </row>
    <row r="14276" spans="5:13" x14ac:dyDescent="0.25">
      <c r="E14276"/>
      <c r="M14276"/>
    </row>
    <row r="14277" spans="5:13" x14ac:dyDescent="0.25">
      <c r="E14277"/>
      <c r="M14277"/>
    </row>
    <row r="14278" spans="5:13" x14ac:dyDescent="0.25">
      <c r="E14278"/>
      <c r="M14278"/>
    </row>
    <row r="14279" spans="5:13" x14ac:dyDescent="0.25">
      <c r="E14279"/>
      <c r="M14279"/>
    </row>
    <row r="14280" spans="5:13" x14ac:dyDescent="0.25">
      <c r="E14280"/>
      <c r="M14280"/>
    </row>
    <row r="14281" spans="5:13" x14ac:dyDescent="0.25">
      <c r="E14281"/>
      <c r="M14281"/>
    </row>
    <row r="14282" spans="5:13" x14ac:dyDescent="0.25">
      <c r="E14282"/>
      <c r="M14282"/>
    </row>
    <row r="14283" spans="5:13" x14ac:dyDescent="0.25">
      <c r="E14283"/>
      <c r="M14283"/>
    </row>
    <row r="14284" spans="5:13" x14ac:dyDescent="0.25">
      <c r="E14284"/>
      <c r="M14284"/>
    </row>
    <row r="14285" spans="5:13" x14ac:dyDescent="0.25">
      <c r="E14285"/>
      <c r="M14285"/>
    </row>
    <row r="14286" spans="5:13" x14ac:dyDescent="0.25">
      <c r="E14286"/>
      <c r="M14286"/>
    </row>
    <row r="14287" spans="5:13" x14ac:dyDescent="0.25">
      <c r="E14287"/>
      <c r="M14287"/>
    </row>
    <row r="14288" spans="5:13" x14ac:dyDescent="0.25">
      <c r="E14288"/>
      <c r="M14288"/>
    </row>
    <row r="14289" spans="5:13" x14ac:dyDescent="0.25">
      <c r="E14289"/>
      <c r="M14289"/>
    </row>
    <row r="14290" spans="5:13" x14ac:dyDescent="0.25">
      <c r="E14290"/>
      <c r="M14290"/>
    </row>
    <row r="14291" spans="5:13" x14ac:dyDescent="0.25">
      <c r="E14291"/>
      <c r="M14291"/>
    </row>
    <row r="14292" spans="5:13" x14ac:dyDescent="0.25">
      <c r="E14292"/>
      <c r="M14292"/>
    </row>
    <row r="14293" spans="5:13" x14ac:dyDescent="0.25">
      <c r="E14293"/>
      <c r="M14293"/>
    </row>
    <row r="14294" spans="5:13" x14ac:dyDescent="0.25">
      <c r="E14294"/>
      <c r="M14294"/>
    </row>
    <row r="14295" spans="5:13" x14ac:dyDescent="0.25">
      <c r="E14295"/>
      <c r="M14295"/>
    </row>
    <row r="14296" spans="5:13" x14ac:dyDescent="0.25">
      <c r="E14296"/>
      <c r="M14296"/>
    </row>
    <row r="14297" spans="5:13" x14ac:dyDescent="0.25">
      <c r="E14297"/>
      <c r="M14297"/>
    </row>
    <row r="14298" spans="5:13" x14ac:dyDescent="0.25">
      <c r="E14298"/>
      <c r="M14298"/>
    </row>
    <row r="14299" spans="5:13" x14ac:dyDescent="0.25">
      <c r="E14299"/>
      <c r="M14299"/>
    </row>
    <row r="14300" spans="5:13" x14ac:dyDescent="0.25">
      <c r="E14300"/>
      <c r="M14300"/>
    </row>
    <row r="14301" spans="5:13" x14ac:dyDescent="0.25">
      <c r="E14301"/>
      <c r="M14301"/>
    </row>
    <row r="14302" spans="5:13" x14ac:dyDescent="0.25">
      <c r="E14302"/>
      <c r="M14302"/>
    </row>
    <row r="14303" spans="5:13" x14ac:dyDescent="0.25">
      <c r="E14303"/>
      <c r="M14303"/>
    </row>
    <row r="14304" spans="5:13" x14ac:dyDescent="0.25">
      <c r="E14304"/>
      <c r="M14304"/>
    </row>
    <row r="14305" spans="5:13" x14ac:dyDescent="0.25">
      <c r="E14305"/>
      <c r="M14305"/>
    </row>
    <row r="14306" spans="5:13" x14ac:dyDescent="0.25">
      <c r="E14306"/>
      <c r="M14306"/>
    </row>
    <row r="14307" spans="5:13" x14ac:dyDescent="0.25">
      <c r="E14307"/>
      <c r="M14307"/>
    </row>
    <row r="14308" spans="5:13" x14ac:dyDescent="0.25">
      <c r="E14308"/>
      <c r="M14308"/>
    </row>
    <row r="14309" spans="5:13" x14ac:dyDescent="0.25">
      <c r="E14309"/>
      <c r="M14309"/>
    </row>
    <row r="14310" spans="5:13" x14ac:dyDescent="0.25">
      <c r="E14310"/>
      <c r="M14310"/>
    </row>
    <row r="14311" spans="5:13" x14ac:dyDescent="0.25">
      <c r="E14311"/>
      <c r="M14311"/>
    </row>
    <row r="14312" spans="5:13" x14ac:dyDescent="0.25">
      <c r="E14312"/>
      <c r="M14312"/>
    </row>
    <row r="14313" spans="5:13" x14ac:dyDescent="0.25">
      <c r="E14313"/>
      <c r="M14313"/>
    </row>
    <row r="14314" spans="5:13" x14ac:dyDescent="0.25">
      <c r="E14314"/>
      <c r="M14314"/>
    </row>
    <row r="14315" spans="5:13" x14ac:dyDescent="0.25">
      <c r="E14315"/>
      <c r="M14315"/>
    </row>
    <row r="14316" spans="5:13" x14ac:dyDescent="0.25">
      <c r="E14316"/>
      <c r="M14316"/>
    </row>
    <row r="14317" spans="5:13" x14ac:dyDescent="0.25">
      <c r="E14317"/>
      <c r="M14317"/>
    </row>
    <row r="14318" spans="5:13" x14ac:dyDescent="0.25">
      <c r="E14318"/>
      <c r="M14318"/>
    </row>
    <row r="14319" spans="5:13" x14ac:dyDescent="0.25">
      <c r="E14319"/>
      <c r="M14319"/>
    </row>
    <row r="14320" spans="5:13" x14ac:dyDescent="0.25">
      <c r="E14320"/>
      <c r="M14320"/>
    </row>
    <row r="14321" spans="5:13" x14ac:dyDescent="0.25">
      <c r="E14321"/>
      <c r="M14321"/>
    </row>
    <row r="14322" spans="5:13" x14ac:dyDescent="0.25">
      <c r="E14322"/>
      <c r="M14322"/>
    </row>
    <row r="14323" spans="5:13" x14ac:dyDescent="0.25">
      <c r="E14323"/>
      <c r="M14323"/>
    </row>
    <row r="14324" spans="5:13" x14ac:dyDescent="0.25">
      <c r="E14324"/>
      <c r="M14324"/>
    </row>
    <row r="14325" spans="5:13" x14ac:dyDescent="0.25">
      <c r="E14325"/>
      <c r="M14325"/>
    </row>
    <row r="14326" spans="5:13" x14ac:dyDescent="0.25">
      <c r="E14326"/>
      <c r="M14326"/>
    </row>
    <row r="14327" spans="5:13" x14ac:dyDescent="0.25">
      <c r="E14327"/>
      <c r="M14327"/>
    </row>
    <row r="14328" spans="5:13" x14ac:dyDescent="0.25">
      <c r="E14328"/>
      <c r="M14328"/>
    </row>
    <row r="14329" spans="5:13" x14ac:dyDescent="0.25">
      <c r="E14329"/>
      <c r="M14329"/>
    </row>
    <row r="14330" spans="5:13" x14ac:dyDescent="0.25">
      <c r="E14330"/>
      <c r="M14330"/>
    </row>
    <row r="14331" spans="5:13" x14ac:dyDescent="0.25">
      <c r="E14331"/>
      <c r="M14331"/>
    </row>
    <row r="14332" spans="5:13" x14ac:dyDescent="0.25">
      <c r="E14332"/>
      <c r="M14332"/>
    </row>
    <row r="14333" spans="5:13" x14ac:dyDescent="0.25">
      <c r="E14333"/>
      <c r="M14333"/>
    </row>
    <row r="14334" spans="5:13" x14ac:dyDescent="0.25">
      <c r="E14334"/>
      <c r="M14334"/>
    </row>
    <row r="14335" spans="5:13" x14ac:dyDescent="0.25">
      <c r="E14335"/>
      <c r="M14335"/>
    </row>
    <row r="14336" spans="5:13" x14ac:dyDescent="0.25">
      <c r="E14336"/>
      <c r="M14336"/>
    </row>
    <row r="14337" spans="5:13" x14ac:dyDescent="0.25">
      <c r="E14337"/>
      <c r="M14337"/>
    </row>
    <row r="14338" spans="5:13" x14ac:dyDescent="0.25">
      <c r="E14338"/>
      <c r="M14338"/>
    </row>
    <row r="14339" spans="5:13" x14ac:dyDescent="0.25">
      <c r="E14339"/>
      <c r="M14339"/>
    </row>
    <row r="14340" spans="5:13" x14ac:dyDescent="0.25">
      <c r="E14340"/>
      <c r="M14340"/>
    </row>
    <row r="14341" spans="5:13" x14ac:dyDescent="0.25">
      <c r="E14341"/>
      <c r="M14341"/>
    </row>
    <row r="14342" spans="5:13" x14ac:dyDescent="0.25">
      <c r="E14342"/>
      <c r="M14342"/>
    </row>
    <row r="14343" spans="5:13" x14ac:dyDescent="0.25">
      <c r="E14343"/>
      <c r="M14343"/>
    </row>
    <row r="14344" spans="5:13" x14ac:dyDescent="0.25">
      <c r="E14344"/>
      <c r="M14344"/>
    </row>
    <row r="14345" spans="5:13" x14ac:dyDescent="0.25">
      <c r="E14345"/>
      <c r="M14345"/>
    </row>
    <row r="14346" spans="5:13" x14ac:dyDescent="0.25">
      <c r="E14346"/>
      <c r="M14346"/>
    </row>
    <row r="14347" spans="5:13" x14ac:dyDescent="0.25">
      <c r="E14347"/>
      <c r="M14347"/>
    </row>
    <row r="14348" spans="5:13" x14ac:dyDescent="0.25">
      <c r="E14348"/>
      <c r="M14348"/>
    </row>
    <row r="14349" spans="5:13" x14ac:dyDescent="0.25">
      <c r="E14349"/>
      <c r="M14349"/>
    </row>
    <row r="14350" spans="5:13" x14ac:dyDescent="0.25">
      <c r="E14350"/>
      <c r="M14350"/>
    </row>
    <row r="14351" spans="5:13" x14ac:dyDescent="0.25">
      <c r="E14351"/>
      <c r="M14351"/>
    </row>
    <row r="14352" spans="5:13" x14ac:dyDescent="0.25">
      <c r="E14352"/>
      <c r="M14352"/>
    </row>
    <row r="14353" spans="5:13" x14ac:dyDescent="0.25">
      <c r="E14353"/>
      <c r="M14353"/>
    </row>
    <row r="14354" spans="5:13" x14ac:dyDescent="0.25">
      <c r="E14354"/>
      <c r="M14354"/>
    </row>
    <row r="14355" spans="5:13" x14ac:dyDescent="0.25">
      <c r="E14355"/>
      <c r="M14355"/>
    </row>
    <row r="14356" spans="5:13" x14ac:dyDescent="0.25">
      <c r="E14356"/>
      <c r="M14356"/>
    </row>
    <row r="14357" spans="5:13" x14ac:dyDescent="0.25">
      <c r="E14357"/>
      <c r="M14357"/>
    </row>
    <row r="14358" spans="5:13" x14ac:dyDescent="0.25">
      <c r="E14358"/>
      <c r="M14358"/>
    </row>
    <row r="14359" spans="5:13" x14ac:dyDescent="0.25">
      <c r="E14359"/>
      <c r="M14359"/>
    </row>
    <row r="14360" spans="5:13" x14ac:dyDescent="0.25">
      <c r="E14360"/>
      <c r="M14360"/>
    </row>
    <row r="14361" spans="5:13" x14ac:dyDescent="0.25">
      <c r="E14361"/>
      <c r="M14361"/>
    </row>
    <row r="14362" spans="5:13" x14ac:dyDescent="0.25">
      <c r="E14362"/>
      <c r="M14362"/>
    </row>
    <row r="14363" spans="5:13" x14ac:dyDescent="0.25">
      <c r="E14363"/>
      <c r="M14363"/>
    </row>
    <row r="14364" spans="5:13" x14ac:dyDescent="0.25">
      <c r="E14364"/>
      <c r="M14364"/>
    </row>
    <row r="14365" spans="5:13" x14ac:dyDescent="0.25">
      <c r="E14365"/>
      <c r="M14365"/>
    </row>
    <row r="14366" spans="5:13" x14ac:dyDescent="0.25">
      <c r="E14366"/>
      <c r="M14366"/>
    </row>
    <row r="14367" spans="5:13" x14ac:dyDescent="0.25">
      <c r="E14367"/>
      <c r="M14367"/>
    </row>
    <row r="14368" spans="5:13" x14ac:dyDescent="0.25">
      <c r="E14368"/>
      <c r="M14368"/>
    </row>
    <row r="14369" spans="5:13" x14ac:dyDescent="0.25">
      <c r="E14369"/>
      <c r="M14369"/>
    </row>
    <row r="14370" spans="5:13" x14ac:dyDescent="0.25">
      <c r="E14370"/>
      <c r="M14370"/>
    </row>
    <row r="14371" spans="5:13" x14ac:dyDescent="0.25">
      <c r="E14371"/>
      <c r="M14371"/>
    </row>
    <row r="14372" spans="5:13" x14ac:dyDescent="0.25">
      <c r="E14372"/>
      <c r="M14372"/>
    </row>
    <row r="14373" spans="5:13" x14ac:dyDescent="0.25">
      <c r="E14373"/>
      <c r="M14373"/>
    </row>
    <row r="14374" spans="5:13" x14ac:dyDescent="0.25">
      <c r="E14374"/>
      <c r="M14374"/>
    </row>
    <row r="14375" spans="5:13" x14ac:dyDescent="0.25">
      <c r="E14375"/>
      <c r="M14375"/>
    </row>
    <row r="14376" spans="5:13" x14ac:dyDescent="0.25">
      <c r="E14376"/>
      <c r="M14376"/>
    </row>
    <row r="14377" spans="5:13" x14ac:dyDescent="0.25">
      <c r="E14377"/>
      <c r="M14377"/>
    </row>
    <row r="14378" spans="5:13" x14ac:dyDescent="0.25">
      <c r="E14378"/>
      <c r="M14378"/>
    </row>
    <row r="14379" spans="5:13" x14ac:dyDescent="0.25">
      <c r="E14379"/>
      <c r="M14379"/>
    </row>
    <row r="14380" spans="5:13" x14ac:dyDescent="0.25">
      <c r="E14380"/>
      <c r="M14380"/>
    </row>
    <row r="14381" spans="5:13" x14ac:dyDescent="0.25">
      <c r="E14381"/>
      <c r="M14381"/>
    </row>
    <row r="14382" spans="5:13" x14ac:dyDescent="0.25">
      <c r="E14382"/>
      <c r="M14382"/>
    </row>
    <row r="14383" spans="5:13" x14ac:dyDescent="0.25">
      <c r="E14383"/>
      <c r="M14383"/>
    </row>
    <row r="14384" spans="5:13" x14ac:dyDescent="0.25">
      <c r="E14384"/>
      <c r="M14384"/>
    </row>
    <row r="14385" spans="5:13" x14ac:dyDescent="0.25">
      <c r="E14385"/>
      <c r="M14385"/>
    </row>
    <row r="14386" spans="5:13" x14ac:dyDescent="0.25">
      <c r="E14386"/>
      <c r="M14386"/>
    </row>
    <row r="14387" spans="5:13" x14ac:dyDescent="0.25">
      <c r="E14387"/>
      <c r="M14387"/>
    </row>
    <row r="14388" spans="5:13" x14ac:dyDescent="0.25">
      <c r="E14388"/>
      <c r="M14388"/>
    </row>
    <row r="14389" spans="5:13" x14ac:dyDescent="0.25">
      <c r="E14389"/>
      <c r="M14389"/>
    </row>
    <row r="14390" spans="5:13" x14ac:dyDescent="0.25">
      <c r="E14390"/>
      <c r="M14390"/>
    </row>
    <row r="14391" spans="5:13" x14ac:dyDescent="0.25">
      <c r="E14391"/>
      <c r="M14391"/>
    </row>
    <row r="14392" spans="5:13" x14ac:dyDescent="0.25">
      <c r="E14392"/>
      <c r="M14392"/>
    </row>
    <row r="14393" spans="5:13" x14ac:dyDescent="0.25">
      <c r="E14393"/>
      <c r="M14393"/>
    </row>
    <row r="14394" spans="5:13" x14ac:dyDescent="0.25">
      <c r="E14394"/>
      <c r="M14394"/>
    </row>
    <row r="14395" spans="5:13" x14ac:dyDescent="0.25">
      <c r="E14395"/>
      <c r="M14395"/>
    </row>
    <row r="14396" spans="5:13" x14ac:dyDescent="0.25">
      <c r="E14396"/>
      <c r="M14396"/>
    </row>
    <row r="14397" spans="5:13" x14ac:dyDescent="0.25">
      <c r="E14397"/>
      <c r="M14397"/>
    </row>
    <row r="14398" spans="5:13" x14ac:dyDescent="0.25">
      <c r="E14398"/>
      <c r="M14398"/>
    </row>
    <row r="14399" spans="5:13" x14ac:dyDescent="0.25">
      <c r="E14399"/>
      <c r="M14399"/>
    </row>
    <row r="14400" spans="5:13" x14ac:dyDescent="0.25">
      <c r="E14400"/>
      <c r="M14400"/>
    </row>
    <row r="14401" spans="5:13" x14ac:dyDescent="0.25">
      <c r="E14401"/>
      <c r="M14401"/>
    </row>
    <row r="14402" spans="5:13" x14ac:dyDescent="0.25">
      <c r="E14402"/>
      <c r="M14402"/>
    </row>
    <row r="14403" spans="5:13" x14ac:dyDescent="0.25">
      <c r="E14403"/>
      <c r="M14403"/>
    </row>
    <row r="14404" spans="5:13" x14ac:dyDescent="0.25">
      <c r="E14404"/>
      <c r="M14404"/>
    </row>
    <row r="14405" spans="5:13" x14ac:dyDescent="0.25">
      <c r="E14405"/>
      <c r="M14405"/>
    </row>
    <row r="14406" spans="5:13" x14ac:dyDescent="0.25">
      <c r="E14406"/>
      <c r="M14406"/>
    </row>
    <row r="14407" spans="5:13" x14ac:dyDescent="0.25">
      <c r="E14407"/>
      <c r="M14407"/>
    </row>
    <row r="14408" spans="5:13" x14ac:dyDescent="0.25">
      <c r="E14408"/>
      <c r="M14408"/>
    </row>
    <row r="14409" spans="5:13" x14ac:dyDescent="0.25">
      <c r="E14409"/>
      <c r="M14409"/>
    </row>
    <row r="14410" spans="5:13" x14ac:dyDescent="0.25">
      <c r="E14410"/>
      <c r="M14410"/>
    </row>
    <row r="14411" spans="5:13" x14ac:dyDescent="0.25">
      <c r="E14411"/>
      <c r="M14411"/>
    </row>
    <row r="14412" spans="5:13" x14ac:dyDescent="0.25">
      <c r="E14412"/>
      <c r="M14412"/>
    </row>
    <row r="14413" spans="5:13" x14ac:dyDescent="0.25">
      <c r="E14413"/>
      <c r="M14413"/>
    </row>
    <row r="14414" spans="5:13" x14ac:dyDescent="0.25">
      <c r="E14414"/>
      <c r="M14414"/>
    </row>
    <row r="14415" spans="5:13" x14ac:dyDescent="0.25">
      <c r="E14415"/>
      <c r="M14415"/>
    </row>
    <row r="14416" spans="5:13" x14ac:dyDescent="0.25">
      <c r="E14416"/>
      <c r="M14416"/>
    </row>
    <row r="14417" spans="5:13" x14ac:dyDescent="0.25">
      <c r="E14417"/>
      <c r="M14417"/>
    </row>
    <row r="14418" spans="5:13" x14ac:dyDescent="0.25">
      <c r="E14418"/>
      <c r="M14418"/>
    </row>
    <row r="14419" spans="5:13" x14ac:dyDescent="0.25">
      <c r="E14419"/>
      <c r="M14419"/>
    </row>
    <row r="14420" spans="5:13" x14ac:dyDescent="0.25">
      <c r="E14420"/>
      <c r="M14420"/>
    </row>
    <row r="14421" spans="5:13" x14ac:dyDescent="0.25">
      <c r="E14421"/>
      <c r="M14421"/>
    </row>
    <row r="14422" spans="5:13" x14ac:dyDescent="0.25">
      <c r="E14422"/>
      <c r="M14422"/>
    </row>
    <row r="14423" spans="5:13" x14ac:dyDescent="0.25">
      <c r="E14423"/>
      <c r="M14423"/>
    </row>
    <row r="14424" spans="5:13" x14ac:dyDescent="0.25">
      <c r="E14424"/>
      <c r="M14424"/>
    </row>
    <row r="14425" spans="5:13" x14ac:dyDescent="0.25">
      <c r="E14425"/>
      <c r="M14425"/>
    </row>
    <row r="14426" spans="5:13" x14ac:dyDescent="0.25">
      <c r="E14426"/>
      <c r="M14426"/>
    </row>
    <row r="14427" spans="5:13" x14ac:dyDescent="0.25">
      <c r="E14427"/>
      <c r="M14427"/>
    </row>
    <row r="14428" spans="5:13" x14ac:dyDescent="0.25">
      <c r="E14428"/>
      <c r="M14428"/>
    </row>
    <row r="14429" spans="5:13" x14ac:dyDescent="0.25">
      <c r="E14429"/>
      <c r="M14429"/>
    </row>
    <row r="14430" spans="5:13" x14ac:dyDescent="0.25">
      <c r="E14430"/>
      <c r="M14430"/>
    </row>
    <row r="14431" spans="5:13" x14ac:dyDescent="0.25">
      <c r="E14431"/>
      <c r="M14431"/>
    </row>
    <row r="14432" spans="5:13" x14ac:dyDescent="0.25">
      <c r="E14432"/>
      <c r="M14432"/>
    </row>
    <row r="14433" spans="5:13" x14ac:dyDescent="0.25">
      <c r="E14433"/>
      <c r="M14433"/>
    </row>
    <row r="14434" spans="5:13" x14ac:dyDescent="0.25">
      <c r="E14434"/>
      <c r="M14434"/>
    </row>
    <row r="14435" spans="5:13" x14ac:dyDescent="0.25">
      <c r="E14435"/>
      <c r="M14435"/>
    </row>
    <row r="14436" spans="5:13" x14ac:dyDescent="0.25">
      <c r="E14436"/>
      <c r="M14436"/>
    </row>
    <row r="14437" spans="5:13" x14ac:dyDescent="0.25">
      <c r="E14437"/>
      <c r="M14437"/>
    </row>
    <row r="14438" spans="5:13" x14ac:dyDescent="0.25">
      <c r="E14438"/>
      <c r="M14438"/>
    </row>
    <row r="14439" spans="5:13" x14ac:dyDescent="0.25">
      <c r="E14439"/>
      <c r="M14439"/>
    </row>
    <row r="14440" spans="5:13" x14ac:dyDescent="0.25">
      <c r="E14440"/>
      <c r="M14440"/>
    </row>
    <row r="14441" spans="5:13" x14ac:dyDescent="0.25">
      <c r="E14441"/>
      <c r="M14441"/>
    </row>
    <row r="14442" spans="5:13" x14ac:dyDescent="0.25">
      <c r="E14442"/>
      <c r="M14442"/>
    </row>
    <row r="14443" spans="5:13" x14ac:dyDescent="0.25">
      <c r="E14443"/>
      <c r="M14443"/>
    </row>
    <row r="14444" spans="5:13" x14ac:dyDescent="0.25">
      <c r="E14444"/>
      <c r="M14444"/>
    </row>
    <row r="14445" spans="5:13" x14ac:dyDescent="0.25">
      <c r="E14445"/>
      <c r="M14445"/>
    </row>
    <row r="14446" spans="5:13" x14ac:dyDescent="0.25">
      <c r="E14446"/>
      <c r="M14446"/>
    </row>
    <row r="14447" spans="5:13" x14ac:dyDescent="0.25">
      <c r="E14447"/>
      <c r="M14447"/>
    </row>
    <row r="14448" spans="5:13" x14ac:dyDescent="0.25">
      <c r="E14448"/>
      <c r="M14448"/>
    </row>
    <row r="14449" spans="5:13" x14ac:dyDescent="0.25">
      <c r="E14449"/>
      <c r="M14449"/>
    </row>
    <row r="14450" spans="5:13" x14ac:dyDescent="0.25">
      <c r="E14450"/>
      <c r="M14450"/>
    </row>
    <row r="14451" spans="5:13" x14ac:dyDescent="0.25">
      <c r="E14451"/>
      <c r="M14451"/>
    </row>
    <row r="14452" spans="5:13" x14ac:dyDescent="0.25">
      <c r="E14452"/>
      <c r="M14452"/>
    </row>
    <row r="14453" spans="5:13" x14ac:dyDescent="0.25">
      <c r="E14453"/>
      <c r="M14453"/>
    </row>
    <row r="14454" spans="5:13" x14ac:dyDescent="0.25">
      <c r="E14454"/>
      <c r="M14454"/>
    </row>
    <row r="14455" spans="5:13" x14ac:dyDescent="0.25">
      <c r="E14455"/>
      <c r="M14455"/>
    </row>
    <row r="14456" spans="5:13" x14ac:dyDescent="0.25">
      <c r="E14456"/>
      <c r="M14456"/>
    </row>
    <row r="14457" spans="5:13" x14ac:dyDescent="0.25">
      <c r="E14457"/>
      <c r="M14457"/>
    </row>
    <row r="14458" spans="5:13" x14ac:dyDescent="0.25">
      <c r="E14458"/>
      <c r="M14458"/>
    </row>
    <row r="14459" spans="5:13" x14ac:dyDescent="0.25">
      <c r="E14459"/>
      <c r="M14459"/>
    </row>
    <row r="14460" spans="5:13" x14ac:dyDescent="0.25">
      <c r="E14460"/>
      <c r="M14460"/>
    </row>
    <row r="14461" spans="5:13" x14ac:dyDescent="0.25">
      <c r="E14461"/>
      <c r="M14461"/>
    </row>
    <row r="14462" spans="5:13" x14ac:dyDescent="0.25">
      <c r="E14462"/>
      <c r="M14462"/>
    </row>
    <row r="14463" spans="5:13" x14ac:dyDescent="0.25">
      <c r="E14463"/>
      <c r="M14463"/>
    </row>
    <row r="14464" spans="5:13" x14ac:dyDescent="0.25">
      <c r="E14464"/>
      <c r="M14464"/>
    </row>
    <row r="14465" spans="5:13" x14ac:dyDescent="0.25">
      <c r="E14465"/>
      <c r="M14465"/>
    </row>
    <row r="14466" spans="5:13" x14ac:dyDescent="0.25">
      <c r="E14466"/>
      <c r="M14466"/>
    </row>
    <row r="14467" spans="5:13" x14ac:dyDescent="0.25">
      <c r="E14467"/>
      <c r="M14467"/>
    </row>
    <row r="14468" spans="5:13" x14ac:dyDescent="0.25">
      <c r="E14468"/>
      <c r="M14468"/>
    </row>
    <row r="14469" spans="5:13" x14ac:dyDescent="0.25">
      <c r="E14469"/>
      <c r="M14469"/>
    </row>
    <row r="14470" spans="5:13" x14ac:dyDescent="0.25">
      <c r="E14470"/>
      <c r="M14470"/>
    </row>
    <row r="14471" spans="5:13" x14ac:dyDescent="0.25">
      <c r="E14471"/>
      <c r="M14471"/>
    </row>
    <row r="14472" spans="5:13" x14ac:dyDescent="0.25">
      <c r="E14472"/>
      <c r="M14472"/>
    </row>
    <row r="14473" spans="5:13" x14ac:dyDescent="0.25">
      <c r="E14473"/>
      <c r="M14473"/>
    </row>
    <row r="14474" spans="5:13" x14ac:dyDescent="0.25">
      <c r="E14474"/>
      <c r="M14474"/>
    </row>
    <row r="14475" spans="5:13" x14ac:dyDescent="0.25">
      <c r="E14475"/>
      <c r="M14475"/>
    </row>
    <row r="14476" spans="5:13" x14ac:dyDescent="0.25">
      <c r="E14476"/>
      <c r="M14476"/>
    </row>
    <row r="14477" spans="5:13" x14ac:dyDescent="0.25">
      <c r="E14477"/>
      <c r="M14477"/>
    </row>
    <row r="14478" spans="5:13" x14ac:dyDescent="0.25">
      <c r="E14478"/>
      <c r="M14478"/>
    </row>
    <row r="14479" spans="5:13" x14ac:dyDescent="0.25">
      <c r="E14479"/>
      <c r="M14479"/>
    </row>
    <row r="14480" spans="5:13" x14ac:dyDescent="0.25">
      <c r="E14480"/>
      <c r="M14480"/>
    </row>
    <row r="14481" spans="5:13" x14ac:dyDescent="0.25">
      <c r="E14481"/>
      <c r="M14481"/>
    </row>
    <row r="14482" spans="5:13" x14ac:dyDescent="0.25">
      <c r="E14482"/>
      <c r="M14482"/>
    </row>
    <row r="14483" spans="5:13" x14ac:dyDescent="0.25">
      <c r="E14483"/>
      <c r="M14483"/>
    </row>
    <row r="14484" spans="5:13" x14ac:dyDescent="0.25">
      <c r="E14484"/>
      <c r="M14484"/>
    </row>
    <row r="14485" spans="5:13" x14ac:dyDescent="0.25">
      <c r="E14485"/>
      <c r="M14485"/>
    </row>
    <row r="14486" spans="5:13" x14ac:dyDescent="0.25">
      <c r="E14486"/>
      <c r="M14486"/>
    </row>
    <row r="14487" spans="5:13" x14ac:dyDescent="0.25">
      <c r="E14487"/>
      <c r="M14487"/>
    </row>
    <row r="14488" spans="5:13" x14ac:dyDescent="0.25">
      <c r="E14488"/>
      <c r="M14488"/>
    </row>
    <row r="14489" spans="5:13" x14ac:dyDescent="0.25">
      <c r="E14489"/>
      <c r="M14489"/>
    </row>
    <row r="14490" spans="5:13" x14ac:dyDescent="0.25">
      <c r="E14490"/>
      <c r="M14490"/>
    </row>
    <row r="14491" spans="5:13" x14ac:dyDescent="0.25">
      <c r="E14491"/>
      <c r="M14491"/>
    </row>
    <row r="14492" spans="5:13" x14ac:dyDescent="0.25">
      <c r="E14492"/>
      <c r="M14492"/>
    </row>
    <row r="14493" spans="5:13" x14ac:dyDescent="0.25">
      <c r="E14493"/>
      <c r="M14493"/>
    </row>
    <row r="14494" spans="5:13" x14ac:dyDescent="0.25">
      <c r="E14494"/>
      <c r="M14494"/>
    </row>
    <row r="14495" spans="5:13" x14ac:dyDescent="0.25">
      <c r="E14495"/>
      <c r="M14495"/>
    </row>
    <row r="14496" spans="5:13" x14ac:dyDescent="0.25">
      <c r="E14496"/>
      <c r="M14496"/>
    </row>
    <row r="14497" spans="5:13" x14ac:dyDescent="0.25">
      <c r="E14497"/>
      <c r="M14497"/>
    </row>
    <row r="14498" spans="5:13" x14ac:dyDescent="0.25">
      <c r="E14498"/>
      <c r="M14498"/>
    </row>
    <row r="14499" spans="5:13" x14ac:dyDescent="0.25">
      <c r="E14499"/>
      <c r="M14499"/>
    </row>
    <row r="14500" spans="5:13" x14ac:dyDescent="0.25">
      <c r="E14500"/>
      <c r="M14500"/>
    </row>
    <row r="14501" spans="5:13" x14ac:dyDescent="0.25">
      <c r="E14501"/>
      <c r="M14501"/>
    </row>
    <row r="14502" spans="5:13" x14ac:dyDescent="0.25">
      <c r="E14502"/>
      <c r="M14502"/>
    </row>
    <row r="14503" spans="5:13" x14ac:dyDescent="0.25">
      <c r="E14503"/>
      <c r="M14503"/>
    </row>
    <row r="14504" spans="5:13" x14ac:dyDescent="0.25">
      <c r="E14504"/>
      <c r="M14504"/>
    </row>
    <row r="14505" spans="5:13" x14ac:dyDescent="0.25">
      <c r="E14505"/>
      <c r="M14505"/>
    </row>
    <row r="14506" spans="5:13" x14ac:dyDescent="0.25">
      <c r="E14506"/>
      <c r="M14506"/>
    </row>
    <row r="14507" spans="5:13" x14ac:dyDescent="0.25">
      <c r="E14507"/>
      <c r="M14507"/>
    </row>
    <row r="14508" spans="5:13" x14ac:dyDescent="0.25">
      <c r="E14508"/>
      <c r="M14508"/>
    </row>
    <row r="14509" spans="5:13" x14ac:dyDescent="0.25">
      <c r="E14509"/>
      <c r="M14509"/>
    </row>
    <row r="14510" spans="5:13" x14ac:dyDescent="0.25">
      <c r="E14510"/>
      <c r="M14510"/>
    </row>
    <row r="14511" spans="5:13" x14ac:dyDescent="0.25">
      <c r="E14511"/>
      <c r="M14511"/>
    </row>
    <row r="14512" spans="5:13" x14ac:dyDescent="0.25">
      <c r="E14512"/>
      <c r="M14512"/>
    </row>
    <row r="14513" spans="5:13" x14ac:dyDescent="0.25">
      <c r="E14513"/>
      <c r="M14513"/>
    </row>
    <row r="14514" spans="5:13" x14ac:dyDescent="0.25">
      <c r="E14514"/>
      <c r="M14514"/>
    </row>
    <row r="14515" spans="5:13" x14ac:dyDescent="0.25">
      <c r="E14515"/>
      <c r="M14515"/>
    </row>
    <row r="14516" spans="5:13" x14ac:dyDescent="0.25">
      <c r="E14516"/>
      <c r="M14516"/>
    </row>
    <row r="14517" spans="5:13" x14ac:dyDescent="0.25">
      <c r="E14517"/>
      <c r="M14517"/>
    </row>
    <row r="14518" spans="5:13" x14ac:dyDescent="0.25">
      <c r="E14518"/>
      <c r="M14518"/>
    </row>
    <row r="14519" spans="5:13" x14ac:dyDescent="0.25">
      <c r="E14519"/>
      <c r="M14519"/>
    </row>
    <row r="14520" spans="5:13" x14ac:dyDescent="0.25">
      <c r="E14520"/>
      <c r="M14520"/>
    </row>
    <row r="14521" spans="5:13" x14ac:dyDescent="0.25">
      <c r="E14521"/>
      <c r="M14521"/>
    </row>
    <row r="14522" spans="5:13" x14ac:dyDescent="0.25">
      <c r="E14522"/>
      <c r="M14522"/>
    </row>
    <row r="14523" spans="5:13" x14ac:dyDescent="0.25">
      <c r="E14523"/>
      <c r="M14523"/>
    </row>
    <row r="14524" spans="5:13" x14ac:dyDescent="0.25">
      <c r="E14524"/>
      <c r="M14524"/>
    </row>
    <row r="14525" spans="5:13" x14ac:dyDescent="0.25">
      <c r="E14525"/>
      <c r="M14525"/>
    </row>
    <row r="14526" spans="5:13" x14ac:dyDescent="0.25">
      <c r="E14526"/>
      <c r="M14526"/>
    </row>
    <row r="14527" spans="5:13" x14ac:dyDescent="0.25">
      <c r="E14527"/>
      <c r="M14527"/>
    </row>
    <row r="14528" spans="5:13" x14ac:dyDescent="0.25">
      <c r="E14528"/>
      <c r="M14528"/>
    </row>
    <row r="14529" spans="5:13" x14ac:dyDescent="0.25">
      <c r="E14529"/>
      <c r="M14529"/>
    </row>
    <row r="14530" spans="5:13" x14ac:dyDescent="0.25">
      <c r="E14530"/>
      <c r="M14530"/>
    </row>
    <row r="14531" spans="5:13" x14ac:dyDescent="0.25">
      <c r="E14531"/>
      <c r="M14531"/>
    </row>
    <row r="14532" spans="5:13" x14ac:dyDescent="0.25">
      <c r="E14532"/>
      <c r="M14532"/>
    </row>
    <row r="14533" spans="5:13" x14ac:dyDescent="0.25">
      <c r="E14533"/>
      <c r="M14533"/>
    </row>
    <row r="14534" spans="5:13" x14ac:dyDescent="0.25">
      <c r="E14534"/>
      <c r="M14534"/>
    </row>
    <row r="14535" spans="5:13" x14ac:dyDescent="0.25">
      <c r="E14535"/>
      <c r="M14535"/>
    </row>
    <row r="14536" spans="5:13" x14ac:dyDescent="0.25">
      <c r="E14536"/>
      <c r="M14536"/>
    </row>
    <row r="14537" spans="5:13" x14ac:dyDescent="0.25">
      <c r="E14537"/>
      <c r="M14537"/>
    </row>
    <row r="14538" spans="5:13" x14ac:dyDescent="0.25">
      <c r="E14538"/>
      <c r="M14538"/>
    </row>
    <row r="14539" spans="5:13" x14ac:dyDescent="0.25">
      <c r="E14539"/>
      <c r="M14539"/>
    </row>
    <row r="14540" spans="5:13" x14ac:dyDescent="0.25">
      <c r="E14540"/>
      <c r="M14540"/>
    </row>
    <row r="14541" spans="5:13" x14ac:dyDescent="0.25">
      <c r="E14541"/>
      <c r="M14541"/>
    </row>
    <row r="14542" spans="5:13" x14ac:dyDescent="0.25">
      <c r="E14542"/>
      <c r="M14542"/>
    </row>
    <row r="14543" spans="5:13" x14ac:dyDescent="0.25">
      <c r="E14543"/>
      <c r="M14543"/>
    </row>
    <row r="14544" spans="5:13" x14ac:dyDescent="0.25">
      <c r="E14544"/>
      <c r="M14544"/>
    </row>
    <row r="14545" spans="5:13" x14ac:dyDescent="0.25">
      <c r="E14545"/>
      <c r="M14545"/>
    </row>
    <row r="14546" spans="5:13" x14ac:dyDescent="0.25">
      <c r="E14546"/>
      <c r="M14546"/>
    </row>
    <row r="14547" spans="5:13" x14ac:dyDescent="0.25">
      <c r="E14547"/>
      <c r="M14547"/>
    </row>
    <row r="14548" spans="5:13" x14ac:dyDescent="0.25">
      <c r="E14548"/>
      <c r="M14548"/>
    </row>
    <row r="14549" spans="5:13" x14ac:dyDescent="0.25">
      <c r="E14549"/>
      <c r="M14549"/>
    </row>
    <row r="14550" spans="5:13" x14ac:dyDescent="0.25">
      <c r="E14550"/>
      <c r="M14550"/>
    </row>
    <row r="14551" spans="5:13" x14ac:dyDescent="0.25">
      <c r="E14551"/>
      <c r="M14551"/>
    </row>
    <row r="14552" spans="5:13" x14ac:dyDescent="0.25">
      <c r="E14552"/>
      <c r="M14552"/>
    </row>
    <row r="14553" spans="5:13" x14ac:dyDescent="0.25">
      <c r="E14553"/>
      <c r="M14553"/>
    </row>
    <row r="14554" spans="5:13" x14ac:dyDescent="0.25">
      <c r="E14554"/>
      <c r="M14554"/>
    </row>
    <row r="14555" spans="5:13" x14ac:dyDescent="0.25">
      <c r="E14555"/>
      <c r="M14555"/>
    </row>
    <row r="14556" spans="5:13" x14ac:dyDescent="0.25">
      <c r="E14556"/>
      <c r="M14556"/>
    </row>
    <row r="14557" spans="5:13" x14ac:dyDescent="0.25">
      <c r="E14557"/>
      <c r="M14557"/>
    </row>
    <row r="14558" spans="5:13" x14ac:dyDescent="0.25">
      <c r="E14558"/>
      <c r="M14558"/>
    </row>
    <row r="14559" spans="5:13" x14ac:dyDescent="0.25">
      <c r="E14559"/>
      <c r="M14559"/>
    </row>
    <row r="14560" spans="5:13" x14ac:dyDescent="0.25">
      <c r="E14560"/>
      <c r="M14560"/>
    </row>
    <row r="14561" spans="5:13" x14ac:dyDescent="0.25">
      <c r="E14561"/>
      <c r="M14561"/>
    </row>
    <row r="14562" spans="5:13" x14ac:dyDescent="0.25">
      <c r="E14562"/>
      <c r="M14562"/>
    </row>
    <row r="14563" spans="5:13" x14ac:dyDescent="0.25">
      <c r="E14563"/>
      <c r="M14563"/>
    </row>
    <row r="14564" spans="5:13" x14ac:dyDescent="0.25">
      <c r="E14564"/>
      <c r="M14564"/>
    </row>
    <row r="14565" spans="5:13" x14ac:dyDescent="0.25">
      <c r="E14565"/>
      <c r="M14565"/>
    </row>
    <row r="14566" spans="5:13" x14ac:dyDescent="0.25">
      <c r="E14566"/>
      <c r="M14566"/>
    </row>
    <row r="14567" spans="5:13" x14ac:dyDescent="0.25">
      <c r="E14567"/>
      <c r="M14567"/>
    </row>
    <row r="14568" spans="5:13" x14ac:dyDescent="0.25">
      <c r="E14568"/>
      <c r="M14568"/>
    </row>
    <row r="14569" spans="5:13" x14ac:dyDescent="0.25">
      <c r="E14569"/>
      <c r="M14569"/>
    </row>
    <row r="14570" spans="5:13" x14ac:dyDescent="0.25">
      <c r="E14570"/>
      <c r="M14570"/>
    </row>
    <row r="14571" spans="5:13" x14ac:dyDescent="0.25">
      <c r="E14571"/>
      <c r="M14571"/>
    </row>
    <row r="14572" spans="5:13" x14ac:dyDescent="0.25">
      <c r="E14572"/>
      <c r="M14572"/>
    </row>
    <row r="14573" spans="5:13" x14ac:dyDescent="0.25">
      <c r="E14573"/>
      <c r="M14573"/>
    </row>
    <row r="14574" spans="5:13" x14ac:dyDescent="0.25">
      <c r="E14574"/>
      <c r="M14574"/>
    </row>
    <row r="14575" spans="5:13" x14ac:dyDescent="0.25">
      <c r="E14575"/>
      <c r="M14575"/>
    </row>
    <row r="14576" spans="5:13" x14ac:dyDescent="0.25">
      <c r="E14576"/>
      <c r="M14576"/>
    </row>
    <row r="14577" spans="5:13" x14ac:dyDescent="0.25">
      <c r="E14577"/>
      <c r="M14577"/>
    </row>
    <row r="14578" spans="5:13" x14ac:dyDescent="0.25">
      <c r="E14578"/>
      <c r="M14578"/>
    </row>
    <row r="14579" spans="5:13" x14ac:dyDescent="0.25">
      <c r="E14579"/>
      <c r="M14579"/>
    </row>
    <row r="14580" spans="5:13" x14ac:dyDescent="0.25">
      <c r="E14580"/>
      <c r="M14580"/>
    </row>
    <row r="14581" spans="5:13" x14ac:dyDescent="0.25">
      <c r="E14581"/>
      <c r="M14581"/>
    </row>
    <row r="14582" spans="5:13" x14ac:dyDescent="0.25">
      <c r="E14582"/>
      <c r="M14582"/>
    </row>
    <row r="14583" spans="5:13" x14ac:dyDescent="0.25">
      <c r="E14583"/>
      <c r="M14583"/>
    </row>
    <row r="14584" spans="5:13" x14ac:dyDescent="0.25">
      <c r="E14584"/>
      <c r="M14584"/>
    </row>
    <row r="14585" spans="5:13" x14ac:dyDescent="0.25">
      <c r="E14585"/>
      <c r="M14585"/>
    </row>
    <row r="14586" spans="5:13" x14ac:dyDescent="0.25">
      <c r="E14586"/>
      <c r="M14586"/>
    </row>
    <row r="14587" spans="5:13" x14ac:dyDescent="0.25">
      <c r="E14587"/>
      <c r="M14587"/>
    </row>
    <row r="14588" spans="5:13" x14ac:dyDescent="0.25">
      <c r="E14588"/>
      <c r="M14588"/>
    </row>
    <row r="14589" spans="5:13" x14ac:dyDescent="0.25">
      <c r="E14589"/>
      <c r="M14589"/>
    </row>
    <row r="14590" spans="5:13" x14ac:dyDescent="0.25">
      <c r="E14590"/>
      <c r="M14590"/>
    </row>
    <row r="14591" spans="5:13" x14ac:dyDescent="0.25">
      <c r="E14591"/>
      <c r="M14591"/>
    </row>
    <row r="14592" spans="5:13" x14ac:dyDescent="0.25">
      <c r="E14592"/>
      <c r="M14592"/>
    </row>
    <row r="14593" spans="5:13" x14ac:dyDescent="0.25">
      <c r="E14593"/>
      <c r="M14593"/>
    </row>
    <row r="14594" spans="5:13" x14ac:dyDescent="0.25">
      <c r="E14594"/>
      <c r="M14594"/>
    </row>
    <row r="14595" spans="5:13" x14ac:dyDescent="0.25">
      <c r="E14595"/>
      <c r="M14595"/>
    </row>
    <row r="14596" spans="5:13" x14ac:dyDescent="0.25">
      <c r="E14596"/>
      <c r="M14596"/>
    </row>
    <row r="14597" spans="5:13" x14ac:dyDescent="0.25">
      <c r="E14597"/>
      <c r="M14597"/>
    </row>
    <row r="14598" spans="5:13" x14ac:dyDescent="0.25">
      <c r="E14598"/>
      <c r="M14598"/>
    </row>
    <row r="14599" spans="5:13" x14ac:dyDescent="0.25">
      <c r="E14599"/>
      <c r="M14599"/>
    </row>
    <row r="14600" spans="5:13" x14ac:dyDescent="0.25">
      <c r="E14600"/>
      <c r="M14600"/>
    </row>
    <row r="14601" spans="5:13" x14ac:dyDescent="0.25">
      <c r="E14601"/>
      <c r="M14601"/>
    </row>
    <row r="14602" spans="5:13" x14ac:dyDescent="0.25">
      <c r="E14602"/>
      <c r="M14602"/>
    </row>
    <row r="14603" spans="5:13" x14ac:dyDescent="0.25">
      <c r="E14603"/>
      <c r="M14603"/>
    </row>
    <row r="14604" spans="5:13" x14ac:dyDescent="0.25">
      <c r="E14604"/>
      <c r="M14604"/>
    </row>
    <row r="14605" spans="5:13" x14ac:dyDescent="0.25">
      <c r="E14605"/>
      <c r="M14605"/>
    </row>
    <row r="14606" spans="5:13" x14ac:dyDescent="0.25">
      <c r="E14606"/>
      <c r="M14606"/>
    </row>
    <row r="14607" spans="5:13" x14ac:dyDescent="0.25">
      <c r="E14607"/>
      <c r="M14607"/>
    </row>
    <row r="14608" spans="5:13" x14ac:dyDescent="0.25">
      <c r="E14608"/>
      <c r="M14608"/>
    </row>
    <row r="14609" spans="5:13" x14ac:dyDescent="0.25">
      <c r="E14609"/>
      <c r="M14609"/>
    </row>
    <row r="14610" spans="5:13" x14ac:dyDescent="0.25">
      <c r="E14610"/>
      <c r="M14610"/>
    </row>
    <row r="14611" spans="5:13" x14ac:dyDescent="0.25">
      <c r="E14611"/>
      <c r="M14611"/>
    </row>
    <row r="14612" spans="5:13" x14ac:dyDescent="0.25">
      <c r="E14612"/>
      <c r="M14612"/>
    </row>
    <row r="14613" spans="5:13" x14ac:dyDescent="0.25">
      <c r="E14613"/>
      <c r="M14613"/>
    </row>
    <row r="14614" spans="5:13" x14ac:dyDescent="0.25">
      <c r="E14614"/>
      <c r="M14614"/>
    </row>
    <row r="14615" spans="5:13" x14ac:dyDescent="0.25">
      <c r="E14615"/>
      <c r="M14615"/>
    </row>
    <row r="14616" spans="5:13" x14ac:dyDescent="0.25">
      <c r="E14616"/>
      <c r="M14616"/>
    </row>
    <row r="14617" spans="5:13" x14ac:dyDescent="0.25">
      <c r="E14617"/>
      <c r="M14617"/>
    </row>
    <row r="14618" spans="5:13" x14ac:dyDescent="0.25">
      <c r="E14618"/>
      <c r="M14618"/>
    </row>
    <row r="14619" spans="5:13" x14ac:dyDescent="0.25">
      <c r="E14619"/>
      <c r="M14619"/>
    </row>
    <row r="14620" spans="5:13" x14ac:dyDescent="0.25">
      <c r="E14620"/>
      <c r="M14620"/>
    </row>
    <row r="14621" spans="5:13" x14ac:dyDescent="0.25">
      <c r="E14621"/>
      <c r="M14621"/>
    </row>
    <row r="14622" spans="5:13" x14ac:dyDescent="0.25">
      <c r="E14622"/>
      <c r="M14622"/>
    </row>
    <row r="14623" spans="5:13" x14ac:dyDescent="0.25">
      <c r="E14623"/>
      <c r="M14623"/>
    </row>
    <row r="14624" spans="5:13" x14ac:dyDescent="0.25">
      <c r="E14624"/>
      <c r="M14624"/>
    </row>
    <row r="14625" spans="5:13" x14ac:dyDescent="0.25">
      <c r="E14625"/>
      <c r="M14625"/>
    </row>
    <row r="14626" spans="5:13" x14ac:dyDescent="0.25">
      <c r="E14626"/>
      <c r="M14626"/>
    </row>
    <row r="14627" spans="5:13" x14ac:dyDescent="0.25">
      <c r="E14627"/>
      <c r="M14627"/>
    </row>
    <row r="14628" spans="5:13" x14ac:dyDescent="0.25">
      <c r="E14628"/>
      <c r="M14628"/>
    </row>
    <row r="14629" spans="5:13" x14ac:dyDescent="0.25">
      <c r="E14629"/>
      <c r="M14629"/>
    </row>
    <row r="14630" spans="5:13" x14ac:dyDescent="0.25">
      <c r="E14630"/>
      <c r="M14630"/>
    </row>
    <row r="14631" spans="5:13" x14ac:dyDescent="0.25">
      <c r="E14631"/>
      <c r="M14631"/>
    </row>
    <row r="14632" spans="5:13" x14ac:dyDescent="0.25">
      <c r="E14632"/>
      <c r="M14632"/>
    </row>
    <row r="14633" spans="5:13" x14ac:dyDescent="0.25">
      <c r="E14633"/>
      <c r="M14633"/>
    </row>
    <row r="14634" spans="5:13" x14ac:dyDescent="0.25">
      <c r="E14634"/>
      <c r="M14634"/>
    </row>
    <row r="14635" spans="5:13" x14ac:dyDescent="0.25">
      <c r="E14635"/>
      <c r="M14635"/>
    </row>
    <row r="14636" spans="5:13" x14ac:dyDescent="0.25">
      <c r="E14636"/>
      <c r="M14636"/>
    </row>
    <row r="14637" spans="5:13" x14ac:dyDescent="0.25">
      <c r="E14637"/>
      <c r="M14637"/>
    </row>
    <row r="14638" spans="5:13" x14ac:dyDescent="0.25">
      <c r="E14638"/>
      <c r="M14638"/>
    </row>
    <row r="14639" spans="5:13" x14ac:dyDescent="0.25">
      <c r="E14639"/>
      <c r="M14639"/>
    </row>
    <row r="14640" spans="5:13" x14ac:dyDescent="0.25">
      <c r="E14640"/>
      <c r="M14640"/>
    </row>
    <row r="14641" spans="5:13" x14ac:dyDescent="0.25">
      <c r="E14641"/>
      <c r="M14641"/>
    </row>
    <row r="14642" spans="5:13" x14ac:dyDescent="0.25">
      <c r="E14642"/>
      <c r="M14642"/>
    </row>
    <row r="14643" spans="5:13" x14ac:dyDescent="0.25">
      <c r="E14643"/>
      <c r="M14643"/>
    </row>
    <row r="14644" spans="5:13" x14ac:dyDescent="0.25">
      <c r="E14644"/>
      <c r="M14644"/>
    </row>
    <row r="14645" spans="5:13" x14ac:dyDescent="0.25">
      <c r="E14645"/>
      <c r="M14645"/>
    </row>
    <row r="14646" spans="5:13" x14ac:dyDescent="0.25">
      <c r="E14646"/>
      <c r="M14646"/>
    </row>
    <row r="14647" spans="5:13" x14ac:dyDescent="0.25">
      <c r="E14647"/>
      <c r="M14647"/>
    </row>
    <row r="14648" spans="5:13" x14ac:dyDescent="0.25">
      <c r="E14648"/>
      <c r="M14648"/>
    </row>
    <row r="14649" spans="5:13" x14ac:dyDescent="0.25">
      <c r="E14649"/>
      <c r="M14649"/>
    </row>
    <row r="14650" spans="5:13" x14ac:dyDescent="0.25">
      <c r="E14650"/>
      <c r="M14650"/>
    </row>
    <row r="14651" spans="5:13" x14ac:dyDescent="0.25">
      <c r="E14651"/>
      <c r="M14651"/>
    </row>
    <row r="14652" spans="5:13" x14ac:dyDescent="0.25">
      <c r="E14652"/>
      <c r="M14652"/>
    </row>
    <row r="14653" spans="5:13" x14ac:dyDescent="0.25">
      <c r="E14653"/>
      <c r="M14653"/>
    </row>
    <row r="14654" spans="5:13" x14ac:dyDescent="0.25">
      <c r="E14654"/>
      <c r="M14654"/>
    </row>
    <row r="14655" spans="5:13" x14ac:dyDescent="0.25">
      <c r="E14655"/>
      <c r="M14655"/>
    </row>
    <row r="14656" spans="5:13" x14ac:dyDescent="0.25">
      <c r="E14656"/>
      <c r="M14656"/>
    </row>
    <row r="14657" spans="5:13" x14ac:dyDescent="0.25">
      <c r="E14657"/>
      <c r="M14657"/>
    </row>
    <row r="14658" spans="5:13" x14ac:dyDescent="0.25">
      <c r="E14658"/>
      <c r="M14658"/>
    </row>
    <row r="14659" spans="5:13" x14ac:dyDescent="0.25">
      <c r="E14659"/>
      <c r="M14659"/>
    </row>
    <row r="14660" spans="5:13" x14ac:dyDescent="0.25">
      <c r="E14660"/>
      <c r="M14660"/>
    </row>
    <row r="14661" spans="5:13" x14ac:dyDescent="0.25">
      <c r="E14661"/>
      <c r="M14661"/>
    </row>
    <row r="14662" spans="5:13" x14ac:dyDescent="0.25">
      <c r="E14662"/>
      <c r="M14662"/>
    </row>
    <row r="14663" spans="5:13" x14ac:dyDescent="0.25">
      <c r="E14663"/>
      <c r="M14663"/>
    </row>
    <row r="14664" spans="5:13" x14ac:dyDescent="0.25">
      <c r="E14664"/>
      <c r="M14664"/>
    </row>
    <row r="14665" spans="5:13" x14ac:dyDescent="0.25">
      <c r="E14665"/>
      <c r="M14665"/>
    </row>
    <row r="14666" spans="5:13" x14ac:dyDescent="0.25">
      <c r="E14666"/>
      <c r="M14666"/>
    </row>
    <row r="14667" spans="5:13" x14ac:dyDescent="0.25">
      <c r="E14667"/>
      <c r="M14667"/>
    </row>
    <row r="14668" spans="5:13" x14ac:dyDescent="0.25">
      <c r="E14668"/>
      <c r="M14668"/>
    </row>
    <row r="14669" spans="5:13" x14ac:dyDescent="0.25">
      <c r="E14669"/>
      <c r="M14669"/>
    </row>
    <row r="14670" spans="5:13" x14ac:dyDescent="0.25">
      <c r="E14670"/>
      <c r="M14670"/>
    </row>
    <row r="14671" spans="5:13" x14ac:dyDescent="0.25">
      <c r="E14671"/>
      <c r="M14671"/>
    </row>
    <row r="14672" spans="5:13" x14ac:dyDescent="0.25">
      <c r="E14672"/>
      <c r="M14672"/>
    </row>
    <row r="14673" spans="5:13" x14ac:dyDescent="0.25">
      <c r="E14673"/>
      <c r="M14673"/>
    </row>
    <row r="14674" spans="5:13" x14ac:dyDescent="0.25">
      <c r="E14674"/>
      <c r="M14674"/>
    </row>
    <row r="14675" spans="5:13" x14ac:dyDescent="0.25">
      <c r="E14675"/>
      <c r="M14675"/>
    </row>
    <row r="14676" spans="5:13" x14ac:dyDescent="0.25">
      <c r="E14676"/>
      <c r="M14676"/>
    </row>
    <row r="14677" spans="5:13" x14ac:dyDescent="0.25">
      <c r="E14677"/>
      <c r="M14677"/>
    </row>
    <row r="14678" spans="5:13" x14ac:dyDescent="0.25">
      <c r="E14678"/>
      <c r="M14678"/>
    </row>
    <row r="14679" spans="5:13" x14ac:dyDescent="0.25">
      <c r="E14679"/>
      <c r="M14679"/>
    </row>
    <row r="14680" spans="5:13" x14ac:dyDescent="0.25">
      <c r="E14680"/>
      <c r="M14680"/>
    </row>
    <row r="14681" spans="5:13" x14ac:dyDescent="0.25">
      <c r="E14681"/>
      <c r="M14681"/>
    </row>
    <row r="14682" spans="5:13" x14ac:dyDescent="0.25">
      <c r="E14682"/>
      <c r="M14682"/>
    </row>
    <row r="14683" spans="5:13" x14ac:dyDescent="0.25">
      <c r="E14683"/>
      <c r="M14683"/>
    </row>
    <row r="14684" spans="5:13" x14ac:dyDescent="0.25">
      <c r="E14684"/>
      <c r="M14684"/>
    </row>
    <row r="14685" spans="5:13" x14ac:dyDescent="0.25">
      <c r="E14685"/>
      <c r="M14685"/>
    </row>
    <row r="14686" spans="5:13" x14ac:dyDescent="0.25">
      <c r="E14686"/>
      <c r="M14686"/>
    </row>
    <row r="14687" spans="5:13" x14ac:dyDescent="0.25">
      <c r="E14687"/>
      <c r="M14687"/>
    </row>
    <row r="14688" spans="5:13" x14ac:dyDescent="0.25">
      <c r="E14688"/>
      <c r="M14688"/>
    </row>
    <row r="14689" spans="5:13" x14ac:dyDescent="0.25">
      <c r="E14689"/>
      <c r="M14689"/>
    </row>
    <row r="14690" spans="5:13" x14ac:dyDescent="0.25">
      <c r="E14690"/>
      <c r="M14690"/>
    </row>
    <row r="14691" spans="5:13" x14ac:dyDescent="0.25">
      <c r="E14691"/>
      <c r="M14691"/>
    </row>
    <row r="14692" spans="5:13" x14ac:dyDescent="0.25">
      <c r="E14692"/>
      <c r="M14692"/>
    </row>
    <row r="14693" spans="5:13" x14ac:dyDescent="0.25">
      <c r="E14693"/>
      <c r="M14693"/>
    </row>
    <row r="14694" spans="5:13" x14ac:dyDescent="0.25">
      <c r="E14694"/>
      <c r="M14694"/>
    </row>
    <row r="14695" spans="5:13" x14ac:dyDescent="0.25">
      <c r="E14695"/>
      <c r="M14695"/>
    </row>
    <row r="14696" spans="5:13" x14ac:dyDescent="0.25">
      <c r="E14696"/>
      <c r="M14696"/>
    </row>
    <row r="14697" spans="5:13" x14ac:dyDescent="0.25">
      <c r="E14697"/>
      <c r="M14697"/>
    </row>
    <row r="14698" spans="5:13" x14ac:dyDescent="0.25">
      <c r="E14698"/>
      <c r="M14698"/>
    </row>
    <row r="14699" spans="5:13" x14ac:dyDescent="0.25">
      <c r="E14699"/>
      <c r="M14699"/>
    </row>
    <row r="14700" spans="5:13" x14ac:dyDescent="0.25">
      <c r="E14700"/>
      <c r="M14700"/>
    </row>
    <row r="14701" spans="5:13" x14ac:dyDescent="0.25">
      <c r="E14701"/>
      <c r="M14701"/>
    </row>
    <row r="14702" spans="5:13" x14ac:dyDescent="0.25">
      <c r="E14702"/>
      <c r="M14702"/>
    </row>
    <row r="14703" spans="5:13" x14ac:dyDescent="0.25">
      <c r="E14703"/>
      <c r="M14703"/>
    </row>
    <row r="14704" spans="5:13" x14ac:dyDescent="0.25">
      <c r="E14704"/>
      <c r="M14704"/>
    </row>
    <row r="14705" spans="5:13" x14ac:dyDescent="0.25">
      <c r="E14705"/>
      <c r="M14705"/>
    </row>
    <row r="14706" spans="5:13" x14ac:dyDescent="0.25">
      <c r="E14706"/>
      <c r="M14706"/>
    </row>
    <row r="14707" spans="5:13" x14ac:dyDescent="0.25">
      <c r="E14707"/>
      <c r="M14707"/>
    </row>
    <row r="14708" spans="5:13" x14ac:dyDescent="0.25">
      <c r="E14708"/>
      <c r="M14708"/>
    </row>
    <row r="14709" spans="5:13" x14ac:dyDescent="0.25">
      <c r="E14709"/>
      <c r="M14709"/>
    </row>
    <row r="14710" spans="5:13" x14ac:dyDescent="0.25">
      <c r="E14710"/>
      <c r="M14710"/>
    </row>
    <row r="14711" spans="5:13" x14ac:dyDescent="0.25">
      <c r="E14711"/>
      <c r="M14711"/>
    </row>
    <row r="14712" spans="5:13" x14ac:dyDescent="0.25">
      <c r="E14712"/>
      <c r="M14712"/>
    </row>
    <row r="14713" spans="5:13" x14ac:dyDescent="0.25">
      <c r="E14713"/>
      <c r="M14713"/>
    </row>
    <row r="14714" spans="5:13" x14ac:dyDescent="0.25">
      <c r="E14714"/>
      <c r="M14714"/>
    </row>
    <row r="14715" spans="5:13" x14ac:dyDescent="0.25">
      <c r="E14715"/>
      <c r="M14715"/>
    </row>
    <row r="14716" spans="5:13" x14ac:dyDescent="0.25">
      <c r="E14716"/>
      <c r="M14716"/>
    </row>
    <row r="14717" spans="5:13" x14ac:dyDescent="0.25">
      <c r="E14717"/>
      <c r="M14717"/>
    </row>
    <row r="14718" spans="5:13" x14ac:dyDescent="0.25">
      <c r="E14718"/>
      <c r="M14718"/>
    </row>
    <row r="14719" spans="5:13" x14ac:dyDescent="0.25">
      <c r="E14719"/>
      <c r="M14719"/>
    </row>
    <row r="14720" spans="5:13" x14ac:dyDescent="0.25">
      <c r="E14720"/>
      <c r="M14720"/>
    </row>
    <row r="14721" spans="5:13" x14ac:dyDescent="0.25">
      <c r="E14721"/>
      <c r="M14721"/>
    </row>
    <row r="14722" spans="5:13" x14ac:dyDescent="0.25">
      <c r="E14722"/>
      <c r="M14722"/>
    </row>
    <row r="14723" spans="5:13" x14ac:dyDescent="0.25">
      <c r="E14723"/>
      <c r="M14723"/>
    </row>
    <row r="14724" spans="5:13" x14ac:dyDescent="0.25">
      <c r="E14724"/>
      <c r="M14724"/>
    </row>
    <row r="14725" spans="5:13" x14ac:dyDescent="0.25">
      <c r="E14725"/>
      <c r="M14725"/>
    </row>
    <row r="14726" spans="5:13" x14ac:dyDescent="0.25">
      <c r="E14726"/>
      <c r="M14726"/>
    </row>
    <row r="14727" spans="5:13" x14ac:dyDescent="0.25">
      <c r="E14727"/>
      <c r="M14727"/>
    </row>
    <row r="14728" spans="5:13" x14ac:dyDescent="0.25">
      <c r="E14728"/>
      <c r="M14728"/>
    </row>
    <row r="14729" spans="5:13" x14ac:dyDescent="0.25">
      <c r="E14729"/>
      <c r="M14729"/>
    </row>
    <row r="14730" spans="5:13" x14ac:dyDescent="0.25">
      <c r="E14730"/>
      <c r="M14730"/>
    </row>
    <row r="14731" spans="5:13" x14ac:dyDescent="0.25">
      <c r="E14731"/>
      <c r="M14731"/>
    </row>
    <row r="14732" spans="5:13" x14ac:dyDescent="0.25">
      <c r="E14732"/>
      <c r="M14732"/>
    </row>
    <row r="14733" spans="5:13" x14ac:dyDescent="0.25">
      <c r="E14733"/>
      <c r="M14733"/>
    </row>
    <row r="14734" spans="5:13" x14ac:dyDescent="0.25">
      <c r="E14734"/>
      <c r="M14734"/>
    </row>
    <row r="14735" spans="5:13" x14ac:dyDescent="0.25">
      <c r="E14735"/>
      <c r="M14735"/>
    </row>
    <row r="14736" spans="5:13" x14ac:dyDescent="0.25">
      <c r="E14736"/>
      <c r="M14736"/>
    </row>
    <row r="14737" spans="5:13" x14ac:dyDescent="0.25">
      <c r="E14737"/>
      <c r="M14737"/>
    </row>
    <row r="14738" spans="5:13" x14ac:dyDescent="0.25">
      <c r="E14738"/>
      <c r="M14738"/>
    </row>
    <row r="14739" spans="5:13" x14ac:dyDescent="0.25">
      <c r="E14739"/>
      <c r="M14739"/>
    </row>
    <row r="14740" spans="5:13" x14ac:dyDescent="0.25">
      <c r="E14740"/>
      <c r="M14740"/>
    </row>
    <row r="14741" spans="5:13" x14ac:dyDescent="0.25">
      <c r="E14741"/>
      <c r="M14741"/>
    </row>
    <row r="14742" spans="5:13" x14ac:dyDescent="0.25">
      <c r="E14742"/>
      <c r="M14742"/>
    </row>
    <row r="14743" spans="5:13" x14ac:dyDescent="0.25">
      <c r="E14743"/>
      <c r="M14743"/>
    </row>
    <row r="14744" spans="5:13" x14ac:dyDescent="0.25">
      <c r="E14744"/>
      <c r="M14744"/>
    </row>
    <row r="14745" spans="5:13" x14ac:dyDescent="0.25">
      <c r="E14745"/>
      <c r="M14745"/>
    </row>
    <row r="14746" spans="5:13" x14ac:dyDescent="0.25">
      <c r="E14746"/>
      <c r="M14746"/>
    </row>
    <row r="14747" spans="5:13" x14ac:dyDescent="0.25">
      <c r="E14747"/>
      <c r="M14747"/>
    </row>
    <row r="14748" spans="5:13" x14ac:dyDescent="0.25">
      <c r="E14748"/>
      <c r="M14748"/>
    </row>
    <row r="14749" spans="5:13" x14ac:dyDescent="0.25">
      <c r="E14749"/>
      <c r="M14749"/>
    </row>
    <row r="14750" spans="5:13" x14ac:dyDescent="0.25">
      <c r="E14750"/>
      <c r="M14750"/>
    </row>
    <row r="14751" spans="5:13" x14ac:dyDescent="0.25">
      <c r="E14751"/>
      <c r="M14751"/>
    </row>
    <row r="14752" spans="5:13" x14ac:dyDescent="0.25">
      <c r="E14752"/>
      <c r="M14752"/>
    </row>
    <row r="14753" spans="5:13" x14ac:dyDescent="0.25">
      <c r="E14753"/>
      <c r="M14753"/>
    </row>
    <row r="14754" spans="5:13" x14ac:dyDescent="0.25">
      <c r="E14754"/>
      <c r="M14754"/>
    </row>
    <row r="14755" spans="5:13" x14ac:dyDescent="0.25">
      <c r="E14755"/>
      <c r="M14755"/>
    </row>
    <row r="14756" spans="5:13" x14ac:dyDescent="0.25">
      <c r="E14756"/>
      <c r="M14756"/>
    </row>
    <row r="14757" spans="5:13" x14ac:dyDescent="0.25">
      <c r="E14757"/>
      <c r="M14757"/>
    </row>
    <row r="14758" spans="5:13" x14ac:dyDescent="0.25">
      <c r="E14758"/>
      <c r="M14758"/>
    </row>
    <row r="14759" spans="5:13" x14ac:dyDescent="0.25">
      <c r="E14759"/>
      <c r="M14759"/>
    </row>
    <row r="14760" spans="5:13" x14ac:dyDescent="0.25">
      <c r="E14760"/>
      <c r="M14760"/>
    </row>
    <row r="14761" spans="5:13" x14ac:dyDescent="0.25">
      <c r="E14761"/>
      <c r="M14761"/>
    </row>
    <row r="14762" spans="5:13" x14ac:dyDescent="0.25">
      <c r="E14762"/>
      <c r="M14762"/>
    </row>
    <row r="14763" spans="5:13" x14ac:dyDescent="0.25">
      <c r="E14763"/>
      <c r="M14763"/>
    </row>
    <row r="14764" spans="5:13" x14ac:dyDescent="0.25">
      <c r="E14764"/>
      <c r="M14764"/>
    </row>
    <row r="14765" spans="5:13" x14ac:dyDescent="0.25">
      <c r="E14765"/>
      <c r="M14765"/>
    </row>
    <row r="14766" spans="5:13" x14ac:dyDescent="0.25">
      <c r="E14766"/>
      <c r="M14766"/>
    </row>
    <row r="14767" spans="5:13" x14ac:dyDescent="0.25">
      <c r="E14767"/>
      <c r="M14767"/>
    </row>
    <row r="14768" spans="5:13" x14ac:dyDescent="0.25">
      <c r="E14768"/>
      <c r="M14768"/>
    </row>
    <row r="14769" spans="5:13" x14ac:dyDescent="0.25">
      <c r="E14769"/>
      <c r="M14769"/>
    </row>
    <row r="14770" spans="5:13" x14ac:dyDescent="0.25">
      <c r="E14770"/>
      <c r="M14770"/>
    </row>
    <row r="14771" spans="5:13" x14ac:dyDescent="0.25">
      <c r="E14771"/>
      <c r="M14771"/>
    </row>
    <row r="14772" spans="5:13" x14ac:dyDescent="0.25">
      <c r="E14772"/>
      <c r="M14772"/>
    </row>
    <row r="14773" spans="5:13" x14ac:dyDescent="0.25">
      <c r="E14773"/>
      <c r="M14773"/>
    </row>
    <row r="14774" spans="5:13" x14ac:dyDescent="0.25">
      <c r="E14774"/>
      <c r="M14774"/>
    </row>
    <row r="14775" spans="5:13" x14ac:dyDescent="0.25">
      <c r="E14775"/>
      <c r="M14775"/>
    </row>
    <row r="14776" spans="5:13" x14ac:dyDescent="0.25">
      <c r="E14776"/>
      <c r="M14776"/>
    </row>
    <row r="14777" spans="5:13" x14ac:dyDescent="0.25">
      <c r="E14777"/>
      <c r="M14777"/>
    </row>
    <row r="14778" spans="5:13" x14ac:dyDescent="0.25">
      <c r="E14778"/>
      <c r="M14778"/>
    </row>
    <row r="14779" spans="5:13" x14ac:dyDescent="0.25">
      <c r="E14779"/>
      <c r="M14779"/>
    </row>
    <row r="14780" spans="5:13" x14ac:dyDescent="0.25">
      <c r="E14780"/>
      <c r="M14780"/>
    </row>
    <row r="14781" spans="5:13" x14ac:dyDescent="0.25">
      <c r="E14781"/>
      <c r="M14781"/>
    </row>
    <row r="14782" spans="5:13" x14ac:dyDescent="0.25">
      <c r="E14782"/>
      <c r="M14782"/>
    </row>
    <row r="14783" spans="5:13" x14ac:dyDescent="0.25">
      <c r="E14783"/>
      <c r="M14783"/>
    </row>
    <row r="14784" spans="5:13" x14ac:dyDescent="0.25">
      <c r="E14784"/>
      <c r="M14784"/>
    </row>
    <row r="14785" spans="5:13" x14ac:dyDescent="0.25">
      <c r="E14785"/>
      <c r="M14785"/>
    </row>
    <row r="14786" spans="5:13" x14ac:dyDescent="0.25">
      <c r="E14786"/>
      <c r="M14786"/>
    </row>
    <row r="14787" spans="5:13" x14ac:dyDescent="0.25">
      <c r="E14787"/>
      <c r="M14787"/>
    </row>
    <row r="14788" spans="5:13" x14ac:dyDescent="0.25">
      <c r="E14788"/>
      <c r="M14788"/>
    </row>
    <row r="14789" spans="5:13" x14ac:dyDescent="0.25">
      <c r="E14789"/>
      <c r="M14789"/>
    </row>
    <row r="14790" spans="5:13" x14ac:dyDescent="0.25">
      <c r="E14790"/>
      <c r="M14790"/>
    </row>
    <row r="14791" spans="5:13" x14ac:dyDescent="0.25">
      <c r="E14791"/>
      <c r="M14791"/>
    </row>
    <row r="14792" spans="5:13" x14ac:dyDescent="0.25">
      <c r="E14792"/>
      <c r="M14792"/>
    </row>
    <row r="14793" spans="5:13" x14ac:dyDescent="0.25">
      <c r="E14793"/>
      <c r="M14793"/>
    </row>
    <row r="14794" spans="5:13" x14ac:dyDescent="0.25">
      <c r="E14794"/>
      <c r="M14794"/>
    </row>
    <row r="14795" spans="5:13" x14ac:dyDescent="0.25">
      <c r="E14795"/>
      <c r="M14795"/>
    </row>
    <row r="14796" spans="5:13" x14ac:dyDescent="0.25">
      <c r="E14796"/>
      <c r="M14796"/>
    </row>
    <row r="14797" spans="5:13" x14ac:dyDescent="0.25">
      <c r="E14797"/>
      <c r="M14797"/>
    </row>
    <row r="14798" spans="5:13" x14ac:dyDescent="0.25">
      <c r="E14798"/>
      <c r="M14798"/>
    </row>
    <row r="14799" spans="5:13" x14ac:dyDescent="0.25">
      <c r="E14799"/>
      <c r="M14799"/>
    </row>
    <row r="14800" spans="5:13" x14ac:dyDescent="0.25">
      <c r="E14800"/>
      <c r="M14800"/>
    </row>
    <row r="14801" spans="5:13" x14ac:dyDescent="0.25">
      <c r="E14801"/>
      <c r="M14801"/>
    </row>
    <row r="14802" spans="5:13" x14ac:dyDescent="0.25">
      <c r="E14802"/>
      <c r="M14802"/>
    </row>
    <row r="14803" spans="5:13" x14ac:dyDescent="0.25">
      <c r="E14803"/>
      <c r="M14803"/>
    </row>
    <row r="14804" spans="5:13" x14ac:dyDescent="0.25">
      <c r="E14804"/>
      <c r="M14804"/>
    </row>
    <row r="14805" spans="5:13" x14ac:dyDescent="0.25">
      <c r="E14805"/>
      <c r="M14805"/>
    </row>
    <row r="14806" spans="5:13" x14ac:dyDescent="0.25">
      <c r="E14806"/>
      <c r="M14806"/>
    </row>
    <row r="14807" spans="5:13" x14ac:dyDescent="0.25">
      <c r="E14807"/>
      <c r="M14807"/>
    </row>
    <row r="14808" spans="5:13" x14ac:dyDescent="0.25">
      <c r="E14808"/>
      <c r="M14808"/>
    </row>
    <row r="14809" spans="5:13" x14ac:dyDescent="0.25">
      <c r="E14809"/>
      <c r="M14809"/>
    </row>
    <row r="14810" spans="5:13" x14ac:dyDescent="0.25">
      <c r="E14810"/>
      <c r="M14810"/>
    </row>
    <row r="14811" spans="5:13" x14ac:dyDescent="0.25">
      <c r="E14811"/>
      <c r="M14811"/>
    </row>
    <row r="14812" spans="5:13" x14ac:dyDescent="0.25">
      <c r="E14812"/>
      <c r="M14812"/>
    </row>
    <row r="14813" spans="5:13" x14ac:dyDescent="0.25">
      <c r="E14813"/>
      <c r="M14813"/>
    </row>
    <row r="14814" spans="5:13" x14ac:dyDescent="0.25">
      <c r="E14814"/>
      <c r="M14814"/>
    </row>
    <row r="14815" spans="5:13" x14ac:dyDescent="0.25">
      <c r="E14815"/>
      <c r="M14815"/>
    </row>
    <row r="14816" spans="5:13" x14ac:dyDescent="0.25">
      <c r="E14816"/>
      <c r="M14816"/>
    </row>
    <row r="14817" spans="5:13" x14ac:dyDescent="0.25">
      <c r="E14817"/>
      <c r="M14817"/>
    </row>
    <row r="14818" spans="5:13" x14ac:dyDescent="0.25">
      <c r="E14818"/>
      <c r="M14818"/>
    </row>
    <row r="14819" spans="5:13" x14ac:dyDescent="0.25">
      <c r="E14819"/>
      <c r="M14819"/>
    </row>
    <row r="14820" spans="5:13" x14ac:dyDescent="0.25">
      <c r="E14820"/>
      <c r="M14820"/>
    </row>
    <row r="14821" spans="5:13" x14ac:dyDescent="0.25">
      <c r="E14821"/>
      <c r="M14821"/>
    </row>
    <row r="14822" spans="5:13" x14ac:dyDescent="0.25">
      <c r="E14822"/>
      <c r="M14822"/>
    </row>
    <row r="14823" spans="5:13" x14ac:dyDescent="0.25">
      <c r="E14823"/>
      <c r="M14823"/>
    </row>
    <row r="14824" spans="5:13" x14ac:dyDescent="0.25">
      <c r="E14824"/>
      <c r="M14824"/>
    </row>
    <row r="14825" spans="5:13" x14ac:dyDescent="0.25">
      <c r="E14825"/>
      <c r="M14825"/>
    </row>
    <row r="14826" spans="5:13" x14ac:dyDescent="0.25">
      <c r="E14826"/>
      <c r="M14826"/>
    </row>
    <row r="14827" spans="5:13" x14ac:dyDescent="0.25">
      <c r="E14827"/>
      <c r="M14827"/>
    </row>
    <row r="14828" spans="5:13" x14ac:dyDescent="0.25">
      <c r="E14828"/>
      <c r="M14828"/>
    </row>
    <row r="14829" spans="5:13" x14ac:dyDescent="0.25">
      <c r="E14829"/>
      <c r="M14829"/>
    </row>
    <row r="14830" spans="5:13" x14ac:dyDescent="0.25">
      <c r="E14830"/>
      <c r="M14830"/>
    </row>
    <row r="14831" spans="5:13" x14ac:dyDescent="0.25">
      <c r="E14831"/>
      <c r="M14831"/>
    </row>
    <row r="14832" spans="5:13" x14ac:dyDescent="0.25">
      <c r="E14832"/>
      <c r="M14832"/>
    </row>
    <row r="14833" spans="5:13" x14ac:dyDescent="0.25">
      <c r="E14833"/>
      <c r="M14833"/>
    </row>
    <row r="14834" spans="5:13" x14ac:dyDescent="0.25">
      <c r="E14834"/>
      <c r="M14834"/>
    </row>
    <row r="14835" spans="5:13" x14ac:dyDescent="0.25">
      <c r="E14835"/>
      <c r="M14835"/>
    </row>
    <row r="14836" spans="5:13" x14ac:dyDescent="0.25">
      <c r="E14836"/>
      <c r="M14836"/>
    </row>
    <row r="14837" spans="5:13" x14ac:dyDescent="0.25">
      <c r="E14837"/>
      <c r="M14837"/>
    </row>
    <row r="14838" spans="5:13" x14ac:dyDescent="0.25">
      <c r="E14838"/>
      <c r="M14838"/>
    </row>
    <row r="14839" spans="5:13" x14ac:dyDescent="0.25">
      <c r="E14839"/>
      <c r="M14839"/>
    </row>
    <row r="14840" spans="5:13" x14ac:dyDescent="0.25">
      <c r="E14840"/>
      <c r="M14840"/>
    </row>
    <row r="14841" spans="5:13" x14ac:dyDescent="0.25">
      <c r="E14841"/>
      <c r="M14841"/>
    </row>
    <row r="14842" spans="5:13" x14ac:dyDescent="0.25">
      <c r="E14842"/>
      <c r="M14842"/>
    </row>
    <row r="14843" spans="5:13" x14ac:dyDescent="0.25">
      <c r="E14843"/>
      <c r="M14843"/>
    </row>
    <row r="14844" spans="5:13" x14ac:dyDescent="0.25">
      <c r="E14844"/>
      <c r="M14844"/>
    </row>
    <row r="14845" spans="5:13" x14ac:dyDescent="0.25">
      <c r="E14845"/>
      <c r="M14845"/>
    </row>
    <row r="14846" spans="5:13" x14ac:dyDescent="0.25">
      <c r="E14846"/>
      <c r="M14846"/>
    </row>
    <row r="14847" spans="5:13" x14ac:dyDescent="0.25">
      <c r="E14847"/>
      <c r="M14847"/>
    </row>
    <row r="14848" spans="5:13" x14ac:dyDescent="0.25">
      <c r="E14848"/>
      <c r="M14848"/>
    </row>
    <row r="14849" spans="5:13" x14ac:dyDescent="0.25">
      <c r="E14849"/>
      <c r="M14849"/>
    </row>
    <row r="14850" spans="5:13" x14ac:dyDescent="0.25">
      <c r="E14850"/>
      <c r="M14850"/>
    </row>
    <row r="14851" spans="5:13" x14ac:dyDescent="0.25">
      <c r="E14851"/>
      <c r="M14851"/>
    </row>
    <row r="14852" spans="5:13" x14ac:dyDescent="0.25">
      <c r="E14852"/>
      <c r="M14852"/>
    </row>
    <row r="14853" spans="5:13" x14ac:dyDescent="0.25">
      <c r="E14853"/>
      <c r="M14853"/>
    </row>
    <row r="14854" spans="5:13" x14ac:dyDescent="0.25">
      <c r="E14854"/>
      <c r="M14854"/>
    </row>
    <row r="14855" spans="5:13" x14ac:dyDescent="0.25">
      <c r="E14855"/>
      <c r="M14855"/>
    </row>
    <row r="14856" spans="5:13" x14ac:dyDescent="0.25">
      <c r="E14856"/>
      <c r="M14856"/>
    </row>
    <row r="14857" spans="5:13" x14ac:dyDescent="0.25">
      <c r="E14857"/>
      <c r="M14857"/>
    </row>
    <row r="14858" spans="5:13" x14ac:dyDescent="0.25">
      <c r="E14858"/>
      <c r="M14858"/>
    </row>
    <row r="14859" spans="5:13" x14ac:dyDescent="0.25">
      <c r="E14859"/>
      <c r="M14859"/>
    </row>
    <row r="14860" spans="5:13" x14ac:dyDescent="0.25">
      <c r="E14860"/>
      <c r="M14860"/>
    </row>
    <row r="14861" spans="5:13" x14ac:dyDescent="0.25">
      <c r="E14861"/>
      <c r="M14861"/>
    </row>
    <row r="14862" spans="5:13" x14ac:dyDescent="0.25">
      <c r="E14862"/>
      <c r="M14862"/>
    </row>
    <row r="14863" spans="5:13" x14ac:dyDescent="0.25">
      <c r="E14863"/>
      <c r="M14863"/>
    </row>
    <row r="14864" spans="5:13" x14ac:dyDescent="0.25">
      <c r="E14864"/>
      <c r="M14864"/>
    </row>
    <row r="14865" spans="5:13" x14ac:dyDescent="0.25">
      <c r="E14865"/>
      <c r="M14865"/>
    </row>
    <row r="14866" spans="5:13" x14ac:dyDescent="0.25">
      <c r="E14866"/>
      <c r="M14866"/>
    </row>
    <row r="14867" spans="5:13" x14ac:dyDescent="0.25">
      <c r="E14867"/>
      <c r="M14867"/>
    </row>
    <row r="14868" spans="5:13" x14ac:dyDescent="0.25">
      <c r="E14868"/>
      <c r="M14868"/>
    </row>
    <row r="14869" spans="5:13" x14ac:dyDescent="0.25">
      <c r="E14869"/>
      <c r="M14869"/>
    </row>
    <row r="14870" spans="5:13" x14ac:dyDescent="0.25">
      <c r="E14870"/>
      <c r="M14870"/>
    </row>
    <row r="14871" spans="5:13" x14ac:dyDescent="0.25">
      <c r="E14871"/>
      <c r="M14871"/>
    </row>
    <row r="14872" spans="5:13" x14ac:dyDescent="0.25">
      <c r="E14872"/>
      <c r="M14872"/>
    </row>
    <row r="14873" spans="5:13" x14ac:dyDescent="0.25">
      <c r="E14873"/>
      <c r="M14873"/>
    </row>
    <row r="14874" spans="5:13" x14ac:dyDescent="0.25">
      <c r="E14874"/>
      <c r="M14874"/>
    </row>
    <row r="14875" spans="5:13" x14ac:dyDescent="0.25">
      <c r="E14875"/>
      <c r="M14875"/>
    </row>
    <row r="14876" spans="5:13" x14ac:dyDescent="0.25">
      <c r="E14876"/>
      <c r="M14876"/>
    </row>
    <row r="14877" spans="5:13" x14ac:dyDescent="0.25">
      <c r="E14877"/>
      <c r="M14877"/>
    </row>
    <row r="14878" spans="5:13" x14ac:dyDescent="0.25">
      <c r="E14878"/>
      <c r="M14878"/>
    </row>
    <row r="14879" spans="5:13" x14ac:dyDescent="0.25">
      <c r="E14879"/>
      <c r="M14879"/>
    </row>
    <row r="14880" spans="5:13" x14ac:dyDescent="0.25">
      <c r="E14880"/>
      <c r="M14880"/>
    </row>
    <row r="14881" spans="5:13" x14ac:dyDescent="0.25">
      <c r="E14881"/>
      <c r="M14881"/>
    </row>
    <row r="14882" spans="5:13" x14ac:dyDescent="0.25">
      <c r="E14882"/>
      <c r="M14882"/>
    </row>
    <row r="14883" spans="5:13" x14ac:dyDescent="0.25">
      <c r="E14883"/>
      <c r="M14883"/>
    </row>
    <row r="14884" spans="5:13" x14ac:dyDescent="0.25">
      <c r="E14884"/>
      <c r="M14884"/>
    </row>
    <row r="14885" spans="5:13" x14ac:dyDescent="0.25">
      <c r="E14885"/>
      <c r="M14885"/>
    </row>
    <row r="14886" spans="5:13" x14ac:dyDescent="0.25">
      <c r="E14886"/>
      <c r="M14886"/>
    </row>
    <row r="14887" spans="5:13" x14ac:dyDescent="0.25">
      <c r="E14887"/>
      <c r="M14887"/>
    </row>
    <row r="14888" spans="5:13" x14ac:dyDescent="0.25">
      <c r="E14888"/>
      <c r="M14888"/>
    </row>
    <row r="14889" spans="5:13" x14ac:dyDescent="0.25">
      <c r="E14889"/>
      <c r="M14889"/>
    </row>
    <row r="14890" spans="5:13" x14ac:dyDescent="0.25">
      <c r="E14890"/>
      <c r="M14890"/>
    </row>
    <row r="14891" spans="5:13" x14ac:dyDescent="0.25">
      <c r="E14891"/>
      <c r="M14891"/>
    </row>
    <row r="14892" spans="5:13" x14ac:dyDescent="0.25">
      <c r="E14892"/>
      <c r="M14892"/>
    </row>
    <row r="14893" spans="5:13" x14ac:dyDescent="0.25">
      <c r="E14893"/>
      <c r="M14893"/>
    </row>
    <row r="14894" spans="5:13" x14ac:dyDescent="0.25">
      <c r="E14894"/>
      <c r="M14894"/>
    </row>
    <row r="14895" spans="5:13" x14ac:dyDescent="0.25">
      <c r="E14895"/>
      <c r="M14895"/>
    </row>
    <row r="14896" spans="5:13" x14ac:dyDescent="0.25">
      <c r="E14896"/>
      <c r="M14896"/>
    </row>
    <row r="14897" spans="5:13" x14ac:dyDescent="0.25">
      <c r="E14897"/>
      <c r="M14897"/>
    </row>
    <row r="14898" spans="5:13" x14ac:dyDescent="0.25">
      <c r="E14898"/>
      <c r="M14898"/>
    </row>
    <row r="14899" spans="5:13" x14ac:dyDescent="0.25">
      <c r="E14899"/>
      <c r="M14899"/>
    </row>
    <row r="14900" spans="5:13" x14ac:dyDescent="0.25">
      <c r="E14900"/>
      <c r="M14900"/>
    </row>
    <row r="14901" spans="5:13" x14ac:dyDescent="0.25">
      <c r="E14901"/>
      <c r="M14901"/>
    </row>
    <row r="14902" spans="5:13" x14ac:dyDescent="0.25">
      <c r="E14902"/>
      <c r="M14902"/>
    </row>
    <row r="14903" spans="5:13" x14ac:dyDescent="0.25">
      <c r="E14903"/>
      <c r="M14903"/>
    </row>
    <row r="14904" spans="5:13" x14ac:dyDescent="0.25">
      <c r="E14904"/>
      <c r="M14904"/>
    </row>
    <row r="14905" spans="5:13" x14ac:dyDescent="0.25">
      <c r="E14905"/>
      <c r="M14905"/>
    </row>
    <row r="14906" spans="5:13" x14ac:dyDescent="0.25">
      <c r="E14906"/>
      <c r="M14906"/>
    </row>
    <row r="14907" spans="5:13" x14ac:dyDescent="0.25">
      <c r="E14907"/>
      <c r="M14907"/>
    </row>
    <row r="14908" spans="5:13" x14ac:dyDescent="0.25">
      <c r="E14908"/>
      <c r="M14908"/>
    </row>
    <row r="14909" spans="5:13" x14ac:dyDescent="0.25">
      <c r="E14909"/>
      <c r="M14909"/>
    </row>
    <row r="14910" spans="5:13" x14ac:dyDescent="0.25">
      <c r="E14910"/>
      <c r="M14910"/>
    </row>
    <row r="14911" spans="5:13" x14ac:dyDescent="0.25">
      <c r="E14911"/>
      <c r="M14911"/>
    </row>
    <row r="14912" spans="5:13" x14ac:dyDescent="0.25">
      <c r="E14912"/>
      <c r="M14912"/>
    </row>
    <row r="14913" spans="5:13" x14ac:dyDescent="0.25">
      <c r="E14913"/>
      <c r="M14913"/>
    </row>
    <row r="14914" spans="5:13" x14ac:dyDescent="0.25">
      <c r="E14914"/>
      <c r="M14914"/>
    </row>
    <row r="14915" spans="5:13" x14ac:dyDescent="0.25">
      <c r="E14915"/>
      <c r="M14915"/>
    </row>
    <row r="14916" spans="5:13" x14ac:dyDescent="0.25">
      <c r="E14916"/>
      <c r="M14916"/>
    </row>
    <row r="14917" spans="5:13" x14ac:dyDescent="0.25">
      <c r="E14917"/>
      <c r="M14917"/>
    </row>
    <row r="14918" spans="5:13" x14ac:dyDescent="0.25">
      <c r="E14918"/>
      <c r="M14918"/>
    </row>
    <row r="14919" spans="5:13" x14ac:dyDescent="0.25">
      <c r="E14919"/>
      <c r="M14919"/>
    </row>
    <row r="14920" spans="5:13" x14ac:dyDescent="0.25">
      <c r="E14920"/>
      <c r="M14920"/>
    </row>
    <row r="14921" spans="5:13" x14ac:dyDescent="0.25">
      <c r="E14921"/>
      <c r="M14921"/>
    </row>
    <row r="14922" spans="5:13" x14ac:dyDescent="0.25">
      <c r="E14922"/>
      <c r="M14922"/>
    </row>
    <row r="14923" spans="5:13" x14ac:dyDescent="0.25">
      <c r="E14923"/>
      <c r="M14923"/>
    </row>
    <row r="14924" spans="5:13" x14ac:dyDescent="0.25">
      <c r="E14924"/>
      <c r="M14924"/>
    </row>
    <row r="14925" spans="5:13" x14ac:dyDescent="0.25">
      <c r="E14925"/>
      <c r="M14925"/>
    </row>
    <row r="14926" spans="5:13" x14ac:dyDescent="0.25">
      <c r="E14926"/>
      <c r="M14926"/>
    </row>
    <row r="14927" spans="5:13" x14ac:dyDescent="0.25">
      <c r="E14927"/>
      <c r="M14927"/>
    </row>
    <row r="14928" spans="5:13" x14ac:dyDescent="0.25">
      <c r="E14928"/>
      <c r="M14928"/>
    </row>
    <row r="14929" spans="5:13" x14ac:dyDescent="0.25">
      <c r="E14929"/>
      <c r="M14929"/>
    </row>
    <row r="14930" spans="5:13" x14ac:dyDescent="0.25">
      <c r="E14930"/>
      <c r="M14930"/>
    </row>
    <row r="14931" spans="5:13" x14ac:dyDescent="0.25">
      <c r="E14931"/>
      <c r="M14931"/>
    </row>
    <row r="14932" spans="5:13" x14ac:dyDescent="0.25">
      <c r="E14932"/>
      <c r="M14932"/>
    </row>
    <row r="14933" spans="5:13" x14ac:dyDescent="0.25">
      <c r="E14933"/>
      <c r="M14933"/>
    </row>
    <row r="14934" spans="5:13" x14ac:dyDescent="0.25">
      <c r="E14934"/>
      <c r="M14934"/>
    </row>
    <row r="14935" spans="5:13" x14ac:dyDescent="0.25">
      <c r="E14935"/>
      <c r="M14935"/>
    </row>
    <row r="14936" spans="5:13" x14ac:dyDescent="0.25">
      <c r="E14936"/>
      <c r="M14936"/>
    </row>
    <row r="14937" spans="5:13" x14ac:dyDescent="0.25">
      <c r="E14937"/>
      <c r="M14937"/>
    </row>
    <row r="14938" spans="5:13" x14ac:dyDescent="0.25">
      <c r="E14938"/>
      <c r="M14938"/>
    </row>
    <row r="14939" spans="5:13" x14ac:dyDescent="0.25">
      <c r="E14939"/>
      <c r="M14939"/>
    </row>
    <row r="14940" spans="5:13" x14ac:dyDescent="0.25">
      <c r="E14940"/>
      <c r="M14940"/>
    </row>
    <row r="14941" spans="5:13" x14ac:dyDescent="0.25">
      <c r="E14941"/>
      <c r="M14941"/>
    </row>
    <row r="14942" spans="5:13" x14ac:dyDescent="0.25">
      <c r="E14942"/>
      <c r="M14942"/>
    </row>
    <row r="14943" spans="5:13" x14ac:dyDescent="0.25">
      <c r="E14943"/>
      <c r="M14943"/>
    </row>
    <row r="14944" spans="5:13" x14ac:dyDescent="0.25">
      <c r="E14944"/>
      <c r="M14944"/>
    </row>
    <row r="14945" spans="5:13" x14ac:dyDescent="0.25">
      <c r="E14945"/>
      <c r="M14945"/>
    </row>
    <row r="14946" spans="5:13" x14ac:dyDescent="0.25">
      <c r="E14946"/>
      <c r="M14946"/>
    </row>
    <row r="14947" spans="5:13" x14ac:dyDescent="0.25">
      <c r="E14947"/>
      <c r="M14947"/>
    </row>
    <row r="14948" spans="5:13" x14ac:dyDescent="0.25">
      <c r="E14948"/>
      <c r="M14948"/>
    </row>
    <row r="14949" spans="5:13" x14ac:dyDescent="0.25">
      <c r="E14949"/>
      <c r="M14949"/>
    </row>
    <row r="14950" spans="5:13" x14ac:dyDescent="0.25">
      <c r="E14950"/>
      <c r="M14950"/>
    </row>
    <row r="14951" spans="5:13" x14ac:dyDescent="0.25">
      <c r="E14951"/>
      <c r="M14951"/>
    </row>
    <row r="14952" spans="5:13" x14ac:dyDescent="0.25">
      <c r="E14952"/>
      <c r="M14952"/>
    </row>
    <row r="14953" spans="5:13" x14ac:dyDescent="0.25">
      <c r="E14953"/>
      <c r="M14953"/>
    </row>
    <row r="14954" spans="5:13" x14ac:dyDescent="0.25">
      <c r="E14954"/>
      <c r="M14954"/>
    </row>
    <row r="14955" spans="5:13" x14ac:dyDescent="0.25">
      <c r="E14955"/>
      <c r="M14955"/>
    </row>
    <row r="14956" spans="5:13" x14ac:dyDescent="0.25">
      <c r="E14956"/>
      <c r="M14956"/>
    </row>
    <row r="14957" spans="5:13" x14ac:dyDescent="0.25">
      <c r="E14957"/>
      <c r="M14957"/>
    </row>
    <row r="14958" spans="5:13" x14ac:dyDescent="0.25">
      <c r="E14958"/>
      <c r="M14958"/>
    </row>
    <row r="14959" spans="5:13" x14ac:dyDescent="0.25">
      <c r="E14959"/>
      <c r="M14959"/>
    </row>
    <row r="14960" spans="5:13" x14ac:dyDescent="0.25">
      <c r="E14960"/>
      <c r="M14960"/>
    </row>
    <row r="14961" spans="5:13" x14ac:dyDescent="0.25">
      <c r="E14961"/>
      <c r="M14961"/>
    </row>
    <row r="14962" spans="5:13" x14ac:dyDescent="0.25">
      <c r="E14962"/>
      <c r="M14962"/>
    </row>
    <row r="14963" spans="5:13" x14ac:dyDescent="0.25">
      <c r="E14963"/>
      <c r="M14963"/>
    </row>
    <row r="14964" spans="5:13" x14ac:dyDescent="0.25">
      <c r="E14964"/>
      <c r="M14964"/>
    </row>
    <row r="14965" spans="5:13" x14ac:dyDescent="0.25">
      <c r="E14965"/>
      <c r="M14965"/>
    </row>
    <row r="14966" spans="5:13" x14ac:dyDescent="0.25">
      <c r="E14966"/>
      <c r="M14966"/>
    </row>
    <row r="14967" spans="5:13" x14ac:dyDescent="0.25">
      <c r="E14967"/>
      <c r="M14967"/>
    </row>
    <row r="14968" spans="5:13" x14ac:dyDescent="0.25">
      <c r="E14968"/>
      <c r="M14968"/>
    </row>
    <row r="14969" spans="5:13" x14ac:dyDescent="0.25">
      <c r="E14969"/>
      <c r="M14969"/>
    </row>
    <row r="14970" spans="5:13" x14ac:dyDescent="0.25">
      <c r="E14970"/>
      <c r="M14970"/>
    </row>
    <row r="14971" spans="5:13" x14ac:dyDescent="0.25">
      <c r="E14971"/>
      <c r="M14971"/>
    </row>
    <row r="14972" spans="5:13" x14ac:dyDescent="0.25">
      <c r="E14972"/>
      <c r="M14972"/>
    </row>
    <row r="14973" spans="5:13" x14ac:dyDescent="0.25">
      <c r="E14973"/>
      <c r="M14973"/>
    </row>
    <row r="14974" spans="5:13" x14ac:dyDescent="0.25">
      <c r="E14974"/>
      <c r="M14974"/>
    </row>
    <row r="14975" spans="5:13" x14ac:dyDescent="0.25">
      <c r="E14975"/>
      <c r="M14975"/>
    </row>
    <row r="14976" spans="5:13" x14ac:dyDescent="0.25">
      <c r="E14976"/>
      <c r="M14976"/>
    </row>
    <row r="14977" spans="5:13" x14ac:dyDescent="0.25">
      <c r="E14977"/>
      <c r="M14977"/>
    </row>
    <row r="14978" spans="5:13" x14ac:dyDescent="0.25">
      <c r="E14978"/>
      <c r="M14978"/>
    </row>
    <row r="14979" spans="5:13" x14ac:dyDescent="0.25">
      <c r="E14979"/>
      <c r="M14979"/>
    </row>
    <row r="14980" spans="5:13" x14ac:dyDescent="0.25">
      <c r="E14980"/>
      <c r="M14980"/>
    </row>
    <row r="14981" spans="5:13" x14ac:dyDescent="0.25">
      <c r="E14981"/>
      <c r="M14981"/>
    </row>
    <row r="14982" spans="5:13" x14ac:dyDescent="0.25">
      <c r="E14982"/>
      <c r="M14982"/>
    </row>
    <row r="14983" spans="5:13" x14ac:dyDescent="0.25">
      <c r="E14983"/>
      <c r="M14983"/>
    </row>
    <row r="14984" spans="5:13" x14ac:dyDescent="0.25">
      <c r="E14984"/>
      <c r="M14984"/>
    </row>
    <row r="14985" spans="5:13" x14ac:dyDescent="0.25">
      <c r="E14985"/>
      <c r="M14985"/>
    </row>
    <row r="14986" spans="5:13" x14ac:dyDescent="0.25">
      <c r="E14986"/>
      <c r="M14986"/>
    </row>
    <row r="14987" spans="5:13" x14ac:dyDescent="0.25">
      <c r="E14987"/>
      <c r="M14987"/>
    </row>
    <row r="14988" spans="5:13" x14ac:dyDescent="0.25">
      <c r="E14988"/>
      <c r="M14988"/>
    </row>
    <row r="14989" spans="5:13" x14ac:dyDescent="0.25">
      <c r="E14989"/>
      <c r="M14989"/>
    </row>
    <row r="14990" spans="5:13" x14ac:dyDescent="0.25">
      <c r="E14990"/>
      <c r="M14990"/>
    </row>
    <row r="14991" spans="5:13" x14ac:dyDescent="0.25">
      <c r="E14991"/>
      <c r="M14991"/>
    </row>
    <row r="14992" spans="5:13" x14ac:dyDescent="0.25">
      <c r="E14992"/>
      <c r="M14992"/>
    </row>
    <row r="14993" spans="5:13" x14ac:dyDescent="0.25">
      <c r="E14993"/>
      <c r="M14993"/>
    </row>
    <row r="14994" spans="5:13" x14ac:dyDescent="0.25">
      <c r="E14994"/>
      <c r="M14994"/>
    </row>
    <row r="14995" spans="5:13" x14ac:dyDescent="0.25">
      <c r="E14995"/>
      <c r="M14995"/>
    </row>
    <row r="14996" spans="5:13" x14ac:dyDescent="0.25">
      <c r="E14996"/>
      <c r="M14996"/>
    </row>
    <row r="14997" spans="5:13" x14ac:dyDescent="0.25">
      <c r="E14997"/>
      <c r="M14997"/>
    </row>
    <row r="14998" spans="5:13" x14ac:dyDescent="0.25">
      <c r="E14998"/>
      <c r="M14998"/>
    </row>
    <row r="14999" spans="5:13" x14ac:dyDescent="0.25">
      <c r="E14999"/>
      <c r="M14999"/>
    </row>
    <row r="15000" spans="5:13" x14ac:dyDescent="0.25">
      <c r="E15000"/>
      <c r="M15000"/>
    </row>
    <row r="15001" spans="5:13" x14ac:dyDescent="0.25">
      <c r="E15001"/>
      <c r="M15001"/>
    </row>
    <row r="15002" spans="5:13" x14ac:dyDescent="0.25">
      <c r="E15002"/>
      <c r="M15002"/>
    </row>
    <row r="15003" spans="5:13" x14ac:dyDescent="0.25">
      <c r="E15003"/>
      <c r="M15003"/>
    </row>
    <row r="15004" spans="5:13" x14ac:dyDescent="0.25">
      <c r="E15004"/>
      <c r="M15004"/>
    </row>
    <row r="15005" spans="5:13" x14ac:dyDescent="0.25">
      <c r="E15005"/>
      <c r="M15005"/>
    </row>
    <row r="15006" spans="5:13" x14ac:dyDescent="0.25">
      <c r="E15006"/>
      <c r="M15006"/>
    </row>
    <row r="15007" spans="5:13" x14ac:dyDescent="0.25">
      <c r="E15007"/>
      <c r="M15007"/>
    </row>
    <row r="15008" spans="5:13" x14ac:dyDescent="0.25">
      <c r="E15008"/>
      <c r="M15008"/>
    </row>
    <row r="15009" spans="5:13" x14ac:dyDescent="0.25">
      <c r="E15009"/>
      <c r="M15009"/>
    </row>
    <row r="15010" spans="5:13" x14ac:dyDescent="0.25">
      <c r="E15010"/>
      <c r="M15010"/>
    </row>
    <row r="15011" spans="5:13" x14ac:dyDescent="0.25">
      <c r="E15011"/>
      <c r="M15011"/>
    </row>
    <row r="15012" spans="5:13" x14ac:dyDescent="0.25">
      <c r="E15012"/>
      <c r="M15012"/>
    </row>
    <row r="15013" spans="5:13" x14ac:dyDescent="0.25">
      <c r="E15013"/>
      <c r="M15013"/>
    </row>
    <row r="15014" spans="5:13" x14ac:dyDescent="0.25">
      <c r="E15014"/>
      <c r="M15014"/>
    </row>
    <row r="15015" spans="5:13" x14ac:dyDescent="0.25">
      <c r="E15015"/>
      <c r="M15015"/>
    </row>
    <row r="15016" spans="5:13" x14ac:dyDescent="0.25">
      <c r="E15016"/>
      <c r="M15016"/>
    </row>
    <row r="15017" spans="5:13" x14ac:dyDescent="0.25">
      <c r="E15017"/>
      <c r="M15017"/>
    </row>
    <row r="15018" spans="5:13" x14ac:dyDescent="0.25">
      <c r="E15018"/>
      <c r="M15018"/>
    </row>
    <row r="15019" spans="5:13" x14ac:dyDescent="0.25">
      <c r="E15019"/>
      <c r="M15019"/>
    </row>
    <row r="15020" spans="5:13" x14ac:dyDescent="0.25">
      <c r="E15020"/>
      <c r="M15020"/>
    </row>
    <row r="15021" spans="5:13" x14ac:dyDescent="0.25">
      <c r="E15021"/>
      <c r="M15021"/>
    </row>
    <row r="15022" spans="5:13" x14ac:dyDescent="0.25">
      <c r="E15022"/>
      <c r="M15022"/>
    </row>
    <row r="15023" spans="5:13" x14ac:dyDescent="0.25">
      <c r="E15023"/>
      <c r="M15023"/>
    </row>
    <row r="15024" spans="5:13" x14ac:dyDescent="0.25">
      <c r="E15024"/>
      <c r="M15024"/>
    </row>
    <row r="15025" spans="5:13" x14ac:dyDescent="0.25">
      <c r="E15025"/>
      <c r="M15025"/>
    </row>
    <row r="15026" spans="5:13" x14ac:dyDescent="0.25">
      <c r="E15026"/>
      <c r="M15026"/>
    </row>
    <row r="15027" spans="5:13" x14ac:dyDescent="0.25">
      <c r="E15027"/>
      <c r="M15027"/>
    </row>
    <row r="15028" spans="5:13" x14ac:dyDescent="0.25">
      <c r="E15028"/>
      <c r="M15028"/>
    </row>
    <row r="15029" spans="5:13" x14ac:dyDescent="0.25">
      <c r="E15029"/>
      <c r="M15029"/>
    </row>
    <row r="15030" spans="5:13" x14ac:dyDescent="0.25">
      <c r="E15030"/>
      <c r="M15030"/>
    </row>
    <row r="15031" spans="5:13" x14ac:dyDescent="0.25">
      <c r="E15031"/>
      <c r="M15031"/>
    </row>
    <row r="15032" spans="5:13" x14ac:dyDescent="0.25">
      <c r="E15032"/>
      <c r="M15032"/>
    </row>
    <row r="15033" spans="5:13" x14ac:dyDescent="0.25">
      <c r="E15033"/>
      <c r="M15033"/>
    </row>
    <row r="15034" spans="5:13" x14ac:dyDescent="0.25">
      <c r="E15034"/>
      <c r="M15034"/>
    </row>
    <row r="15035" spans="5:13" x14ac:dyDescent="0.25">
      <c r="E15035"/>
      <c r="M15035"/>
    </row>
    <row r="15036" spans="5:13" x14ac:dyDescent="0.25">
      <c r="E15036"/>
      <c r="M15036"/>
    </row>
    <row r="15037" spans="5:13" x14ac:dyDescent="0.25">
      <c r="E15037"/>
      <c r="M15037"/>
    </row>
    <row r="15038" spans="5:13" x14ac:dyDescent="0.25">
      <c r="E15038"/>
      <c r="M15038"/>
    </row>
    <row r="15039" spans="5:13" x14ac:dyDescent="0.25">
      <c r="E15039"/>
      <c r="M15039"/>
    </row>
    <row r="15040" spans="5:13" x14ac:dyDescent="0.25">
      <c r="E15040"/>
      <c r="M15040"/>
    </row>
    <row r="15041" spans="5:13" x14ac:dyDescent="0.25">
      <c r="E15041"/>
      <c r="M15041"/>
    </row>
    <row r="15042" spans="5:13" x14ac:dyDescent="0.25">
      <c r="E15042"/>
      <c r="M15042"/>
    </row>
    <row r="15043" spans="5:13" x14ac:dyDescent="0.25">
      <c r="E15043"/>
      <c r="M15043"/>
    </row>
    <row r="15044" spans="5:13" x14ac:dyDescent="0.25">
      <c r="E15044"/>
      <c r="M15044"/>
    </row>
    <row r="15045" spans="5:13" x14ac:dyDescent="0.25">
      <c r="E15045"/>
      <c r="M15045"/>
    </row>
    <row r="15046" spans="5:13" x14ac:dyDescent="0.25">
      <c r="E15046"/>
      <c r="M15046"/>
    </row>
    <row r="15047" spans="5:13" x14ac:dyDescent="0.25">
      <c r="E15047"/>
      <c r="M15047"/>
    </row>
    <row r="15048" spans="5:13" x14ac:dyDescent="0.25">
      <c r="E15048"/>
      <c r="M15048"/>
    </row>
    <row r="15049" spans="5:13" x14ac:dyDescent="0.25">
      <c r="E15049"/>
      <c r="M15049"/>
    </row>
    <row r="15050" spans="5:13" x14ac:dyDescent="0.25">
      <c r="E15050"/>
      <c r="M15050"/>
    </row>
    <row r="15051" spans="5:13" x14ac:dyDescent="0.25">
      <c r="E15051"/>
      <c r="M15051"/>
    </row>
    <row r="15052" spans="5:13" x14ac:dyDescent="0.25">
      <c r="E15052"/>
      <c r="M15052"/>
    </row>
    <row r="15053" spans="5:13" x14ac:dyDescent="0.25">
      <c r="E15053"/>
      <c r="M15053"/>
    </row>
    <row r="15054" spans="5:13" x14ac:dyDescent="0.25">
      <c r="E15054"/>
      <c r="M15054"/>
    </row>
    <row r="15055" spans="5:13" x14ac:dyDescent="0.25">
      <c r="E15055"/>
      <c r="M15055"/>
    </row>
    <row r="15056" spans="5:13" x14ac:dyDescent="0.25">
      <c r="E15056"/>
      <c r="M15056"/>
    </row>
    <row r="15057" spans="5:13" x14ac:dyDescent="0.25">
      <c r="E15057"/>
      <c r="M15057"/>
    </row>
    <row r="15058" spans="5:13" x14ac:dyDescent="0.25">
      <c r="E15058"/>
      <c r="M15058"/>
    </row>
    <row r="15059" spans="5:13" x14ac:dyDescent="0.25">
      <c r="E15059"/>
      <c r="M15059"/>
    </row>
    <row r="15060" spans="5:13" x14ac:dyDescent="0.25">
      <c r="E15060"/>
      <c r="M15060"/>
    </row>
    <row r="15061" spans="5:13" x14ac:dyDescent="0.25">
      <c r="E15061"/>
      <c r="M15061"/>
    </row>
    <row r="15062" spans="5:13" x14ac:dyDescent="0.25">
      <c r="E15062"/>
      <c r="M15062"/>
    </row>
    <row r="15063" spans="5:13" x14ac:dyDescent="0.25">
      <c r="E15063"/>
      <c r="M15063"/>
    </row>
    <row r="15064" spans="5:13" x14ac:dyDescent="0.25">
      <c r="E15064"/>
      <c r="M15064"/>
    </row>
    <row r="15065" spans="5:13" x14ac:dyDescent="0.25">
      <c r="E15065"/>
      <c r="M15065"/>
    </row>
    <row r="15066" spans="5:13" x14ac:dyDescent="0.25">
      <c r="E15066"/>
      <c r="M15066"/>
    </row>
    <row r="15067" spans="5:13" x14ac:dyDescent="0.25">
      <c r="E15067"/>
      <c r="M15067"/>
    </row>
    <row r="15068" spans="5:13" x14ac:dyDescent="0.25">
      <c r="E15068"/>
      <c r="M15068"/>
    </row>
    <row r="15069" spans="5:13" x14ac:dyDescent="0.25">
      <c r="E15069"/>
      <c r="M15069"/>
    </row>
    <row r="15070" spans="5:13" x14ac:dyDescent="0.25">
      <c r="E15070"/>
      <c r="M15070"/>
    </row>
    <row r="15071" spans="5:13" x14ac:dyDescent="0.25">
      <c r="E15071"/>
      <c r="M15071"/>
    </row>
    <row r="15072" spans="5:13" x14ac:dyDescent="0.25">
      <c r="E15072"/>
      <c r="M15072"/>
    </row>
    <row r="15073" spans="5:13" x14ac:dyDescent="0.25">
      <c r="E15073"/>
      <c r="M15073"/>
    </row>
    <row r="15074" spans="5:13" x14ac:dyDescent="0.25">
      <c r="E15074"/>
      <c r="M15074"/>
    </row>
    <row r="15075" spans="5:13" x14ac:dyDescent="0.25">
      <c r="E15075"/>
      <c r="M15075"/>
    </row>
    <row r="15076" spans="5:13" x14ac:dyDescent="0.25">
      <c r="E15076"/>
      <c r="M15076"/>
    </row>
    <row r="15077" spans="5:13" x14ac:dyDescent="0.25">
      <c r="E15077"/>
      <c r="M15077"/>
    </row>
    <row r="15078" spans="5:13" x14ac:dyDescent="0.25">
      <c r="E15078"/>
      <c r="M15078"/>
    </row>
    <row r="15079" spans="5:13" x14ac:dyDescent="0.25">
      <c r="E15079"/>
      <c r="M15079"/>
    </row>
    <row r="15080" spans="5:13" x14ac:dyDescent="0.25">
      <c r="E15080"/>
      <c r="M15080"/>
    </row>
    <row r="15081" spans="5:13" x14ac:dyDescent="0.25">
      <c r="E15081"/>
      <c r="M15081"/>
    </row>
    <row r="15082" spans="5:13" x14ac:dyDescent="0.25">
      <c r="E15082"/>
      <c r="M15082"/>
    </row>
    <row r="15083" spans="5:13" x14ac:dyDescent="0.25">
      <c r="E15083"/>
      <c r="M15083"/>
    </row>
    <row r="15084" spans="5:13" x14ac:dyDescent="0.25">
      <c r="E15084"/>
      <c r="M15084"/>
    </row>
    <row r="15085" spans="5:13" x14ac:dyDescent="0.25">
      <c r="E15085"/>
      <c r="M15085"/>
    </row>
    <row r="15086" spans="5:13" x14ac:dyDescent="0.25">
      <c r="E15086"/>
      <c r="M15086"/>
    </row>
    <row r="15087" spans="5:13" x14ac:dyDescent="0.25">
      <c r="E15087"/>
      <c r="M15087"/>
    </row>
    <row r="15088" spans="5:13" x14ac:dyDescent="0.25">
      <c r="E15088"/>
      <c r="M15088"/>
    </row>
    <row r="15089" spans="5:13" x14ac:dyDescent="0.25">
      <c r="E15089"/>
      <c r="M15089"/>
    </row>
    <row r="15090" spans="5:13" x14ac:dyDescent="0.25">
      <c r="E15090"/>
      <c r="M15090"/>
    </row>
    <row r="15091" spans="5:13" x14ac:dyDescent="0.25">
      <c r="E15091"/>
      <c r="M15091"/>
    </row>
    <row r="15092" spans="5:13" x14ac:dyDescent="0.25">
      <c r="E15092"/>
      <c r="M15092"/>
    </row>
    <row r="15093" spans="5:13" x14ac:dyDescent="0.25">
      <c r="E15093"/>
      <c r="M15093"/>
    </row>
    <row r="15094" spans="5:13" x14ac:dyDescent="0.25">
      <c r="E15094"/>
      <c r="M15094"/>
    </row>
    <row r="15095" spans="5:13" x14ac:dyDescent="0.25">
      <c r="E15095"/>
      <c r="M15095"/>
    </row>
    <row r="15096" spans="5:13" x14ac:dyDescent="0.25">
      <c r="E15096"/>
      <c r="M15096"/>
    </row>
    <row r="15097" spans="5:13" x14ac:dyDescent="0.25">
      <c r="E15097"/>
      <c r="M15097"/>
    </row>
    <row r="15098" spans="5:13" x14ac:dyDescent="0.25">
      <c r="E15098"/>
      <c r="M15098"/>
    </row>
    <row r="15099" spans="5:13" x14ac:dyDescent="0.25">
      <c r="E15099"/>
      <c r="M15099"/>
    </row>
    <row r="15100" spans="5:13" x14ac:dyDescent="0.25">
      <c r="E15100"/>
      <c r="M15100"/>
    </row>
    <row r="15101" spans="5:13" x14ac:dyDescent="0.25">
      <c r="E15101"/>
      <c r="M15101"/>
    </row>
    <row r="15102" spans="5:13" x14ac:dyDescent="0.25">
      <c r="E15102"/>
      <c r="M15102"/>
    </row>
    <row r="15103" spans="5:13" x14ac:dyDescent="0.25">
      <c r="E15103"/>
      <c r="M15103"/>
    </row>
    <row r="15104" spans="5:13" x14ac:dyDescent="0.25">
      <c r="E15104"/>
      <c r="M15104"/>
    </row>
    <row r="15105" spans="5:13" x14ac:dyDescent="0.25">
      <c r="E15105"/>
      <c r="M15105"/>
    </row>
    <row r="15106" spans="5:13" x14ac:dyDescent="0.25">
      <c r="E15106"/>
      <c r="M15106"/>
    </row>
    <row r="15107" spans="5:13" x14ac:dyDescent="0.25">
      <c r="E15107"/>
      <c r="M15107"/>
    </row>
    <row r="15108" spans="5:13" x14ac:dyDescent="0.25">
      <c r="E15108"/>
      <c r="M15108"/>
    </row>
    <row r="15109" spans="5:13" x14ac:dyDescent="0.25">
      <c r="E15109"/>
      <c r="M15109"/>
    </row>
    <row r="15110" spans="5:13" x14ac:dyDescent="0.25">
      <c r="E15110"/>
      <c r="M15110"/>
    </row>
    <row r="15111" spans="5:13" x14ac:dyDescent="0.25">
      <c r="E15111"/>
      <c r="M15111"/>
    </row>
    <row r="15112" spans="5:13" x14ac:dyDescent="0.25">
      <c r="E15112"/>
      <c r="M15112"/>
    </row>
    <row r="15113" spans="5:13" x14ac:dyDescent="0.25">
      <c r="E15113"/>
      <c r="M15113"/>
    </row>
    <row r="15114" spans="5:13" x14ac:dyDescent="0.25">
      <c r="E15114"/>
      <c r="M15114"/>
    </row>
    <row r="15115" spans="5:13" x14ac:dyDescent="0.25">
      <c r="E15115"/>
      <c r="M15115"/>
    </row>
    <row r="15116" spans="5:13" x14ac:dyDescent="0.25">
      <c r="E15116"/>
      <c r="M15116"/>
    </row>
    <row r="15117" spans="5:13" x14ac:dyDescent="0.25">
      <c r="E15117"/>
      <c r="M15117"/>
    </row>
    <row r="15118" spans="5:13" x14ac:dyDescent="0.25">
      <c r="E15118"/>
      <c r="M15118"/>
    </row>
    <row r="15119" spans="5:13" x14ac:dyDescent="0.25">
      <c r="E15119"/>
      <c r="M15119"/>
    </row>
    <row r="15120" spans="5:13" x14ac:dyDescent="0.25">
      <c r="E15120"/>
      <c r="M15120"/>
    </row>
    <row r="15121" spans="5:13" x14ac:dyDescent="0.25">
      <c r="E15121"/>
      <c r="M15121"/>
    </row>
    <row r="15122" spans="5:13" x14ac:dyDescent="0.25">
      <c r="E15122"/>
      <c r="M15122"/>
    </row>
    <row r="15123" spans="5:13" x14ac:dyDescent="0.25">
      <c r="E15123"/>
      <c r="M15123"/>
    </row>
    <row r="15124" spans="5:13" x14ac:dyDescent="0.25">
      <c r="E15124"/>
      <c r="M15124"/>
    </row>
    <row r="15125" spans="5:13" x14ac:dyDescent="0.25">
      <c r="E15125"/>
      <c r="M15125"/>
    </row>
    <row r="15126" spans="5:13" x14ac:dyDescent="0.25">
      <c r="E15126"/>
      <c r="M15126"/>
    </row>
    <row r="15127" spans="5:13" x14ac:dyDescent="0.25">
      <c r="E15127"/>
      <c r="M15127"/>
    </row>
    <row r="15128" spans="5:13" x14ac:dyDescent="0.25">
      <c r="E15128"/>
      <c r="M15128"/>
    </row>
    <row r="15129" spans="5:13" x14ac:dyDescent="0.25">
      <c r="E15129"/>
      <c r="M15129"/>
    </row>
    <row r="15130" spans="5:13" x14ac:dyDescent="0.25">
      <c r="E15130"/>
      <c r="M15130"/>
    </row>
    <row r="15131" spans="5:13" x14ac:dyDescent="0.25">
      <c r="E15131"/>
      <c r="M15131"/>
    </row>
    <row r="15132" spans="5:13" x14ac:dyDescent="0.25">
      <c r="E15132"/>
      <c r="M15132"/>
    </row>
    <row r="15133" spans="5:13" x14ac:dyDescent="0.25">
      <c r="E15133"/>
      <c r="M15133"/>
    </row>
    <row r="15134" spans="5:13" x14ac:dyDescent="0.25">
      <c r="E15134"/>
      <c r="M15134"/>
    </row>
    <row r="15135" spans="5:13" x14ac:dyDescent="0.25">
      <c r="E15135"/>
      <c r="M15135"/>
    </row>
    <row r="15136" spans="5:13" x14ac:dyDescent="0.25">
      <c r="E15136"/>
      <c r="M15136"/>
    </row>
    <row r="15137" spans="5:13" x14ac:dyDescent="0.25">
      <c r="E15137"/>
      <c r="M15137"/>
    </row>
    <row r="15138" spans="5:13" x14ac:dyDescent="0.25">
      <c r="E15138"/>
      <c r="M15138"/>
    </row>
    <row r="15139" spans="5:13" x14ac:dyDescent="0.25">
      <c r="E15139"/>
      <c r="M15139"/>
    </row>
    <row r="15140" spans="5:13" x14ac:dyDescent="0.25">
      <c r="E15140"/>
      <c r="M15140"/>
    </row>
    <row r="15141" spans="5:13" x14ac:dyDescent="0.25">
      <c r="E15141"/>
      <c r="M15141"/>
    </row>
    <row r="15142" spans="5:13" x14ac:dyDescent="0.25">
      <c r="E15142"/>
      <c r="M15142"/>
    </row>
    <row r="15143" spans="5:13" x14ac:dyDescent="0.25">
      <c r="E15143"/>
      <c r="M15143"/>
    </row>
    <row r="15144" spans="5:13" x14ac:dyDescent="0.25">
      <c r="E15144"/>
      <c r="M15144"/>
    </row>
    <row r="15145" spans="5:13" x14ac:dyDescent="0.25">
      <c r="E15145"/>
      <c r="M15145"/>
    </row>
    <row r="15146" spans="5:13" x14ac:dyDescent="0.25">
      <c r="E15146"/>
      <c r="M15146"/>
    </row>
    <row r="15147" spans="5:13" x14ac:dyDescent="0.25">
      <c r="E15147"/>
      <c r="M15147"/>
    </row>
    <row r="15148" spans="5:13" x14ac:dyDescent="0.25">
      <c r="E15148"/>
      <c r="M15148"/>
    </row>
    <row r="15149" spans="5:13" x14ac:dyDescent="0.25">
      <c r="E15149"/>
      <c r="M15149"/>
    </row>
    <row r="15150" spans="5:13" x14ac:dyDescent="0.25">
      <c r="E15150"/>
      <c r="M15150"/>
    </row>
    <row r="15151" spans="5:13" x14ac:dyDescent="0.25">
      <c r="E15151"/>
      <c r="M15151"/>
    </row>
    <row r="15152" spans="5:13" x14ac:dyDescent="0.25">
      <c r="E15152"/>
      <c r="M15152"/>
    </row>
    <row r="15153" spans="5:13" x14ac:dyDescent="0.25">
      <c r="E15153"/>
      <c r="M15153"/>
    </row>
    <row r="15154" spans="5:13" x14ac:dyDescent="0.25">
      <c r="E15154"/>
      <c r="M15154"/>
    </row>
    <row r="15155" spans="5:13" x14ac:dyDescent="0.25">
      <c r="E15155"/>
      <c r="M15155"/>
    </row>
    <row r="15156" spans="5:13" x14ac:dyDescent="0.25">
      <c r="E15156"/>
      <c r="M15156"/>
    </row>
    <row r="15157" spans="5:13" x14ac:dyDescent="0.25">
      <c r="E15157"/>
      <c r="M15157"/>
    </row>
    <row r="15158" spans="5:13" x14ac:dyDescent="0.25">
      <c r="E15158"/>
      <c r="M15158"/>
    </row>
    <row r="15159" spans="5:13" x14ac:dyDescent="0.25">
      <c r="E15159"/>
      <c r="M15159"/>
    </row>
    <row r="15160" spans="5:13" x14ac:dyDescent="0.25">
      <c r="E15160"/>
      <c r="M15160"/>
    </row>
    <row r="15161" spans="5:13" x14ac:dyDescent="0.25">
      <c r="E15161"/>
      <c r="M15161"/>
    </row>
    <row r="15162" spans="5:13" x14ac:dyDescent="0.25">
      <c r="E15162"/>
      <c r="M15162"/>
    </row>
    <row r="15163" spans="5:13" x14ac:dyDescent="0.25">
      <c r="E15163"/>
      <c r="M15163"/>
    </row>
    <row r="15164" spans="5:13" x14ac:dyDescent="0.25">
      <c r="E15164"/>
      <c r="M15164"/>
    </row>
    <row r="15165" spans="5:13" x14ac:dyDescent="0.25">
      <c r="E15165"/>
      <c r="M15165"/>
    </row>
    <row r="15166" spans="5:13" x14ac:dyDescent="0.25">
      <c r="E15166"/>
      <c r="M15166"/>
    </row>
    <row r="15167" spans="5:13" x14ac:dyDescent="0.25">
      <c r="E15167"/>
      <c r="M15167"/>
    </row>
    <row r="15168" spans="5:13" x14ac:dyDescent="0.25">
      <c r="E15168"/>
      <c r="M15168"/>
    </row>
    <row r="15169" spans="5:13" x14ac:dyDescent="0.25">
      <c r="E15169"/>
      <c r="M15169"/>
    </row>
    <row r="15170" spans="5:13" x14ac:dyDescent="0.25">
      <c r="E15170"/>
      <c r="M15170"/>
    </row>
    <row r="15171" spans="5:13" x14ac:dyDescent="0.25">
      <c r="E15171"/>
      <c r="M15171"/>
    </row>
    <row r="15172" spans="5:13" x14ac:dyDescent="0.25">
      <c r="E15172"/>
      <c r="M15172"/>
    </row>
    <row r="15173" spans="5:13" x14ac:dyDescent="0.25">
      <c r="E15173"/>
      <c r="M15173"/>
    </row>
    <row r="15174" spans="5:13" x14ac:dyDescent="0.25">
      <c r="E15174"/>
      <c r="M15174"/>
    </row>
    <row r="15175" spans="5:13" x14ac:dyDescent="0.25">
      <c r="E15175"/>
      <c r="M15175"/>
    </row>
    <row r="15176" spans="5:13" x14ac:dyDescent="0.25">
      <c r="E15176"/>
      <c r="M15176"/>
    </row>
    <row r="15177" spans="5:13" x14ac:dyDescent="0.25">
      <c r="E15177"/>
      <c r="M15177"/>
    </row>
    <row r="15178" spans="5:13" x14ac:dyDescent="0.25">
      <c r="E15178"/>
      <c r="M15178"/>
    </row>
    <row r="15179" spans="5:13" x14ac:dyDescent="0.25">
      <c r="E15179"/>
      <c r="M15179"/>
    </row>
    <row r="15180" spans="5:13" x14ac:dyDescent="0.25">
      <c r="E15180"/>
      <c r="M15180"/>
    </row>
    <row r="15181" spans="5:13" x14ac:dyDescent="0.25">
      <c r="E15181"/>
      <c r="M15181"/>
    </row>
    <row r="15182" spans="5:13" x14ac:dyDescent="0.25">
      <c r="E15182"/>
      <c r="M15182"/>
    </row>
    <row r="15183" spans="5:13" x14ac:dyDescent="0.25">
      <c r="E15183"/>
      <c r="M15183"/>
    </row>
    <row r="15184" spans="5:13" x14ac:dyDescent="0.25">
      <c r="E15184"/>
      <c r="M15184"/>
    </row>
    <row r="15185" spans="5:13" x14ac:dyDescent="0.25">
      <c r="E15185"/>
      <c r="M15185"/>
    </row>
    <row r="15186" spans="5:13" x14ac:dyDescent="0.25">
      <c r="E15186"/>
      <c r="M15186"/>
    </row>
    <row r="15187" spans="5:13" x14ac:dyDescent="0.25">
      <c r="E15187"/>
      <c r="M15187"/>
    </row>
    <row r="15188" spans="5:13" x14ac:dyDescent="0.25">
      <c r="E15188"/>
      <c r="M15188"/>
    </row>
    <row r="15189" spans="5:13" x14ac:dyDescent="0.25">
      <c r="E15189"/>
      <c r="M15189"/>
    </row>
    <row r="15190" spans="5:13" x14ac:dyDescent="0.25">
      <c r="E15190"/>
      <c r="M15190"/>
    </row>
    <row r="15191" spans="5:13" x14ac:dyDescent="0.25">
      <c r="E15191"/>
      <c r="M15191"/>
    </row>
    <row r="15192" spans="5:13" x14ac:dyDescent="0.25">
      <c r="E15192"/>
      <c r="M15192"/>
    </row>
    <row r="15193" spans="5:13" x14ac:dyDescent="0.25">
      <c r="E15193"/>
      <c r="M15193"/>
    </row>
    <row r="15194" spans="5:13" x14ac:dyDescent="0.25">
      <c r="E15194"/>
      <c r="M15194"/>
    </row>
    <row r="15195" spans="5:13" x14ac:dyDescent="0.25">
      <c r="E15195"/>
      <c r="M15195"/>
    </row>
    <row r="15196" spans="5:13" x14ac:dyDescent="0.25">
      <c r="E15196"/>
      <c r="M15196"/>
    </row>
    <row r="15197" spans="5:13" x14ac:dyDescent="0.25">
      <c r="E15197"/>
      <c r="M15197"/>
    </row>
    <row r="15198" spans="5:13" x14ac:dyDescent="0.25">
      <c r="E15198"/>
      <c r="M15198"/>
    </row>
    <row r="15199" spans="5:13" x14ac:dyDescent="0.25">
      <c r="E15199"/>
      <c r="M15199"/>
    </row>
    <row r="15200" spans="5:13" x14ac:dyDescent="0.25">
      <c r="E15200"/>
      <c r="M15200"/>
    </row>
    <row r="15201" spans="5:13" x14ac:dyDescent="0.25">
      <c r="E15201"/>
      <c r="M15201"/>
    </row>
    <row r="15202" spans="5:13" x14ac:dyDescent="0.25">
      <c r="E15202"/>
      <c r="M15202"/>
    </row>
    <row r="15203" spans="5:13" x14ac:dyDescent="0.25">
      <c r="E15203"/>
      <c r="M15203"/>
    </row>
    <row r="15204" spans="5:13" x14ac:dyDescent="0.25">
      <c r="E15204"/>
      <c r="M15204"/>
    </row>
    <row r="15205" spans="5:13" x14ac:dyDescent="0.25">
      <c r="E15205"/>
      <c r="M15205"/>
    </row>
    <row r="15206" spans="5:13" x14ac:dyDescent="0.25">
      <c r="E15206"/>
      <c r="M15206"/>
    </row>
    <row r="15207" spans="5:13" x14ac:dyDescent="0.25">
      <c r="E15207"/>
      <c r="M15207"/>
    </row>
    <row r="15208" spans="5:13" x14ac:dyDescent="0.25">
      <c r="E15208"/>
      <c r="M15208"/>
    </row>
    <row r="15209" spans="5:13" x14ac:dyDescent="0.25">
      <c r="E15209"/>
      <c r="M15209"/>
    </row>
    <row r="15210" spans="5:13" x14ac:dyDescent="0.25">
      <c r="E15210"/>
      <c r="M15210"/>
    </row>
    <row r="15211" spans="5:13" x14ac:dyDescent="0.25">
      <c r="E15211"/>
      <c r="M15211"/>
    </row>
    <row r="15212" spans="5:13" x14ac:dyDescent="0.25">
      <c r="E15212"/>
      <c r="M15212"/>
    </row>
    <row r="15213" spans="5:13" x14ac:dyDescent="0.25">
      <c r="E15213"/>
      <c r="M15213"/>
    </row>
    <row r="15214" spans="5:13" x14ac:dyDescent="0.25">
      <c r="E15214"/>
      <c r="M15214"/>
    </row>
    <row r="15215" spans="5:13" x14ac:dyDescent="0.25">
      <c r="E15215"/>
      <c r="M15215"/>
    </row>
    <row r="15216" spans="5:13" x14ac:dyDescent="0.25">
      <c r="E15216"/>
      <c r="M15216"/>
    </row>
    <row r="15217" spans="5:13" x14ac:dyDescent="0.25">
      <c r="E15217"/>
      <c r="M15217"/>
    </row>
    <row r="15218" spans="5:13" x14ac:dyDescent="0.25">
      <c r="E15218"/>
      <c r="M15218"/>
    </row>
    <row r="15219" spans="5:13" x14ac:dyDescent="0.25">
      <c r="E15219"/>
      <c r="M15219"/>
    </row>
    <row r="15220" spans="5:13" x14ac:dyDescent="0.25">
      <c r="E15220"/>
      <c r="M15220"/>
    </row>
    <row r="15221" spans="5:13" x14ac:dyDescent="0.25">
      <c r="E15221"/>
      <c r="M15221"/>
    </row>
    <row r="15222" spans="5:13" x14ac:dyDescent="0.25">
      <c r="E15222"/>
      <c r="M15222"/>
    </row>
    <row r="15223" spans="5:13" x14ac:dyDescent="0.25">
      <c r="E15223"/>
      <c r="M15223"/>
    </row>
    <row r="15224" spans="5:13" x14ac:dyDescent="0.25">
      <c r="E15224"/>
      <c r="M15224"/>
    </row>
    <row r="15225" spans="5:13" x14ac:dyDescent="0.25">
      <c r="E15225"/>
      <c r="M15225"/>
    </row>
    <row r="15226" spans="5:13" x14ac:dyDescent="0.25">
      <c r="E15226"/>
      <c r="M15226"/>
    </row>
    <row r="15227" spans="5:13" x14ac:dyDescent="0.25">
      <c r="E15227"/>
      <c r="M15227"/>
    </row>
    <row r="15228" spans="5:13" x14ac:dyDescent="0.25">
      <c r="E15228"/>
      <c r="M15228"/>
    </row>
    <row r="15229" spans="5:13" x14ac:dyDescent="0.25">
      <c r="E15229"/>
      <c r="M15229"/>
    </row>
    <row r="15230" spans="5:13" x14ac:dyDescent="0.25">
      <c r="E15230"/>
      <c r="M15230"/>
    </row>
    <row r="15231" spans="5:13" x14ac:dyDescent="0.25">
      <c r="E15231"/>
      <c r="M15231"/>
    </row>
    <row r="15232" spans="5:13" x14ac:dyDescent="0.25">
      <c r="E15232"/>
      <c r="M15232"/>
    </row>
    <row r="15233" spans="5:13" x14ac:dyDescent="0.25">
      <c r="E15233"/>
      <c r="M15233"/>
    </row>
    <row r="15234" spans="5:13" x14ac:dyDescent="0.25">
      <c r="E15234"/>
      <c r="M15234"/>
    </row>
    <row r="15235" spans="5:13" x14ac:dyDescent="0.25">
      <c r="E15235"/>
      <c r="M15235"/>
    </row>
    <row r="15236" spans="5:13" x14ac:dyDescent="0.25">
      <c r="E15236"/>
      <c r="M15236"/>
    </row>
    <row r="15237" spans="5:13" x14ac:dyDescent="0.25">
      <c r="E15237"/>
      <c r="M15237"/>
    </row>
    <row r="15238" spans="5:13" x14ac:dyDescent="0.25">
      <c r="E15238"/>
      <c r="M15238"/>
    </row>
    <row r="15239" spans="5:13" x14ac:dyDescent="0.25">
      <c r="E15239"/>
      <c r="M15239"/>
    </row>
    <row r="15240" spans="5:13" x14ac:dyDescent="0.25">
      <c r="E15240"/>
      <c r="M15240"/>
    </row>
    <row r="15241" spans="5:13" x14ac:dyDescent="0.25">
      <c r="E15241"/>
      <c r="M15241"/>
    </row>
    <row r="15242" spans="5:13" x14ac:dyDescent="0.25">
      <c r="E15242"/>
      <c r="M15242"/>
    </row>
    <row r="15243" spans="5:13" x14ac:dyDescent="0.25">
      <c r="E15243"/>
      <c r="M15243"/>
    </row>
    <row r="15244" spans="5:13" x14ac:dyDescent="0.25">
      <c r="E15244"/>
      <c r="M15244"/>
    </row>
    <row r="15245" spans="5:13" x14ac:dyDescent="0.25">
      <c r="E15245"/>
      <c r="M15245"/>
    </row>
    <row r="15246" spans="5:13" x14ac:dyDescent="0.25">
      <c r="E15246"/>
      <c r="M15246"/>
    </row>
    <row r="15247" spans="5:13" x14ac:dyDescent="0.25">
      <c r="E15247"/>
      <c r="M15247"/>
    </row>
    <row r="15248" spans="5:13" x14ac:dyDescent="0.25">
      <c r="E15248"/>
      <c r="M15248"/>
    </row>
    <row r="15249" spans="5:13" x14ac:dyDescent="0.25">
      <c r="E15249"/>
      <c r="M15249"/>
    </row>
    <row r="15250" spans="5:13" x14ac:dyDescent="0.25">
      <c r="E15250"/>
      <c r="M15250"/>
    </row>
    <row r="15251" spans="5:13" x14ac:dyDescent="0.25">
      <c r="E15251"/>
      <c r="M15251"/>
    </row>
    <row r="15252" spans="5:13" x14ac:dyDescent="0.25">
      <c r="E15252"/>
      <c r="M15252"/>
    </row>
    <row r="15253" spans="5:13" x14ac:dyDescent="0.25">
      <c r="E15253"/>
      <c r="M15253"/>
    </row>
    <row r="15254" spans="5:13" x14ac:dyDescent="0.25">
      <c r="E15254"/>
      <c r="M15254"/>
    </row>
    <row r="15255" spans="5:13" x14ac:dyDescent="0.25">
      <c r="E15255"/>
      <c r="M15255"/>
    </row>
    <row r="15256" spans="5:13" x14ac:dyDescent="0.25">
      <c r="E15256"/>
      <c r="M15256"/>
    </row>
    <row r="15257" spans="5:13" x14ac:dyDescent="0.25">
      <c r="E15257"/>
      <c r="M15257"/>
    </row>
    <row r="15258" spans="5:13" x14ac:dyDescent="0.25">
      <c r="E15258"/>
      <c r="M15258"/>
    </row>
    <row r="15259" spans="5:13" x14ac:dyDescent="0.25">
      <c r="E15259"/>
      <c r="M15259"/>
    </row>
    <row r="15260" spans="5:13" x14ac:dyDescent="0.25">
      <c r="E15260"/>
      <c r="M15260"/>
    </row>
    <row r="15261" spans="5:13" x14ac:dyDescent="0.25">
      <c r="E15261"/>
      <c r="M15261"/>
    </row>
    <row r="15262" spans="5:13" x14ac:dyDescent="0.25">
      <c r="E15262"/>
      <c r="M15262"/>
    </row>
    <row r="15263" spans="5:13" x14ac:dyDescent="0.25">
      <c r="E15263"/>
      <c r="M15263"/>
    </row>
    <row r="15264" spans="5:13" x14ac:dyDescent="0.25">
      <c r="E15264"/>
      <c r="M15264"/>
    </row>
    <row r="15265" spans="5:13" x14ac:dyDescent="0.25">
      <c r="E15265"/>
      <c r="M15265"/>
    </row>
    <row r="15266" spans="5:13" x14ac:dyDescent="0.25">
      <c r="E15266"/>
      <c r="M15266"/>
    </row>
    <row r="15267" spans="5:13" x14ac:dyDescent="0.25">
      <c r="E15267"/>
      <c r="M15267"/>
    </row>
    <row r="15268" spans="5:13" x14ac:dyDescent="0.25">
      <c r="E15268"/>
      <c r="M15268"/>
    </row>
    <row r="15269" spans="5:13" x14ac:dyDescent="0.25">
      <c r="E15269"/>
      <c r="M15269"/>
    </row>
    <row r="15270" spans="5:13" x14ac:dyDescent="0.25">
      <c r="E15270"/>
      <c r="M15270"/>
    </row>
    <row r="15271" spans="5:13" x14ac:dyDescent="0.25">
      <c r="E15271"/>
      <c r="M15271"/>
    </row>
    <row r="15272" spans="5:13" x14ac:dyDescent="0.25">
      <c r="E15272"/>
      <c r="M15272"/>
    </row>
    <row r="15273" spans="5:13" x14ac:dyDescent="0.25">
      <c r="E15273"/>
      <c r="M15273"/>
    </row>
    <row r="15274" spans="5:13" x14ac:dyDescent="0.25">
      <c r="E15274"/>
      <c r="M15274"/>
    </row>
    <row r="15275" spans="5:13" x14ac:dyDescent="0.25">
      <c r="E15275"/>
      <c r="M15275"/>
    </row>
    <row r="15276" spans="5:13" x14ac:dyDescent="0.25">
      <c r="E15276"/>
      <c r="M15276"/>
    </row>
    <row r="15277" spans="5:13" x14ac:dyDescent="0.25">
      <c r="E15277"/>
      <c r="M15277"/>
    </row>
    <row r="15278" spans="5:13" x14ac:dyDescent="0.25">
      <c r="E15278"/>
      <c r="M15278"/>
    </row>
    <row r="15279" spans="5:13" x14ac:dyDescent="0.25">
      <c r="E15279"/>
      <c r="M15279"/>
    </row>
    <row r="15280" spans="5:13" x14ac:dyDescent="0.25">
      <c r="E15280"/>
      <c r="M15280"/>
    </row>
    <row r="15281" spans="5:13" x14ac:dyDescent="0.25">
      <c r="E15281"/>
      <c r="M15281"/>
    </row>
    <row r="15282" spans="5:13" x14ac:dyDescent="0.25">
      <c r="E15282"/>
      <c r="M15282"/>
    </row>
    <row r="15283" spans="5:13" x14ac:dyDescent="0.25">
      <c r="E15283"/>
      <c r="M15283"/>
    </row>
    <row r="15284" spans="5:13" x14ac:dyDescent="0.25">
      <c r="E15284"/>
      <c r="M15284"/>
    </row>
    <row r="15285" spans="5:13" x14ac:dyDescent="0.25">
      <c r="E15285"/>
      <c r="M15285"/>
    </row>
    <row r="15286" spans="5:13" x14ac:dyDescent="0.25">
      <c r="E15286"/>
      <c r="M15286"/>
    </row>
    <row r="15287" spans="5:13" x14ac:dyDescent="0.25">
      <c r="E15287"/>
      <c r="M15287"/>
    </row>
    <row r="15288" spans="5:13" x14ac:dyDescent="0.25">
      <c r="E15288"/>
      <c r="M15288"/>
    </row>
    <row r="15289" spans="5:13" x14ac:dyDescent="0.25">
      <c r="E15289"/>
      <c r="M15289"/>
    </row>
    <row r="15290" spans="5:13" x14ac:dyDescent="0.25">
      <c r="E15290"/>
      <c r="M15290"/>
    </row>
    <row r="15291" spans="5:13" x14ac:dyDescent="0.25">
      <c r="E15291"/>
      <c r="M15291"/>
    </row>
    <row r="15292" spans="5:13" x14ac:dyDescent="0.25">
      <c r="E15292"/>
      <c r="M15292"/>
    </row>
    <row r="15293" spans="5:13" x14ac:dyDescent="0.25">
      <c r="E15293"/>
      <c r="M15293"/>
    </row>
    <row r="15294" spans="5:13" x14ac:dyDescent="0.25">
      <c r="E15294"/>
      <c r="M15294"/>
    </row>
    <row r="15295" spans="5:13" x14ac:dyDescent="0.25">
      <c r="E15295"/>
      <c r="M15295"/>
    </row>
    <row r="15296" spans="5:13" x14ac:dyDescent="0.25">
      <c r="E15296"/>
      <c r="M15296"/>
    </row>
    <row r="15297" spans="5:13" x14ac:dyDescent="0.25">
      <c r="E15297"/>
      <c r="M15297"/>
    </row>
    <row r="15298" spans="5:13" x14ac:dyDescent="0.25">
      <c r="E15298"/>
      <c r="M15298"/>
    </row>
    <row r="15299" spans="5:13" x14ac:dyDescent="0.25">
      <c r="E15299"/>
      <c r="M15299"/>
    </row>
    <row r="15300" spans="5:13" x14ac:dyDescent="0.25">
      <c r="E15300"/>
      <c r="M15300"/>
    </row>
    <row r="15301" spans="5:13" x14ac:dyDescent="0.25">
      <c r="E15301"/>
      <c r="M15301"/>
    </row>
    <row r="15302" spans="5:13" x14ac:dyDescent="0.25">
      <c r="E15302"/>
      <c r="M15302"/>
    </row>
    <row r="15303" spans="5:13" x14ac:dyDescent="0.25">
      <c r="E15303"/>
      <c r="M15303"/>
    </row>
    <row r="15304" spans="5:13" x14ac:dyDescent="0.25">
      <c r="E15304"/>
      <c r="M15304"/>
    </row>
    <row r="15305" spans="5:13" x14ac:dyDescent="0.25">
      <c r="E15305"/>
      <c r="M15305"/>
    </row>
    <row r="15306" spans="5:13" x14ac:dyDescent="0.25">
      <c r="E15306"/>
      <c r="M15306"/>
    </row>
    <row r="15307" spans="5:13" x14ac:dyDescent="0.25">
      <c r="E15307"/>
      <c r="M15307"/>
    </row>
    <row r="15308" spans="5:13" x14ac:dyDescent="0.25">
      <c r="E15308"/>
      <c r="M15308"/>
    </row>
    <row r="15309" spans="5:13" x14ac:dyDescent="0.25">
      <c r="E15309"/>
      <c r="M15309"/>
    </row>
    <row r="15310" spans="5:13" x14ac:dyDescent="0.25">
      <c r="E15310"/>
      <c r="M15310"/>
    </row>
    <row r="15311" spans="5:13" x14ac:dyDescent="0.25">
      <c r="E15311"/>
      <c r="M15311"/>
    </row>
    <row r="15312" spans="5:13" x14ac:dyDescent="0.25">
      <c r="E15312"/>
      <c r="M15312"/>
    </row>
    <row r="15313" spans="5:13" x14ac:dyDescent="0.25">
      <c r="E15313"/>
      <c r="M15313"/>
    </row>
    <row r="15314" spans="5:13" x14ac:dyDescent="0.25">
      <c r="E15314"/>
      <c r="M15314"/>
    </row>
    <row r="15315" spans="5:13" x14ac:dyDescent="0.25">
      <c r="E15315"/>
      <c r="M15315"/>
    </row>
    <row r="15316" spans="5:13" x14ac:dyDescent="0.25">
      <c r="E15316"/>
      <c r="M15316"/>
    </row>
    <row r="15317" spans="5:13" x14ac:dyDescent="0.25">
      <c r="E15317"/>
      <c r="M15317"/>
    </row>
    <row r="15318" spans="5:13" x14ac:dyDescent="0.25">
      <c r="E15318"/>
      <c r="M15318"/>
    </row>
    <row r="15319" spans="5:13" x14ac:dyDescent="0.25">
      <c r="E15319"/>
      <c r="M15319"/>
    </row>
    <row r="15320" spans="5:13" x14ac:dyDescent="0.25">
      <c r="E15320"/>
      <c r="M15320"/>
    </row>
    <row r="15321" spans="5:13" x14ac:dyDescent="0.25">
      <c r="E15321"/>
      <c r="M15321"/>
    </row>
    <row r="15322" spans="5:13" x14ac:dyDescent="0.25">
      <c r="E15322"/>
      <c r="M15322"/>
    </row>
    <row r="15323" spans="5:13" x14ac:dyDescent="0.25">
      <c r="E15323"/>
      <c r="M15323"/>
    </row>
    <row r="15324" spans="5:13" x14ac:dyDescent="0.25">
      <c r="E15324"/>
      <c r="M15324"/>
    </row>
    <row r="15325" spans="5:13" x14ac:dyDescent="0.25">
      <c r="E15325"/>
      <c r="M15325"/>
    </row>
    <row r="15326" spans="5:13" x14ac:dyDescent="0.25">
      <c r="E15326"/>
      <c r="M15326"/>
    </row>
    <row r="15327" spans="5:13" x14ac:dyDescent="0.25">
      <c r="E15327"/>
      <c r="M15327"/>
    </row>
    <row r="15328" spans="5:13" x14ac:dyDescent="0.25">
      <c r="E15328"/>
      <c r="M15328"/>
    </row>
    <row r="15329" spans="5:13" x14ac:dyDescent="0.25">
      <c r="E15329"/>
      <c r="M15329"/>
    </row>
    <row r="15330" spans="5:13" x14ac:dyDescent="0.25">
      <c r="E15330"/>
      <c r="M15330"/>
    </row>
    <row r="15331" spans="5:13" x14ac:dyDescent="0.25">
      <c r="E15331"/>
      <c r="M15331"/>
    </row>
    <row r="15332" spans="5:13" x14ac:dyDescent="0.25">
      <c r="E15332"/>
      <c r="M15332"/>
    </row>
    <row r="15333" spans="5:13" x14ac:dyDescent="0.25">
      <c r="E15333"/>
      <c r="M15333"/>
    </row>
    <row r="15334" spans="5:13" x14ac:dyDescent="0.25">
      <c r="E15334"/>
      <c r="M15334"/>
    </row>
    <row r="15335" spans="5:13" x14ac:dyDescent="0.25">
      <c r="E15335"/>
      <c r="M15335"/>
    </row>
    <row r="15336" spans="5:13" x14ac:dyDescent="0.25">
      <c r="E15336"/>
      <c r="M15336"/>
    </row>
    <row r="15337" spans="5:13" x14ac:dyDescent="0.25">
      <c r="E15337"/>
      <c r="M15337"/>
    </row>
    <row r="15338" spans="5:13" x14ac:dyDescent="0.25">
      <c r="E15338"/>
      <c r="M15338"/>
    </row>
    <row r="15339" spans="5:13" x14ac:dyDescent="0.25">
      <c r="E15339"/>
      <c r="M15339"/>
    </row>
    <row r="15340" spans="5:13" x14ac:dyDescent="0.25">
      <c r="E15340"/>
      <c r="M15340"/>
    </row>
    <row r="15341" spans="5:13" x14ac:dyDescent="0.25">
      <c r="E15341"/>
      <c r="M15341"/>
    </row>
    <row r="15342" spans="5:13" x14ac:dyDescent="0.25">
      <c r="E15342"/>
      <c r="M15342"/>
    </row>
    <row r="15343" spans="5:13" x14ac:dyDescent="0.25">
      <c r="E15343"/>
      <c r="M15343"/>
    </row>
    <row r="15344" spans="5:13" x14ac:dyDescent="0.25">
      <c r="E15344"/>
      <c r="M15344"/>
    </row>
    <row r="15345" spans="5:13" x14ac:dyDescent="0.25">
      <c r="E15345"/>
      <c r="M15345"/>
    </row>
    <row r="15346" spans="5:13" x14ac:dyDescent="0.25">
      <c r="E15346"/>
      <c r="M15346"/>
    </row>
    <row r="15347" spans="5:13" x14ac:dyDescent="0.25">
      <c r="E15347"/>
      <c r="M15347"/>
    </row>
    <row r="15348" spans="5:13" x14ac:dyDescent="0.25">
      <c r="E15348"/>
      <c r="M15348"/>
    </row>
    <row r="15349" spans="5:13" x14ac:dyDescent="0.25">
      <c r="E15349"/>
      <c r="M15349"/>
    </row>
    <row r="15350" spans="5:13" x14ac:dyDescent="0.25">
      <c r="E15350"/>
      <c r="M15350"/>
    </row>
    <row r="15351" spans="5:13" x14ac:dyDescent="0.25">
      <c r="E15351"/>
      <c r="M15351"/>
    </row>
    <row r="15352" spans="5:13" x14ac:dyDescent="0.25">
      <c r="E15352"/>
      <c r="M15352"/>
    </row>
    <row r="15353" spans="5:13" x14ac:dyDescent="0.25">
      <c r="E15353"/>
      <c r="M15353"/>
    </row>
    <row r="15354" spans="5:13" x14ac:dyDescent="0.25">
      <c r="E15354"/>
      <c r="M15354"/>
    </row>
    <row r="15355" spans="5:13" x14ac:dyDescent="0.25">
      <c r="E15355"/>
      <c r="M15355"/>
    </row>
    <row r="15356" spans="5:13" x14ac:dyDescent="0.25">
      <c r="E15356"/>
      <c r="M15356"/>
    </row>
    <row r="15357" spans="5:13" x14ac:dyDescent="0.25">
      <c r="E15357"/>
      <c r="M15357"/>
    </row>
    <row r="15358" spans="5:13" x14ac:dyDescent="0.25">
      <c r="E15358"/>
      <c r="M15358"/>
    </row>
    <row r="15359" spans="5:13" x14ac:dyDescent="0.25">
      <c r="E15359"/>
      <c r="M15359"/>
    </row>
    <row r="15360" spans="5:13" x14ac:dyDescent="0.25">
      <c r="E15360"/>
      <c r="M15360"/>
    </row>
    <row r="15361" spans="5:13" x14ac:dyDescent="0.25">
      <c r="E15361"/>
      <c r="M15361"/>
    </row>
    <row r="15362" spans="5:13" x14ac:dyDescent="0.25">
      <c r="E15362"/>
      <c r="M15362"/>
    </row>
    <row r="15363" spans="5:13" x14ac:dyDescent="0.25">
      <c r="E15363"/>
      <c r="M15363"/>
    </row>
    <row r="15364" spans="5:13" x14ac:dyDescent="0.25">
      <c r="E15364"/>
      <c r="M15364"/>
    </row>
    <row r="15365" spans="5:13" x14ac:dyDescent="0.25">
      <c r="E15365"/>
      <c r="M15365"/>
    </row>
    <row r="15366" spans="5:13" x14ac:dyDescent="0.25">
      <c r="E15366"/>
      <c r="M15366"/>
    </row>
    <row r="15367" spans="5:13" x14ac:dyDescent="0.25">
      <c r="E15367"/>
      <c r="M15367"/>
    </row>
    <row r="15368" spans="5:13" x14ac:dyDescent="0.25">
      <c r="E15368"/>
      <c r="M15368"/>
    </row>
    <row r="15369" spans="5:13" x14ac:dyDescent="0.25">
      <c r="E15369"/>
      <c r="M15369"/>
    </row>
    <row r="15370" spans="5:13" x14ac:dyDescent="0.25">
      <c r="E15370"/>
      <c r="M15370"/>
    </row>
    <row r="15371" spans="5:13" x14ac:dyDescent="0.25">
      <c r="E15371"/>
      <c r="M15371"/>
    </row>
    <row r="15372" spans="5:13" x14ac:dyDescent="0.25">
      <c r="E15372"/>
      <c r="M15372"/>
    </row>
    <row r="15373" spans="5:13" x14ac:dyDescent="0.25">
      <c r="E15373"/>
      <c r="M15373"/>
    </row>
    <row r="15374" spans="5:13" x14ac:dyDescent="0.25">
      <c r="E15374"/>
      <c r="M15374"/>
    </row>
    <row r="15375" spans="5:13" x14ac:dyDescent="0.25">
      <c r="E15375"/>
      <c r="M15375"/>
    </row>
    <row r="15376" spans="5:13" x14ac:dyDescent="0.25">
      <c r="E15376"/>
      <c r="M15376"/>
    </row>
    <row r="15377" spans="5:13" x14ac:dyDescent="0.25">
      <c r="E15377"/>
      <c r="M15377"/>
    </row>
    <row r="15378" spans="5:13" x14ac:dyDescent="0.25">
      <c r="E15378"/>
      <c r="M15378"/>
    </row>
    <row r="15379" spans="5:13" x14ac:dyDescent="0.25">
      <c r="E15379"/>
      <c r="M15379"/>
    </row>
    <row r="15380" spans="5:13" x14ac:dyDescent="0.25">
      <c r="E15380"/>
      <c r="M15380"/>
    </row>
    <row r="15381" spans="5:13" x14ac:dyDescent="0.25">
      <c r="E15381"/>
      <c r="M15381"/>
    </row>
    <row r="15382" spans="5:13" x14ac:dyDescent="0.25">
      <c r="E15382"/>
      <c r="M15382"/>
    </row>
    <row r="15383" spans="5:13" x14ac:dyDescent="0.25">
      <c r="E15383"/>
      <c r="M15383"/>
    </row>
    <row r="15384" spans="5:13" x14ac:dyDescent="0.25">
      <c r="E15384"/>
      <c r="M15384"/>
    </row>
    <row r="15385" spans="5:13" x14ac:dyDescent="0.25">
      <c r="E15385"/>
      <c r="M15385"/>
    </row>
    <row r="15386" spans="5:13" x14ac:dyDescent="0.25">
      <c r="E15386"/>
      <c r="M15386"/>
    </row>
    <row r="15387" spans="5:13" x14ac:dyDescent="0.25">
      <c r="E15387"/>
      <c r="M15387"/>
    </row>
    <row r="15388" spans="5:13" x14ac:dyDescent="0.25">
      <c r="E15388"/>
      <c r="M15388"/>
    </row>
    <row r="15389" spans="5:13" x14ac:dyDescent="0.25">
      <c r="E15389"/>
      <c r="M15389"/>
    </row>
    <row r="15390" spans="5:13" x14ac:dyDescent="0.25">
      <c r="E15390"/>
      <c r="M15390"/>
    </row>
    <row r="15391" spans="5:13" x14ac:dyDescent="0.25">
      <c r="E15391"/>
      <c r="M15391"/>
    </row>
    <row r="15392" spans="5:13" x14ac:dyDescent="0.25">
      <c r="E15392"/>
      <c r="M15392"/>
    </row>
    <row r="15393" spans="5:13" x14ac:dyDescent="0.25">
      <c r="E15393"/>
      <c r="M15393"/>
    </row>
    <row r="15394" spans="5:13" x14ac:dyDescent="0.25">
      <c r="E15394"/>
      <c r="M15394"/>
    </row>
    <row r="15395" spans="5:13" x14ac:dyDescent="0.25">
      <c r="E15395"/>
      <c r="M15395"/>
    </row>
    <row r="15396" spans="5:13" x14ac:dyDescent="0.25">
      <c r="E15396"/>
      <c r="M15396"/>
    </row>
    <row r="15397" spans="5:13" x14ac:dyDescent="0.25">
      <c r="E15397"/>
      <c r="M15397"/>
    </row>
    <row r="15398" spans="5:13" x14ac:dyDescent="0.25">
      <c r="E15398"/>
      <c r="M15398"/>
    </row>
    <row r="15399" spans="5:13" x14ac:dyDescent="0.25">
      <c r="E15399"/>
      <c r="M15399"/>
    </row>
    <row r="15400" spans="5:13" x14ac:dyDescent="0.25">
      <c r="E15400"/>
      <c r="M15400"/>
    </row>
    <row r="15401" spans="5:13" x14ac:dyDescent="0.25">
      <c r="E15401"/>
      <c r="M15401"/>
    </row>
    <row r="15402" spans="5:13" x14ac:dyDescent="0.25">
      <c r="E15402"/>
      <c r="M15402"/>
    </row>
    <row r="15403" spans="5:13" x14ac:dyDescent="0.25">
      <c r="E15403"/>
      <c r="M15403"/>
    </row>
    <row r="15404" spans="5:13" x14ac:dyDescent="0.25">
      <c r="E15404"/>
      <c r="M15404"/>
    </row>
    <row r="15405" spans="5:13" x14ac:dyDescent="0.25">
      <c r="E15405"/>
      <c r="M15405"/>
    </row>
    <row r="15406" spans="5:13" x14ac:dyDescent="0.25">
      <c r="E15406"/>
      <c r="M15406"/>
    </row>
    <row r="15407" spans="5:13" x14ac:dyDescent="0.25">
      <c r="E15407"/>
      <c r="M15407"/>
    </row>
    <row r="15408" spans="5:13" x14ac:dyDescent="0.25">
      <c r="E15408"/>
      <c r="M15408"/>
    </row>
    <row r="15409" spans="5:13" x14ac:dyDescent="0.25">
      <c r="E15409"/>
      <c r="M15409"/>
    </row>
    <row r="15410" spans="5:13" x14ac:dyDescent="0.25">
      <c r="E15410"/>
      <c r="M15410"/>
    </row>
    <row r="15411" spans="5:13" x14ac:dyDescent="0.25">
      <c r="E15411"/>
      <c r="M15411"/>
    </row>
    <row r="15412" spans="5:13" x14ac:dyDescent="0.25">
      <c r="E15412"/>
      <c r="M15412"/>
    </row>
    <row r="15413" spans="5:13" x14ac:dyDescent="0.25">
      <c r="E15413"/>
      <c r="M15413"/>
    </row>
    <row r="15414" spans="5:13" x14ac:dyDescent="0.25">
      <c r="E15414"/>
      <c r="M15414"/>
    </row>
    <row r="15415" spans="5:13" x14ac:dyDescent="0.25">
      <c r="E15415"/>
      <c r="M15415"/>
    </row>
    <row r="15416" spans="5:13" x14ac:dyDescent="0.25">
      <c r="E15416"/>
      <c r="M15416"/>
    </row>
    <row r="15417" spans="5:13" x14ac:dyDescent="0.25">
      <c r="E15417"/>
      <c r="M15417"/>
    </row>
    <row r="15418" spans="5:13" x14ac:dyDescent="0.25">
      <c r="E15418"/>
      <c r="M15418"/>
    </row>
    <row r="15419" spans="5:13" x14ac:dyDescent="0.25">
      <c r="E15419"/>
      <c r="M15419"/>
    </row>
    <row r="15420" spans="5:13" x14ac:dyDescent="0.25">
      <c r="E15420"/>
      <c r="M15420"/>
    </row>
    <row r="15421" spans="5:13" x14ac:dyDescent="0.25">
      <c r="E15421"/>
      <c r="M15421"/>
    </row>
    <row r="15422" spans="5:13" x14ac:dyDescent="0.25">
      <c r="E15422"/>
      <c r="M15422"/>
    </row>
    <row r="15423" spans="5:13" x14ac:dyDescent="0.25">
      <c r="E15423"/>
      <c r="M15423"/>
    </row>
    <row r="15424" spans="5:13" x14ac:dyDescent="0.25">
      <c r="E15424"/>
      <c r="M15424"/>
    </row>
    <row r="15425" spans="5:13" x14ac:dyDescent="0.25">
      <c r="E15425"/>
      <c r="M15425"/>
    </row>
    <row r="15426" spans="5:13" x14ac:dyDescent="0.25">
      <c r="E15426"/>
      <c r="M15426"/>
    </row>
    <row r="15427" spans="5:13" x14ac:dyDescent="0.25">
      <c r="E15427"/>
      <c r="M15427"/>
    </row>
    <row r="15428" spans="5:13" x14ac:dyDescent="0.25">
      <c r="E15428"/>
      <c r="M15428"/>
    </row>
    <row r="15429" spans="5:13" x14ac:dyDescent="0.25">
      <c r="E15429"/>
      <c r="M15429"/>
    </row>
    <row r="15430" spans="5:13" x14ac:dyDescent="0.25">
      <c r="E15430"/>
      <c r="M15430"/>
    </row>
    <row r="15431" spans="5:13" x14ac:dyDescent="0.25">
      <c r="E15431"/>
      <c r="M15431"/>
    </row>
    <row r="15432" spans="5:13" x14ac:dyDescent="0.25">
      <c r="E15432"/>
      <c r="M15432"/>
    </row>
    <row r="15433" spans="5:13" x14ac:dyDescent="0.25">
      <c r="E15433"/>
      <c r="M15433"/>
    </row>
    <row r="15434" spans="5:13" x14ac:dyDescent="0.25">
      <c r="E15434"/>
      <c r="M15434"/>
    </row>
    <row r="15435" spans="5:13" x14ac:dyDescent="0.25">
      <c r="E15435"/>
      <c r="M15435"/>
    </row>
    <row r="15436" spans="5:13" x14ac:dyDescent="0.25">
      <c r="E15436"/>
      <c r="M15436"/>
    </row>
    <row r="15437" spans="5:13" x14ac:dyDescent="0.25">
      <c r="E15437"/>
      <c r="M15437"/>
    </row>
    <row r="15438" spans="5:13" x14ac:dyDescent="0.25">
      <c r="E15438"/>
      <c r="M15438"/>
    </row>
    <row r="15439" spans="5:13" x14ac:dyDescent="0.25">
      <c r="E15439"/>
      <c r="M15439"/>
    </row>
    <row r="15440" spans="5:13" x14ac:dyDescent="0.25">
      <c r="E15440"/>
      <c r="M15440"/>
    </row>
    <row r="15441" spans="5:13" x14ac:dyDescent="0.25">
      <c r="E15441"/>
      <c r="M15441"/>
    </row>
    <row r="15442" spans="5:13" x14ac:dyDescent="0.25">
      <c r="E15442"/>
      <c r="M15442"/>
    </row>
    <row r="15443" spans="5:13" x14ac:dyDescent="0.25">
      <c r="E15443"/>
      <c r="M15443"/>
    </row>
    <row r="15444" spans="5:13" x14ac:dyDescent="0.25">
      <c r="E15444"/>
      <c r="M15444"/>
    </row>
    <row r="15445" spans="5:13" x14ac:dyDescent="0.25">
      <c r="E15445"/>
      <c r="M15445"/>
    </row>
    <row r="15446" spans="5:13" x14ac:dyDescent="0.25">
      <c r="E15446"/>
      <c r="M15446"/>
    </row>
    <row r="15447" spans="5:13" x14ac:dyDescent="0.25">
      <c r="E15447"/>
      <c r="M15447"/>
    </row>
    <row r="15448" spans="5:13" x14ac:dyDescent="0.25">
      <c r="E15448"/>
      <c r="M15448"/>
    </row>
    <row r="15449" spans="5:13" x14ac:dyDescent="0.25">
      <c r="E15449"/>
      <c r="M15449"/>
    </row>
    <row r="15450" spans="5:13" x14ac:dyDescent="0.25">
      <c r="E15450"/>
      <c r="M15450"/>
    </row>
    <row r="15451" spans="5:13" x14ac:dyDescent="0.25">
      <c r="E15451"/>
      <c r="M15451"/>
    </row>
    <row r="15452" spans="5:13" x14ac:dyDescent="0.25">
      <c r="E15452"/>
      <c r="M15452"/>
    </row>
    <row r="15453" spans="5:13" x14ac:dyDescent="0.25">
      <c r="E15453"/>
      <c r="M15453"/>
    </row>
    <row r="15454" spans="5:13" x14ac:dyDescent="0.25">
      <c r="E15454"/>
      <c r="M15454"/>
    </row>
    <row r="15455" spans="5:13" x14ac:dyDescent="0.25">
      <c r="E15455"/>
      <c r="M15455"/>
    </row>
    <row r="15456" spans="5:13" x14ac:dyDescent="0.25">
      <c r="E15456"/>
      <c r="M15456"/>
    </row>
    <row r="15457" spans="5:13" x14ac:dyDescent="0.25">
      <c r="E15457"/>
      <c r="M15457"/>
    </row>
    <row r="15458" spans="5:13" x14ac:dyDescent="0.25">
      <c r="E15458"/>
      <c r="M15458"/>
    </row>
    <row r="15459" spans="5:13" x14ac:dyDescent="0.25">
      <c r="E15459"/>
      <c r="M15459"/>
    </row>
    <row r="15460" spans="5:13" x14ac:dyDescent="0.25">
      <c r="E15460"/>
      <c r="M15460"/>
    </row>
    <row r="15461" spans="5:13" x14ac:dyDescent="0.25">
      <c r="E15461"/>
      <c r="M15461"/>
    </row>
    <row r="15462" spans="5:13" x14ac:dyDescent="0.25">
      <c r="E15462"/>
      <c r="M15462"/>
    </row>
    <row r="15463" spans="5:13" x14ac:dyDescent="0.25">
      <c r="E15463"/>
      <c r="M15463"/>
    </row>
    <row r="15464" spans="5:13" x14ac:dyDescent="0.25">
      <c r="E15464"/>
      <c r="M15464"/>
    </row>
    <row r="15465" spans="5:13" x14ac:dyDescent="0.25">
      <c r="E15465"/>
      <c r="M15465"/>
    </row>
    <row r="15466" spans="5:13" x14ac:dyDescent="0.25">
      <c r="E15466"/>
      <c r="M15466"/>
    </row>
    <row r="15467" spans="5:13" x14ac:dyDescent="0.25">
      <c r="E15467"/>
      <c r="M15467"/>
    </row>
    <row r="15468" spans="5:13" x14ac:dyDescent="0.25">
      <c r="E15468"/>
      <c r="M15468"/>
    </row>
    <row r="15469" spans="5:13" x14ac:dyDescent="0.25">
      <c r="E15469"/>
      <c r="M15469"/>
    </row>
    <row r="15470" spans="5:13" x14ac:dyDescent="0.25">
      <c r="E15470"/>
      <c r="M15470"/>
    </row>
    <row r="15471" spans="5:13" x14ac:dyDescent="0.25">
      <c r="E15471"/>
      <c r="M15471"/>
    </row>
    <row r="15472" spans="5:13" x14ac:dyDescent="0.25">
      <c r="E15472"/>
      <c r="M15472"/>
    </row>
    <row r="15473" spans="5:13" x14ac:dyDescent="0.25">
      <c r="E15473"/>
      <c r="M15473"/>
    </row>
    <row r="15474" spans="5:13" x14ac:dyDescent="0.25">
      <c r="E15474"/>
      <c r="M15474"/>
    </row>
    <row r="15475" spans="5:13" x14ac:dyDescent="0.25">
      <c r="E15475"/>
      <c r="M15475"/>
    </row>
    <row r="15476" spans="5:13" x14ac:dyDescent="0.25">
      <c r="E15476"/>
      <c r="M15476"/>
    </row>
    <row r="15477" spans="5:13" x14ac:dyDescent="0.25">
      <c r="E15477"/>
      <c r="M15477"/>
    </row>
    <row r="15478" spans="5:13" x14ac:dyDescent="0.25">
      <c r="E15478"/>
      <c r="M15478"/>
    </row>
    <row r="15479" spans="5:13" x14ac:dyDescent="0.25">
      <c r="E15479"/>
      <c r="M15479"/>
    </row>
    <row r="15480" spans="5:13" x14ac:dyDescent="0.25">
      <c r="E15480"/>
      <c r="M15480"/>
    </row>
    <row r="15481" spans="5:13" x14ac:dyDescent="0.25">
      <c r="E15481"/>
      <c r="M15481"/>
    </row>
    <row r="15482" spans="5:13" x14ac:dyDescent="0.25">
      <c r="E15482"/>
      <c r="M15482"/>
    </row>
    <row r="15483" spans="5:13" x14ac:dyDescent="0.25">
      <c r="E15483"/>
      <c r="M15483"/>
    </row>
    <row r="15484" spans="5:13" x14ac:dyDescent="0.25">
      <c r="E15484"/>
      <c r="M15484"/>
    </row>
    <row r="15485" spans="5:13" x14ac:dyDescent="0.25">
      <c r="E15485"/>
      <c r="M15485"/>
    </row>
    <row r="15486" spans="5:13" x14ac:dyDescent="0.25">
      <c r="E15486"/>
      <c r="M15486"/>
    </row>
    <row r="15487" spans="5:13" x14ac:dyDescent="0.25">
      <c r="E15487"/>
      <c r="M15487"/>
    </row>
    <row r="15488" spans="5:13" x14ac:dyDescent="0.25">
      <c r="E15488"/>
      <c r="M15488"/>
    </row>
    <row r="15489" spans="5:13" x14ac:dyDescent="0.25">
      <c r="E15489"/>
      <c r="M15489"/>
    </row>
    <row r="15490" spans="5:13" x14ac:dyDescent="0.25">
      <c r="E15490"/>
      <c r="M15490"/>
    </row>
    <row r="15491" spans="5:13" x14ac:dyDescent="0.25">
      <c r="E15491"/>
      <c r="M15491"/>
    </row>
    <row r="15492" spans="5:13" x14ac:dyDescent="0.25">
      <c r="E15492"/>
      <c r="M15492"/>
    </row>
    <row r="15493" spans="5:13" x14ac:dyDescent="0.25">
      <c r="E15493"/>
      <c r="M15493"/>
    </row>
    <row r="15494" spans="5:13" x14ac:dyDescent="0.25">
      <c r="E15494"/>
      <c r="M15494"/>
    </row>
    <row r="15495" spans="5:13" x14ac:dyDescent="0.25">
      <c r="E15495"/>
      <c r="M15495"/>
    </row>
    <row r="15496" spans="5:13" x14ac:dyDescent="0.25">
      <c r="E15496"/>
      <c r="M15496"/>
    </row>
    <row r="15497" spans="5:13" x14ac:dyDescent="0.25">
      <c r="E15497"/>
      <c r="M15497"/>
    </row>
    <row r="15498" spans="5:13" x14ac:dyDescent="0.25">
      <c r="E15498"/>
      <c r="M15498"/>
    </row>
    <row r="15499" spans="5:13" x14ac:dyDescent="0.25">
      <c r="E15499"/>
      <c r="M15499"/>
    </row>
    <row r="15500" spans="5:13" x14ac:dyDescent="0.25">
      <c r="E15500"/>
      <c r="M15500"/>
    </row>
    <row r="15501" spans="5:13" x14ac:dyDescent="0.25">
      <c r="E15501"/>
      <c r="M15501"/>
    </row>
    <row r="15502" spans="5:13" x14ac:dyDescent="0.25">
      <c r="E15502"/>
      <c r="M15502"/>
    </row>
    <row r="15503" spans="5:13" x14ac:dyDescent="0.25">
      <c r="E15503"/>
      <c r="M15503"/>
    </row>
    <row r="15504" spans="5:13" x14ac:dyDescent="0.25">
      <c r="E15504"/>
      <c r="M15504"/>
    </row>
    <row r="15505" spans="5:13" x14ac:dyDescent="0.25">
      <c r="E15505"/>
      <c r="M15505"/>
    </row>
    <row r="15506" spans="5:13" x14ac:dyDescent="0.25">
      <c r="E15506"/>
      <c r="M15506"/>
    </row>
    <row r="15507" spans="5:13" x14ac:dyDescent="0.25">
      <c r="E15507"/>
      <c r="M15507"/>
    </row>
    <row r="15508" spans="5:13" x14ac:dyDescent="0.25">
      <c r="E15508"/>
      <c r="M15508"/>
    </row>
    <row r="15509" spans="5:13" x14ac:dyDescent="0.25">
      <c r="E15509"/>
      <c r="M15509"/>
    </row>
    <row r="15510" spans="5:13" x14ac:dyDescent="0.25">
      <c r="E15510"/>
      <c r="M15510"/>
    </row>
    <row r="15511" spans="5:13" x14ac:dyDescent="0.25">
      <c r="E15511"/>
      <c r="M15511"/>
    </row>
    <row r="15512" spans="5:13" x14ac:dyDescent="0.25">
      <c r="E15512"/>
      <c r="M15512"/>
    </row>
    <row r="15513" spans="5:13" x14ac:dyDescent="0.25">
      <c r="E15513"/>
      <c r="M15513"/>
    </row>
    <row r="15514" spans="5:13" x14ac:dyDescent="0.25">
      <c r="E15514"/>
      <c r="M15514"/>
    </row>
    <row r="15515" spans="5:13" x14ac:dyDescent="0.25">
      <c r="E15515"/>
      <c r="M15515"/>
    </row>
    <row r="15516" spans="5:13" x14ac:dyDescent="0.25">
      <c r="E15516"/>
      <c r="M15516"/>
    </row>
    <row r="15517" spans="5:13" x14ac:dyDescent="0.25">
      <c r="E15517"/>
      <c r="M15517"/>
    </row>
    <row r="15518" spans="5:13" x14ac:dyDescent="0.25">
      <c r="E15518"/>
      <c r="M15518"/>
    </row>
    <row r="15519" spans="5:13" x14ac:dyDescent="0.25">
      <c r="E15519"/>
      <c r="M15519"/>
    </row>
    <row r="15520" spans="5:13" x14ac:dyDescent="0.25">
      <c r="E15520"/>
      <c r="M15520"/>
    </row>
    <row r="15521" spans="5:13" x14ac:dyDescent="0.25">
      <c r="E15521"/>
      <c r="M15521"/>
    </row>
    <row r="15522" spans="5:13" x14ac:dyDescent="0.25">
      <c r="E15522"/>
      <c r="M15522"/>
    </row>
    <row r="15523" spans="5:13" x14ac:dyDescent="0.25">
      <c r="E15523"/>
      <c r="M15523"/>
    </row>
    <row r="15524" spans="5:13" x14ac:dyDescent="0.25">
      <c r="E15524"/>
      <c r="M15524"/>
    </row>
    <row r="15525" spans="5:13" x14ac:dyDescent="0.25">
      <c r="E15525"/>
      <c r="M15525"/>
    </row>
    <row r="15526" spans="5:13" x14ac:dyDescent="0.25">
      <c r="E15526"/>
      <c r="M15526"/>
    </row>
    <row r="15527" spans="5:13" x14ac:dyDescent="0.25">
      <c r="E15527"/>
      <c r="M15527"/>
    </row>
    <row r="15528" spans="5:13" x14ac:dyDescent="0.25">
      <c r="E15528"/>
      <c r="M15528"/>
    </row>
    <row r="15529" spans="5:13" x14ac:dyDescent="0.25">
      <c r="E15529"/>
      <c r="M15529"/>
    </row>
    <row r="15530" spans="5:13" x14ac:dyDescent="0.25">
      <c r="E15530"/>
      <c r="M15530"/>
    </row>
    <row r="15531" spans="5:13" x14ac:dyDescent="0.25">
      <c r="E15531"/>
      <c r="M15531"/>
    </row>
    <row r="15532" spans="5:13" x14ac:dyDescent="0.25">
      <c r="E15532"/>
      <c r="M15532"/>
    </row>
    <row r="15533" spans="5:13" x14ac:dyDescent="0.25">
      <c r="E15533"/>
      <c r="M15533"/>
    </row>
    <row r="15534" spans="5:13" x14ac:dyDescent="0.25">
      <c r="E15534"/>
      <c r="M15534"/>
    </row>
    <row r="15535" spans="5:13" x14ac:dyDescent="0.25">
      <c r="E15535"/>
      <c r="M15535"/>
    </row>
    <row r="15536" spans="5:13" x14ac:dyDescent="0.25">
      <c r="E15536"/>
      <c r="M15536"/>
    </row>
    <row r="15537" spans="5:13" x14ac:dyDescent="0.25">
      <c r="E15537"/>
      <c r="M15537"/>
    </row>
    <row r="15538" spans="5:13" x14ac:dyDescent="0.25">
      <c r="E15538"/>
      <c r="M15538"/>
    </row>
    <row r="15539" spans="5:13" x14ac:dyDescent="0.25">
      <c r="E15539"/>
      <c r="M15539"/>
    </row>
    <row r="15540" spans="5:13" x14ac:dyDescent="0.25">
      <c r="E15540"/>
      <c r="M15540"/>
    </row>
    <row r="15541" spans="5:13" x14ac:dyDescent="0.25">
      <c r="E15541"/>
      <c r="M15541"/>
    </row>
    <row r="15542" spans="5:13" x14ac:dyDescent="0.25">
      <c r="E15542"/>
      <c r="M15542"/>
    </row>
    <row r="15543" spans="5:13" x14ac:dyDescent="0.25">
      <c r="E15543"/>
      <c r="M15543"/>
    </row>
    <row r="15544" spans="5:13" x14ac:dyDescent="0.25">
      <c r="E15544"/>
      <c r="M15544"/>
    </row>
    <row r="15545" spans="5:13" x14ac:dyDescent="0.25">
      <c r="E15545"/>
      <c r="M15545"/>
    </row>
    <row r="15546" spans="5:13" x14ac:dyDescent="0.25">
      <c r="E15546"/>
      <c r="M15546"/>
    </row>
    <row r="15547" spans="5:13" x14ac:dyDescent="0.25">
      <c r="E15547"/>
      <c r="M15547"/>
    </row>
    <row r="15548" spans="5:13" x14ac:dyDescent="0.25">
      <c r="E15548"/>
      <c r="M15548"/>
    </row>
    <row r="15549" spans="5:13" x14ac:dyDescent="0.25">
      <c r="E15549"/>
      <c r="M15549"/>
    </row>
    <row r="15550" spans="5:13" x14ac:dyDescent="0.25">
      <c r="E15550"/>
      <c r="M15550"/>
    </row>
    <row r="15551" spans="5:13" x14ac:dyDescent="0.25">
      <c r="E15551"/>
      <c r="M15551"/>
    </row>
    <row r="15552" spans="5:13" x14ac:dyDescent="0.25">
      <c r="E15552"/>
      <c r="M15552"/>
    </row>
    <row r="15553" spans="5:13" x14ac:dyDescent="0.25">
      <c r="E15553"/>
      <c r="M15553"/>
    </row>
    <row r="15554" spans="5:13" x14ac:dyDescent="0.25">
      <c r="E15554"/>
      <c r="M15554"/>
    </row>
    <row r="15555" spans="5:13" x14ac:dyDescent="0.25">
      <c r="E15555"/>
      <c r="M15555"/>
    </row>
    <row r="15556" spans="5:13" x14ac:dyDescent="0.25">
      <c r="E15556"/>
      <c r="M15556"/>
    </row>
    <row r="15557" spans="5:13" x14ac:dyDescent="0.25">
      <c r="E15557"/>
      <c r="M15557"/>
    </row>
    <row r="15558" spans="5:13" x14ac:dyDescent="0.25">
      <c r="E15558"/>
      <c r="M15558"/>
    </row>
    <row r="15559" spans="5:13" x14ac:dyDescent="0.25">
      <c r="E15559"/>
      <c r="M15559"/>
    </row>
    <row r="15560" spans="5:13" x14ac:dyDescent="0.25">
      <c r="E15560"/>
      <c r="M15560"/>
    </row>
    <row r="15561" spans="5:13" x14ac:dyDescent="0.25">
      <c r="E15561"/>
      <c r="M15561"/>
    </row>
    <row r="15562" spans="5:13" x14ac:dyDescent="0.25">
      <c r="E15562"/>
      <c r="M15562"/>
    </row>
    <row r="15563" spans="5:13" x14ac:dyDescent="0.25">
      <c r="E15563"/>
      <c r="M15563"/>
    </row>
    <row r="15564" spans="5:13" x14ac:dyDescent="0.25">
      <c r="E15564"/>
      <c r="M15564"/>
    </row>
    <row r="15565" spans="5:13" x14ac:dyDescent="0.25">
      <c r="E15565"/>
      <c r="M15565"/>
    </row>
    <row r="15566" spans="5:13" x14ac:dyDescent="0.25">
      <c r="E15566"/>
      <c r="M15566"/>
    </row>
    <row r="15567" spans="5:13" x14ac:dyDescent="0.25">
      <c r="E15567"/>
      <c r="M15567"/>
    </row>
    <row r="15568" spans="5:13" x14ac:dyDescent="0.25">
      <c r="E15568"/>
      <c r="M15568"/>
    </row>
    <row r="15569" spans="5:13" x14ac:dyDescent="0.25">
      <c r="E15569"/>
      <c r="M15569"/>
    </row>
    <row r="15570" spans="5:13" x14ac:dyDescent="0.25">
      <c r="E15570"/>
      <c r="M15570"/>
    </row>
    <row r="15571" spans="5:13" x14ac:dyDescent="0.25">
      <c r="E15571"/>
      <c r="M15571"/>
    </row>
    <row r="15572" spans="5:13" x14ac:dyDescent="0.25">
      <c r="E15572"/>
      <c r="M15572"/>
    </row>
    <row r="15573" spans="5:13" x14ac:dyDescent="0.25">
      <c r="E15573"/>
      <c r="M15573"/>
    </row>
    <row r="15574" spans="5:13" x14ac:dyDescent="0.25">
      <c r="E15574"/>
      <c r="M15574"/>
    </row>
    <row r="15575" spans="5:13" x14ac:dyDescent="0.25">
      <c r="E15575"/>
      <c r="M15575"/>
    </row>
    <row r="15576" spans="5:13" x14ac:dyDescent="0.25">
      <c r="E15576"/>
      <c r="M15576"/>
    </row>
    <row r="15577" spans="5:13" x14ac:dyDescent="0.25">
      <c r="E15577"/>
      <c r="M15577"/>
    </row>
    <row r="15578" spans="5:13" x14ac:dyDescent="0.25">
      <c r="E15578"/>
      <c r="M15578"/>
    </row>
    <row r="15579" spans="5:13" x14ac:dyDescent="0.25">
      <c r="E15579"/>
      <c r="M15579"/>
    </row>
    <row r="15580" spans="5:13" x14ac:dyDescent="0.25">
      <c r="E15580"/>
      <c r="M15580"/>
    </row>
    <row r="15581" spans="5:13" x14ac:dyDescent="0.25">
      <c r="E15581"/>
      <c r="M15581"/>
    </row>
    <row r="15582" spans="5:13" x14ac:dyDescent="0.25">
      <c r="E15582"/>
      <c r="M15582"/>
    </row>
    <row r="15583" spans="5:13" x14ac:dyDescent="0.25">
      <c r="E15583"/>
      <c r="M15583"/>
    </row>
    <row r="15584" spans="5:13" x14ac:dyDescent="0.25">
      <c r="E15584"/>
      <c r="M15584"/>
    </row>
    <row r="15585" spans="5:13" x14ac:dyDescent="0.25">
      <c r="E15585"/>
      <c r="M15585"/>
    </row>
    <row r="15586" spans="5:13" x14ac:dyDescent="0.25">
      <c r="E15586"/>
      <c r="M15586"/>
    </row>
    <row r="15587" spans="5:13" x14ac:dyDescent="0.25">
      <c r="E15587"/>
      <c r="M15587"/>
    </row>
    <row r="15588" spans="5:13" x14ac:dyDescent="0.25">
      <c r="E15588"/>
      <c r="M15588"/>
    </row>
    <row r="15589" spans="5:13" x14ac:dyDescent="0.25">
      <c r="E15589"/>
      <c r="M15589"/>
    </row>
    <row r="15590" spans="5:13" x14ac:dyDescent="0.25">
      <c r="E15590"/>
      <c r="M15590"/>
    </row>
    <row r="15591" spans="5:13" x14ac:dyDescent="0.25">
      <c r="E15591"/>
      <c r="M15591"/>
    </row>
    <row r="15592" spans="5:13" x14ac:dyDescent="0.25">
      <c r="E15592"/>
      <c r="M15592"/>
    </row>
    <row r="15593" spans="5:13" x14ac:dyDescent="0.25">
      <c r="E15593"/>
      <c r="M15593"/>
    </row>
    <row r="15594" spans="5:13" x14ac:dyDescent="0.25">
      <c r="E15594"/>
      <c r="M15594"/>
    </row>
    <row r="15595" spans="5:13" x14ac:dyDescent="0.25">
      <c r="E15595"/>
      <c r="M15595"/>
    </row>
    <row r="15596" spans="5:13" x14ac:dyDescent="0.25">
      <c r="E15596"/>
      <c r="M15596"/>
    </row>
    <row r="15597" spans="5:13" x14ac:dyDescent="0.25">
      <c r="E15597"/>
      <c r="M15597"/>
    </row>
    <row r="15598" spans="5:13" x14ac:dyDescent="0.25">
      <c r="E15598"/>
      <c r="M15598"/>
    </row>
    <row r="15599" spans="5:13" x14ac:dyDescent="0.25">
      <c r="E15599"/>
      <c r="M15599"/>
    </row>
    <row r="15600" spans="5:13" x14ac:dyDescent="0.25">
      <c r="E15600"/>
      <c r="M15600"/>
    </row>
    <row r="15601" spans="5:13" x14ac:dyDescent="0.25">
      <c r="E15601"/>
      <c r="M15601"/>
    </row>
    <row r="15602" spans="5:13" x14ac:dyDescent="0.25">
      <c r="E15602"/>
      <c r="M15602"/>
    </row>
    <row r="15603" spans="5:13" x14ac:dyDescent="0.25">
      <c r="E15603"/>
      <c r="M15603"/>
    </row>
    <row r="15604" spans="5:13" x14ac:dyDescent="0.25">
      <c r="E15604"/>
      <c r="M15604"/>
    </row>
    <row r="15605" spans="5:13" x14ac:dyDescent="0.25">
      <c r="E15605"/>
      <c r="M15605"/>
    </row>
    <row r="15606" spans="5:13" x14ac:dyDescent="0.25">
      <c r="E15606"/>
      <c r="M15606"/>
    </row>
    <row r="15607" spans="5:13" x14ac:dyDescent="0.25">
      <c r="E15607"/>
      <c r="M15607"/>
    </row>
    <row r="15608" spans="5:13" x14ac:dyDescent="0.25">
      <c r="E15608"/>
      <c r="M15608"/>
    </row>
    <row r="15609" spans="5:13" x14ac:dyDescent="0.25">
      <c r="E15609"/>
      <c r="M15609"/>
    </row>
    <row r="15610" spans="5:13" x14ac:dyDescent="0.25">
      <c r="E15610"/>
      <c r="M15610"/>
    </row>
    <row r="15611" spans="5:13" x14ac:dyDescent="0.25">
      <c r="E15611"/>
      <c r="M15611"/>
    </row>
    <row r="15612" spans="5:13" x14ac:dyDescent="0.25">
      <c r="E15612"/>
      <c r="M15612"/>
    </row>
    <row r="15613" spans="5:13" x14ac:dyDescent="0.25">
      <c r="E15613"/>
      <c r="M15613"/>
    </row>
    <row r="15614" spans="5:13" x14ac:dyDescent="0.25">
      <c r="E15614"/>
      <c r="M15614"/>
    </row>
    <row r="15615" spans="5:13" x14ac:dyDescent="0.25">
      <c r="E15615"/>
      <c r="M15615"/>
    </row>
    <row r="15616" spans="5:13" x14ac:dyDescent="0.25">
      <c r="E15616"/>
      <c r="M15616"/>
    </row>
    <row r="15617" spans="5:13" x14ac:dyDescent="0.25">
      <c r="E15617"/>
      <c r="M15617"/>
    </row>
    <row r="15618" spans="5:13" x14ac:dyDescent="0.25">
      <c r="E15618"/>
      <c r="M15618"/>
    </row>
    <row r="15619" spans="5:13" x14ac:dyDescent="0.25">
      <c r="E15619"/>
      <c r="M15619"/>
    </row>
    <row r="15620" spans="5:13" x14ac:dyDescent="0.25">
      <c r="E15620"/>
      <c r="M15620"/>
    </row>
    <row r="15621" spans="5:13" x14ac:dyDescent="0.25">
      <c r="E15621"/>
      <c r="M15621"/>
    </row>
    <row r="15622" spans="5:13" x14ac:dyDescent="0.25">
      <c r="E15622"/>
      <c r="M15622"/>
    </row>
    <row r="15623" spans="5:13" x14ac:dyDescent="0.25">
      <c r="E15623"/>
      <c r="M15623"/>
    </row>
    <row r="15624" spans="5:13" x14ac:dyDescent="0.25">
      <c r="E15624"/>
      <c r="M15624"/>
    </row>
    <row r="15625" spans="5:13" x14ac:dyDescent="0.25">
      <c r="E15625"/>
      <c r="M15625"/>
    </row>
    <row r="15626" spans="5:13" x14ac:dyDescent="0.25">
      <c r="E15626"/>
      <c r="M15626"/>
    </row>
    <row r="15627" spans="5:13" x14ac:dyDescent="0.25">
      <c r="E15627"/>
      <c r="M15627"/>
    </row>
    <row r="15628" spans="5:13" x14ac:dyDescent="0.25">
      <c r="E15628"/>
      <c r="M15628"/>
    </row>
    <row r="15629" spans="5:13" x14ac:dyDescent="0.25">
      <c r="E15629"/>
      <c r="M15629"/>
    </row>
    <row r="15630" spans="5:13" x14ac:dyDescent="0.25">
      <c r="E15630"/>
      <c r="M15630"/>
    </row>
    <row r="15631" spans="5:13" x14ac:dyDescent="0.25">
      <c r="E15631"/>
      <c r="M15631"/>
    </row>
    <row r="15632" spans="5:13" x14ac:dyDescent="0.25">
      <c r="E15632"/>
      <c r="M15632"/>
    </row>
    <row r="15633" spans="5:13" x14ac:dyDescent="0.25">
      <c r="E15633"/>
      <c r="M15633"/>
    </row>
    <row r="15634" spans="5:13" x14ac:dyDescent="0.25">
      <c r="E15634"/>
      <c r="M15634"/>
    </row>
    <row r="15635" spans="5:13" x14ac:dyDescent="0.25">
      <c r="E15635"/>
      <c r="M15635"/>
    </row>
    <row r="15636" spans="5:13" x14ac:dyDescent="0.25">
      <c r="E15636"/>
      <c r="M15636"/>
    </row>
    <row r="15637" spans="5:13" x14ac:dyDescent="0.25">
      <c r="E15637"/>
      <c r="M15637"/>
    </row>
    <row r="15638" spans="5:13" x14ac:dyDescent="0.25">
      <c r="E15638"/>
      <c r="M15638"/>
    </row>
    <row r="15639" spans="5:13" x14ac:dyDescent="0.25">
      <c r="E15639"/>
      <c r="M15639"/>
    </row>
    <row r="15640" spans="5:13" x14ac:dyDescent="0.25">
      <c r="E15640"/>
      <c r="M15640"/>
    </row>
    <row r="15641" spans="5:13" x14ac:dyDescent="0.25">
      <c r="E15641"/>
      <c r="M15641"/>
    </row>
    <row r="15642" spans="5:13" x14ac:dyDescent="0.25">
      <c r="E15642"/>
      <c r="M15642"/>
    </row>
    <row r="15643" spans="5:13" x14ac:dyDescent="0.25">
      <c r="E15643"/>
      <c r="M15643"/>
    </row>
    <row r="15644" spans="5:13" x14ac:dyDescent="0.25">
      <c r="E15644"/>
      <c r="M15644"/>
    </row>
    <row r="15645" spans="5:13" x14ac:dyDescent="0.25">
      <c r="E15645"/>
      <c r="M15645"/>
    </row>
    <row r="15646" spans="5:13" x14ac:dyDescent="0.25">
      <c r="E15646"/>
      <c r="M15646"/>
    </row>
    <row r="15647" spans="5:13" x14ac:dyDescent="0.25">
      <c r="E15647"/>
      <c r="M15647"/>
    </row>
    <row r="15648" spans="5:13" x14ac:dyDescent="0.25">
      <c r="E15648"/>
      <c r="M15648"/>
    </row>
    <row r="15649" spans="5:13" x14ac:dyDescent="0.25">
      <c r="E15649"/>
      <c r="M15649"/>
    </row>
    <row r="15650" spans="5:13" x14ac:dyDescent="0.25">
      <c r="E15650"/>
      <c r="M15650"/>
    </row>
    <row r="15651" spans="5:13" x14ac:dyDescent="0.25">
      <c r="E15651"/>
      <c r="M15651"/>
    </row>
    <row r="15652" spans="5:13" x14ac:dyDescent="0.25">
      <c r="E15652"/>
      <c r="M15652"/>
    </row>
    <row r="15653" spans="5:13" x14ac:dyDescent="0.25">
      <c r="E15653"/>
      <c r="M15653"/>
    </row>
    <row r="15654" spans="5:13" x14ac:dyDescent="0.25">
      <c r="E15654"/>
      <c r="M15654"/>
    </row>
    <row r="15655" spans="5:13" x14ac:dyDescent="0.25">
      <c r="E15655"/>
      <c r="M15655"/>
    </row>
    <row r="15656" spans="5:13" x14ac:dyDescent="0.25">
      <c r="E15656"/>
      <c r="M15656"/>
    </row>
    <row r="15657" spans="5:13" x14ac:dyDescent="0.25">
      <c r="E15657"/>
      <c r="M15657"/>
    </row>
    <row r="15658" spans="5:13" x14ac:dyDescent="0.25">
      <c r="E15658"/>
      <c r="M15658"/>
    </row>
    <row r="15659" spans="5:13" x14ac:dyDescent="0.25">
      <c r="E15659"/>
      <c r="M15659"/>
    </row>
    <row r="15660" spans="5:13" x14ac:dyDescent="0.25">
      <c r="E15660"/>
      <c r="M15660"/>
    </row>
    <row r="15661" spans="5:13" x14ac:dyDescent="0.25">
      <c r="E15661"/>
      <c r="M15661"/>
    </row>
    <row r="15662" spans="5:13" x14ac:dyDescent="0.25">
      <c r="E15662"/>
      <c r="M15662"/>
    </row>
    <row r="15663" spans="5:13" x14ac:dyDescent="0.25">
      <c r="E15663"/>
      <c r="M15663"/>
    </row>
    <row r="15664" spans="5:13" x14ac:dyDescent="0.25">
      <c r="E15664"/>
      <c r="M15664"/>
    </row>
    <row r="15665" spans="5:13" x14ac:dyDescent="0.25">
      <c r="E15665"/>
      <c r="M15665"/>
    </row>
    <row r="15666" spans="5:13" x14ac:dyDescent="0.25">
      <c r="E15666"/>
      <c r="M15666"/>
    </row>
    <row r="15667" spans="5:13" x14ac:dyDescent="0.25">
      <c r="E15667"/>
      <c r="M15667"/>
    </row>
    <row r="15668" spans="5:13" x14ac:dyDescent="0.25">
      <c r="E15668"/>
      <c r="M15668"/>
    </row>
    <row r="15669" spans="5:13" x14ac:dyDescent="0.25">
      <c r="E15669"/>
      <c r="M15669"/>
    </row>
    <row r="15670" spans="5:13" x14ac:dyDescent="0.25">
      <c r="E15670"/>
      <c r="M15670"/>
    </row>
    <row r="15671" spans="5:13" x14ac:dyDescent="0.25">
      <c r="E15671"/>
      <c r="M15671"/>
    </row>
    <row r="15672" spans="5:13" x14ac:dyDescent="0.25">
      <c r="E15672"/>
      <c r="M15672"/>
    </row>
    <row r="15673" spans="5:13" x14ac:dyDescent="0.25">
      <c r="E15673"/>
      <c r="M15673"/>
    </row>
    <row r="15674" spans="5:13" x14ac:dyDescent="0.25">
      <c r="E15674"/>
      <c r="M15674"/>
    </row>
    <row r="15675" spans="5:13" x14ac:dyDescent="0.25">
      <c r="E15675"/>
      <c r="M15675"/>
    </row>
    <row r="15676" spans="5:13" x14ac:dyDescent="0.25">
      <c r="E15676"/>
      <c r="M15676"/>
    </row>
    <row r="15677" spans="5:13" x14ac:dyDescent="0.25">
      <c r="E15677"/>
      <c r="M15677"/>
    </row>
    <row r="15678" spans="5:13" x14ac:dyDescent="0.25">
      <c r="E15678"/>
      <c r="M15678"/>
    </row>
    <row r="15679" spans="5:13" x14ac:dyDescent="0.25">
      <c r="E15679"/>
      <c r="M15679"/>
    </row>
    <row r="15680" spans="5:13" x14ac:dyDescent="0.25">
      <c r="E15680"/>
      <c r="M15680"/>
    </row>
    <row r="15681" spans="5:13" x14ac:dyDescent="0.25">
      <c r="E15681"/>
      <c r="M15681"/>
    </row>
    <row r="15682" spans="5:13" x14ac:dyDescent="0.25">
      <c r="E15682"/>
      <c r="M15682"/>
    </row>
    <row r="15683" spans="5:13" x14ac:dyDescent="0.25">
      <c r="E15683"/>
      <c r="M15683"/>
    </row>
    <row r="15684" spans="5:13" x14ac:dyDescent="0.25">
      <c r="E15684"/>
      <c r="M15684"/>
    </row>
    <row r="15685" spans="5:13" x14ac:dyDescent="0.25">
      <c r="E15685"/>
      <c r="M15685"/>
    </row>
    <row r="15686" spans="5:13" x14ac:dyDescent="0.25">
      <c r="E15686"/>
      <c r="M15686"/>
    </row>
    <row r="15687" spans="5:13" x14ac:dyDescent="0.25">
      <c r="E15687"/>
      <c r="M15687"/>
    </row>
    <row r="15688" spans="5:13" x14ac:dyDescent="0.25">
      <c r="E15688"/>
      <c r="M15688"/>
    </row>
    <row r="15689" spans="5:13" x14ac:dyDescent="0.25">
      <c r="E15689"/>
      <c r="M15689"/>
    </row>
    <row r="15690" spans="5:13" x14ac:dyDescent="0.25">
      <c r="E15690"/>
      <c r="M15690"/>
    </row>
    <row r="15691" spans="5:13" x14ac:dyDescent="0.25">
      <c r="E15691"/>
      <c r="M15691"/>
    </row>
    <row r="15692" spans="5:13" x14ac:dyDescent="0.25">
      <c r="E15692"/>
      <c r="M15692"/>
    </row>
    <row r="15693" spans="5:13" x14ac:dyDescent="0.25">
      <c r="E15693"/>
      <c r="M15693"/>
    </row>
    <row r="15694" spans="5:13" x14ac:dyDescent="0.25">
      <c r="E15694"/>
      <c r="M15694"/>
    </row>
    <row r="15695" spans="5:13" x14ac:dyDescent="0.25">
      <c r="E15695"/>
      <c r="M15695"/>
    </row>
    <row r="15696" spans="5:13" x14ac:dyDescent="0.25">
      <c r="E15696"/>
      <c r="M15696"/>
    </row>
    <row r="15697" spans="5:13" x14ac:dyDescent="0.25">
      <c r="E15697"/>
      <c r="M15697"/>
    </row>
    <row r="15698" spans="5:13" x14ac:dyDescent="0.25">
      <c r="E15698"/>
      <c r="M15698"/>
    </row>
    <row r="15699" spans="5:13" x14ac:dyDescent="0.25">
      <c r="E15699"/>
      <c r="M15699"/>
    </row>
    <row r="15700" spans="5:13" x14ac:dyDescent="0.25">
      <c r="E15700"/>
      <c r="M15700"/>
    </row>
    <row r="15701" spans="5:13" x14ac:dyDescent="0.25">
      <c r="E15701"/>
      <c r="M15701"/>
    </row>
    <row r="15702" spans="5:13" x14ac:dyDescent="0.25">
      <c r="E15702"/>
      <c r="M15702"/>
    </row>
    <row r="15703" spans="5:13" x14ac:dyDescent="0.25">
      <c r="E15703"/>
      <c r="M15703"/>
    </row>
    <row r="15704" spans="5:13" x14ac:dyDescent="0.25">
      <c r="E15704"/>
      <c r="M15704"/>
    </row>
    <row r="15705" spans="5:13" x14ac:dyDescent="0.25">
      <c r="E15705"/>
      <c r="M15705"/>
    </row>
    <row r="15706" spans="5:13" x14ac:dyDescent="0.25">
      <c r="E15706"/>
      <c r="M15706"/>
    </row>
    <row r="15707" spans="5:13" x14ac:dyDescent="0.25">
      <c r="E15707"/>
      <c r="M15707"/>
    </row>
    <row r="15708" spans="5:13" x14ac:dyDescent="0.25">
      <c r="E15708"/>
      <c r="M15708"/>
    </row>
    <row r="15709" spans="5:13" x14ac:dyDescent="0.25">
      <c r="E15709"/>
      <c r="M15709"/>
    </row>
    <row r="15710" spans="5:13" x14ac:dyDescent="0.25">
      <c r="E15710"/>
      <c r="M15710"/>
    </row>
    <row r="15711" spans="5:13" x14ac:dyDescent="0.25">
      <c r="E15711"/>
      <c r="M15711"/>
    </row>
    <row r="15712" spans="5:13" x14ac:dyDescent="0.25">
      <c r="E15712"/>
      <c r="M15712"/>
    </row>
    <row r="15713" spans="5:13" x14ac:dyDescent="0.25">
      <c r="E15713"/>
      <c r="M15713"/>
    </row>
    <row r="15714" spans="5:13" x14ac:dyDescent="0.25">
      <c r="E15714"/>
      <c r="M15714"/>
    </row>
    <row r="15715" spans="5:13" x14ac:dyDescent="0.25">
      <c r="E15715"/>
      <c r="M15715"/>
    </row>
    <row r="15716" spans="5:13" x14ac:dyDescent="0.25">
      <c r="E15716"/>
      <c r="M15716"/>
    </row>
    <row r="15717" spans="5:13" x14ac:dyDescent="0.25">
      <c r="E15717"/>
      <c r="M15717"/>
    </row>
    <row r="15718" spans="5:13" x14ac:dyDescent="0.25">
      <c r="E15718"/>
      <c r="M15718"/>
    </row>
    <row r="15719" spans="5:13" x14ac:dyDescent="0.25">
      <c r="E15719"/>
      <c r="M15719"/>
    </row>
    <row r="15720" spans="5:13" x14ac:dyDescent="0.25">
      <c r="E15720"/>
      <c r="M15720"/>
    </row>
    <row r="15721" spans="5:13" x14ac:dyDescent="0.25">
      <c r="E15721"/>
      <c r="M15721"/>
    </row>
    <row r="15722" spans="5:13" x14ac:dyDescent="0.25">
      <c r="E15722"/>
      <c r="M15722"/>
    </row>
    <row r="15723" spans="5:13" x14ac:dyDescent="0.25">
      <c r="E15723"/>
      <c r="M15723"/>
    </row>
    <row r="15724" spans="5:13" x14ac:dyDescent="0.25">
      <c r="E15724"/>
      <c r="M15724"/>
    </row>
    <row r="15725" spans="5:13" x14ac:dyDescent="0.25">
      <c r="E15725"/>
      <c r="M15725"/>
    </row>
    <row r="15726" spans="5:13" x14ac:dyDescent="0.25">
      <c r="E15726"/>
      <c r="M15726"/>
    </row>
    <row r="15727" spans="5:13" x14ac:dyDescent="0.25">
      <c r="E15727"/>
      <c r="M15727"/>
    </row>
    <row r="15728" spans="5:13" x14ac:dyDescent="0.25">
      <c r="E15728"/>
      <c r="M15728"/>
    </row>
    <row r="15729" spans="5:13" x14ac:dyDescent="0.25">
      <c r="E15729"/>
      <c r="M15729"/>
    </row>
    <row r="15730" spans="5:13" x14ac:dyDescent="0.25">
      <c r="E15730"/>
      <c r="M15730"/>
    </row>
    <row r="15731" spans="5:13" x14ac:dyDescent="0.25">
      <c r="E15731"/>
      <c r="M15731"/>
    </row>
    <row r="15732" spans="5:13" x14ac:dyDescent="0.25">
      <c r="E15732"/>
      <c r="M15732"/>
    </row>
    <row r="15733" spans="5:13" x14ac:dyDescent="0.25">
      <c r="E15733"/>
      <c r="M15733"/>
    </row>
    <row r="15734" spans="5:13" x14ac:dyDescent="0.25">
      <c r="E15734"/>
      <c r="M15734"/>
    </row>
    <row r="15735" spans="5:13" x14ac:dyDescent="0.25">
      <c r="E15735"/>
      <c r="M15735"/>
    </row>
    <row r="15736" spans="5:13" x14ac:dyDescent="0.25">
      <c r="E15736"/>
      <c r="M15736"/>
    </row>
    <row r="15737" spans="5:13" x14ac:dyDescent="0.25">
      <c r="E15737"/>
      <c r="M15737"/>
    </row>
    <row r="15738" spans="5:13" x14ac:dyDescent="0.25">
      <c r="E15738"/>
      <c r="M15738"/>
    </row>
    <row r="15739" spans="5:13" x14ac:dyDescent="0.25">
      <c r="E15739"/>
      <c r="M15739"/>
    </row>
    <row r="15740" spans="5:13" x14ac:dyDescent="0.25">
      <c r="E15740"/>
      <c r="M15740"/>
    </row>
    <row r="15741" spans="5:13" x14ac:dyDescent="0.25">
      <c r="E15741"/>
      <c r="M15741"/>
    </row>
    <row r="15742" spans="5:13" x14ac:dyDescent="0.25">
      <c r="E15742"/>
      <c r="M15742"/>
    </row>
    <row r="15743" spans="5:13" x14ac:dyDescent="0.25">
      <c r="E15743"/>
      <c r="M15743"/>
    </row>
    <row r="15744" spans="5:13" x14ac:dyDescent="0.25">
      <c r="E15744"/>
      <c r="M15744"/>
    </row>
    <row r="15745" spans="5:13" x14ac:dyDescent="0.25">
      <c r="E15745"/>
      <c r="M15745"/>
    </row>
    <row r="15746" spans="5:13" x14ac:dyDescent="0.25">
      <c r="E15746"/>
      <c r="M15746"/>
    </row>
    <row r="15747" spans="5:13" x14ac:dyDescent="0.25">
      <c r="E15747"/>
      <c r="M15747"/>
    </row>
    <row r="15748" spans="5:13" x14ac:dyDescent="0.25">
      <c r="E15748"/>
      <c r="M15748"/>
    </row>
    <row r="15749" spans="5:13" x14ac:dyDescent="0.25">
      <c r="E15749"/>
      <c r="M15749"/>
    </row>
    <row r="15750" spans="5:13" x14ac:dyDescent="0.25">
      <c r="E15750"/>
      <c r="M15750"/>
    </row>
    <row r="15751" spans="5:13" x14ac:dyDescent="0.25">
      <c r="E15751"/>
      <c r="M15751"/>
    </row>
    <row r="15752" spans="5:13" x14ac:dyDescent="0.25">
      <c r="E15752"/>
      <c r="M15752"/>
    </row>
    <row r="15753" spans="5:13" x14ac:dyDescent="0.25">
      <c r="E15753"/>
      <c r="M15753"/>
    </row>
    <row r="15754" spans="5:13" x14ac:dyDescent="0.25">
      <c r="E15754"/>
      <c r="M15754"/>
    </row>
    <row r="15755" spans="5:13" x14ac:dyDescent="0.25">
      <c r="E15755"/>
      <c r="M15755"/>
    </row>
    <row r="15756" spans="5:13" x14ac:dyDescent="0.25">
      <c r="E15756"/>
      <c r="M15756"/>
    </row>
    <row r="15757" spans="5:13" x14ac:dyDescent="0.25">
      <c r="E15757"/>
      <c r="M15757"/>
    </row>
    <row r="15758" spans="5:13" x14ac:dyDescent="0.25">
      <c r="E15758"/>
      <c r="M15758"/>
    </row>
    <row r="15759" spans="5:13" x14ac:dyDescent="0.25">
      <c r="E15759"/>
      <c r="M15759"/>
    </row>
    <row r="15760" spans="5:13" x14ac:dyDescent="0.25">
      <c r="E15760"/>
      <c r="M15760"/>
    </row>
    <row r="15761" spans="5:13" x14ac:dyDescent="0.25">
      <c r="E15761"/>
      <c r="M15761"/>
    </row>
    <row r="15762" spans="5:13" x14ac:dyDescent="0.25">
      <c r="E15762"/>
      <c r="M15762"/>
    </row>
    <row r="15763" spans="5:13" x14ac:dyDescent="0.25">
      <c r="E15763"/>
      <c r="M15763"/>
    </row>
    <row r="15764" spans="5:13" x14ac:dyDescent="0.25">
      <c r="E15764"/>
      <c r="M15764"/>
    </row>
    <row r="15765" spans="5:13" x14ac:dyDescent="0.25">
      <c r="E15765"/>
      <c r="M15765"/>
    </row>
    <row r="15766" spans="5:13" x14ac:dyDescent="0.25">
      <c r="E15766"/>
      <c r="M15766"/>
    </row>
    <row r="15767" spans="5:13" x14ac:dyDescent="0.25">
      <c r="E15767"/>
      <c r="M15767"/>
    </row>
    <row r="15768" spans="5:13" x14ac:dyDescent="0.25">
      <c r="E15768"/>
      <c r="M15768"/>
    </row>
    <row r="15769" spans="5:13" x14ac:dyDescent="0.25">
      <c r="E15769"/>
      <c r="M15769"/>
    </row>
    <row r="15770" spans="5:13" x14ac:dyDescent="0.25">
      <c r="E15770"/>
      <c r="M15770"/>
    </row>
    <row r="15771" spans="5:13" x14ac:dyDescent="0.25">
      <c r="E15771"/>
      <c r="M15771"/>
    </row>
    <row r="15772" spans="5:13" x14ac:dyDescent="0.25">
      <c r="E15772"/>
      <c r="M15772"/>
    </row>
    <row r="15773" spans="5:13" x14ac:dyDescent="0.25">
      <c r="E15773"/>
      <c r="M15773"/>
    </row>
    <row r="15774" spans="5:13" x14ac:dyDescent="0.25">
      <c r="E15774"/>
      <c r="M15774"/>
    </row>
    <row r="15775" spans="5:13" x14ac:dyDescent="0.25">
      <c r="E15775"/>
      <c r="M15775"/>
    </row>
    <row r="15776" spans="5:13" x14ac:dyDescent="0.25">
      <c r="E15776"/>
      <c r="M15776"/>
    </row>
    <row r="15777" spans="5:13" x14ac:dyDescent="0.25">
      <c r="E15777"/>
      <c r="M15777"/>
    </row>
    <row r="15778" spans="5:13" x14ac:dyDescent="0.25">
      <c r="E15778"/>
      <c r="M15778"/>
    </row>
    <row r="15779" spans="5:13" x14ac:dyDescent="0.25">
      <c r="E15779"/>
      <c r="M15779"/>
    </row>
    <row r="15780" spans="5:13" x14ac:dyDescent="0.25">
      <c r="E15780"/>
      <c r="M15780"/>
    </row>
    <row r="15781" spans="5:13" x14ac:dyDescent="0.25">
      <c r="E15781"/>
      <c r="M15781"/>
    </row>
    <row r="15782" spans="5:13" x14ac:dyDescent="0.25">
      <c r="E15782"/>
      <c r="M15782"/>
    </row>
    <row r="15783" spans="5:13" x14ac:dyDescent="0.25">
      <c r="E15783"/>
      <c r="M15783"/>
    </row>
    <row r="15784" spans="5:13" x14ac:dyDescent="0.25">
      <c r="E15784"/>
      <c r="M15784"/>
    </row>
    <row r="15785" spans="5:13" x14ac:dyDescent="0.25">
      <c r="E15785"/>
      <c r="M15785"/>
    </row>
    <row r="15786" spans="5:13" x14ac:dyDescent="0.25">
      <c r="E15786"/>
      <c r="M15786"/>
    </row>
    <row r="15787" spans="5:13" x14ac:dyDescent="0.25">
      <c r="E15787"/>
      <c r="M15787"/>
    </row>
    <row r="15788" spans="5:13" x14ac:dyDescent="0.25">
      <c r="E15788"/>
      <c r="M15788"/>
    </row>
    <row r="15789" spans="5:13" x14ac:dyDescent="0.25">
      <c r="E15789"/>
      <c r="M15789"/>
    </row>
    <row r="15790" spans="5:13" x14ac:dyDescent="0.25">
      <c r="E15790"/>
      <c r="M15790"/>
    </row>
    <row r="15791" spans="5:13" x14ac:dyDescent="0.25">
      <c r="E15791"/>
      <c r="M15791"/>
    </row>
    <row r="15792" spans="5:13" x14ac:dyDescent="0.25">
      <c r="E15792"/>
      <c r="M15792"/>
    </row>
    <row r="15793" spans="5:13" x14ac:dyDescent="0.25">
      <c r="E15793"/>
      <c r="M15793"/>
    </row>
    <row r="15794" spans="5:13" x14ac:dyDescent="0.25">
      <c r="E15794"/>
      <c r="M15794"/>
    </row>
    <row r="15795" spans="5:13" x14ac:dyDescent="0.25">
      <c r="E15795"/>
      <c r="M15795"/>
    </row>
    <row r="15796" spans="5:13" x14ac:dyDescent="0.25">
      <c r="E15796"/>
      <c r="M15796"/>
    </row>
    <row r="15797" spans="5:13" x14ac:dyDescent="0.25">
      <c r="E15797"/>
      <c r="M15797"/>
    </row>
    <row r="15798" spans="5:13" x14ac:dyDescent="0.25">
      <c r="E15798"/>
      <c r="M15798"/>
    </row>
    <row r="15799" spans="5:13" x14ac:dyDescent="0.25">
      <c r="E15799"/>
      <c r="M15799"/>
    </row>
    <row r="15800" spans="5:13" x14ac:dyDescent="0.25">
      <c r="E15800"/>
      <c r="M15800"/>
    </row>
    <row r="15801" spans="5:13" x14ac:dyDescent="0.25">
      <c r="E15801"/>
      <c r="M15801"/>
    </row>
    <row r="15802" spans="5:13" x14ac:dyDescent="0.25">
      <c r="E15802"/>
      <c r="M15802"/>
    </row>
    <row r="15803" spans="5:13" x14ac:dyDescent="0.25">
      <c r="E15803"/>
      <c r="M15803"/>
    </row>
    <row r="15804" spans="5:13" x14ac:dyDescent="0.25">
      <c r="E15804"/>
      <c r="M15804"/>
    </row>
    <row r="15805" spans="5:13" x14ac:dyDescent="0.25">
      <c r="E15805"/>
      <c r="M15805"/>
    </row>
    <row r="15806" spans="5:13" x14ac:dyDescent="0.25">
      <c r="E15806"/>
      <c r="M15806"/>
    </row>
    <row r="15807" spans="5:13" x14ac:dyDescent="0.25">
      <c r="E15807"/>
      <c r="M15807"/>
    </row>
    <row r="15808" spans="5:13" x14ac:dyDescent="0.25">
      <c r="E15808"/>
      <c r="M15808"/>
    </row>
    <row r="15809" spans="5:13" x14ac:dyDescent="0.25">
      <c r="E15809"/>
      <c r="M15809"/>
    </row>
    <row r="15810" spans="5:13" x14ac:dyDescent="0.25">
      <c r="E15810"/>
      <c r="M15810"/>
    </row>
    <row r="15811" spans="5:13" x14ac:dyDescent="0.25">
      <c r="E15811"/>
      <c r="M15811"/>
    </row>
    <row r="15812" spans="5:13" x14ac:dyDescent="0.25">
      <c r="E15812"/>
      <c r="M15812"/>
    </row>
    <row r="15813" spans="5:13" x14ac:dyDescent="0.25">
      <c r="E15813"/>
      <c r="M15813"/>
    </row>
    <row r="15814" spans="5:13" x14ac:dyDescent="0.25">
      <c r="E15814"/>
      <c r="M15814"/>
    </row>
    <row r="15815" spans="5:13" x14ac:dyDescent="0.25">
      <c r="E15815"/>
      <c r="M15815"/>
    </row>
    <row r="15816" spans="5:13" x14ac:dyDescent="0.25">
      <c r="E15816"/>
      <c r="M15816"/>
    </row>
    <row r="15817" spans="5:13" x14ac:dyDescent="0.25">
      <c r="E15817"/>
      <c r="M15817"/>
    </row>
    <row r="15818" spans="5:13" x14ac:dyDescent="0.25">
      <c r="E15818"/>
      <c r="M15818"/>
    </row>
    <row r="15819" spans="5:13" x14ac:dyDescent="0.25">
      <c r="E15819"/>
      <c r="M15819"/>
    </row>
    <row r="15820" spans="5:13" x14ac:dyDescent="0.25">
      <c r="E15820"/>
      <c r="M15820"/>
    </row>
    <row r="15821" spans="5:13" x14ac:dyDescent="0.25">
      <c r="E15821"/>
      <c r="M15821"/>
    </row>
    <row r="15822" spans="5:13" x14ac:dyDescent="0.25">
      <c r="E15822"/>
      <c r="M15822"/>
    </row>
    <row r="15823" spans="5:13" x14ac:dyDescent="0.25">
      <c r="E15823"/>
      <c r="M15823"/>
    </row>
    <row r="15824" spans="5:13" x14ac:dyDescent="0.25">
      <c r="E15824"/>
      <c r="M15824"/>
    </row>
    <row r="15825" spans="5:13" x14ac:dyDescent="0.25">
      <c r="E15825"/>
      <c r="M15825"/>
    </row>
    <row r="15826" spans="5:13" x14ac:dyDescent="0.25">
      <c r="E15826"/>
      <c r="M15826"/>
    </row>
    <row r="15827" spans="5:13" x14ac:dyDescent="0.25">
      <c r="E15827"/>
      <c r="M15827"/>
    </row>
    <row r="15828" spans="5:13" x14ac:dyDescent="0.25">
      <c r="E15828"/>
      <c r="M15828"/>
    </row>
    <row r="15829" spans="5:13" x14ac:dyDescent="0.25">
      <c r="E15829"/>
      <c r="M15829"/>
    </row>
    <row r="15830" spans="5:13" x14ac:dyDescent="0.25">
      <c r="E15830"/>
      <c r="M15830"/>
    </row>
    <row r="15831" spans="5:13" x14ac:dyDescent="0.25">
      <c r="E15831"/>
      <c r="M15831"/>
    </row>
    <row r="15832" spans="5:13" x14ac:dyDescent="0.25">
      <c r="E15832"/>
      <c r="M15832"/>
    </row>
    <row r="15833" spans="5:13" x14ac:dyDescent="0.25">
      <c r="E15833"/>
      <c r="M15833"/>
    </row>
    <row r="15834" spans="5:13" x14ac:dyDescent="0.25">
      <c r="E15834"/>
      <c r="M15834"/>
    </row>
    <row r="15835" spans="5:13" x14ac:dyDescent="0.25">
      <c r="E15835"/>
      <c r="M15835"/>
    </row>
    <row r="15836" spans="5:13" x14ac:dyDescent="0.25">
      <c r="E15836"/>
      <c r="M15836"/>
    </row>
    <row r="15837" spans="5:13" x14ac:dyDescent="0.25">
      <c r="E15837"/>
      <c r="M15837"/>
    </row>
    <row r="15838" spans="5:13" x14ac:dyDescent="0.25">
      <c r="E15838"/>
      <c r="M15838"/>
    </row>
    <row r="15839" spans="5:13" x14ac:dyDescent="0.25">
      <c r="E15839"/>
      <c r="M15839"/>
    </row>
    <row r="15840" spans="5:13" x14ac:dyDescent="0.25">
      <c r="E15840"/>
      <c r="M15840"/>
    </row>
    <row r="15841" spans="5:13" x14ac:dyDescent="0.25">
      <c r="E15841"/>
      <c r="M15841"/>
    </row>
    <row r="15842" spans="5:13" x14ac:dyDescent="0.25">
      <c r="E15842"/>
      <c r="M15842"/>
    </row>
    <row r="15843" spans="5:13" x14ac:dyDescent="0.25">
      <c r="E15843"/>
      <c r="M15843"/>
    </row>
    <row r="15844" spans="5:13" x14ac:dyDescent="0.25">
      <c r="E15844"/>
      <c r="M15844"/>
    </row>
    <row r="15845" spans="5:13" x14ac:dyDescent="0.25">
      <c r="E15845"/>
      <c r="M15845"/>
    </row>
    <row r="15846" spans="5:13" x14ac:dyDescent="0.25">
      <c r="E15846"/>
      <c r="M15846"/>
    </row>
    <row r="15847" spans="5:13" x14ac:dyDescent="0.25">
      <c r="E15847"/>
      <c r="M15847"/>
    </row>
    <row r="15848" spans="5:13" x14ac:dyDescent="0.25">
      <c r="E15848"/>
      <c r="M15848"/>
    </row>
    <row r="15849" spans="5:13" x14ac:dyDescent="0.25">
      <c r="E15849"/>
      <c r="M15849"/>
    </row>
    <row r="15850" spans="5:13" x14ac:dyDescent="0.25">
      <c r="E15850"/>
      <c r="M15850"/>
    </row>
    <row r="15851" spans="5:13" x14ac:dyDescent="0.25">
      <c r="E15851"/>
      <c r="M15851"/>
    </row>
    <row r="15852" spans="5:13" x14ac:dyDescent="0.25">
      <c r="E15852"/>
      <c r="M15852"/>
    </row>
    <row r="15853" spans="5:13" x14ac:dyDescent="0.25">
      <c r="E15853"/>
      <c r="M15853"/>
    </row>
    <row r="15854" spans="5:13" x14ac:dyDescent="0.25">
      <c r="E15854"/>
      <c r="M15854"/>
    </row>
    <row r="15855" spans="5:13" x14ac:dyDescent="0.25">
      <c r="E15855"/>
      <c r="M15855"/>
    </row>
    <row r="15856" spans="5:13" x14ac:dyDescent="0.25">
      <c r="E15856"/>
      <c r="M15856"/>
    </row>
    <row r="15857" spans="5:13" x14ac:dyDescent="0.25">
      <c r="E15857"/>
      <c r="M15857"/>
    </row>
    <row r="15858" spans="5:13" x14ac:dyDescent="0.25">
      <c r="E15858"/>
      <c r="M15858"/>
    </row>
    <row r="15859" spans="5:13" x14ac:dyDescent="0.25">
      <c r="E15859"/>
      <c r="M15859"/>
    </row>
    <row r="15860" spans="5:13" x14ac:dyDescent="0.25">
      <c r="E15860"/>
      <c r="M15860"/>
    </row>
    <row r="15861" spans="5:13" x14ac:dyDescent="0.25">
      <c r="E15861"/>
      <c r="M15861"/>
    </row>
    <row r="15862" spans="5:13" x14ac:dyDescent="0.25">
      <c r="E15862"/>
      <c r="M15862"/>
    </row>
    <row r="15863" spans="5:13" x14ac:dyDescent="0.25">
      <c r="E15863"/>
      <c r="M15863"/>
    </row>
    <row r="15864" spans="5:13" x14ac:dyDescent="0.25">
      <c r="E15864"/>
      <c r="M15864"/>
    </row>
    <row r="15865" spans="5:13" x14ac:dyDescent="0.25">
      <c r="E15865"/>
      <c r="M15865"/>
    </row>
    <row r="15866" spans="5:13" x14ac:dyDescent="0.25">
      <c r="E15866"/>
      <c r="M15866"/>
    </row>
    <row r="15867" spans="5:13" x14ac:dyDescent="0.25">
      <c r="E15867"/>
      <c r="M15867"/>
    </row>
    <row r="15868" spans="5:13" x14ac:dyDescent="0.25">
      <c r="E15868"/>
      <c r="M15868"/>
    </row>
    <row r="15869" spans="5:13" x14ac:dyDescent="0.25">
      <c r="E15869"/>
      <c r="M15869"/>
    </row>
    <row r="15870" spans="5:13" x14ac:dyDescent="0.25">
      <c r="E15870"/>
      <c r="M15870"/>
    </row>
    <row r="15871" spans="5:13" x14ac:dyDescent="0.25">
      <c r="E15871"/>
      <c r="M15871"/>
    </row>
    <row r="15872" spans="5:13" x14ac:dyDescent="0.25">
      <c r="E15872"/>
      <c r="M15872"/>
    </row>
    <row r="15873" spans="5:13" x14ac:dyDescent="0.25">
      <c r="E15873"/>
      <c r="M15873"/>
    </row>
    <row r="15874" spans="5:13" x14ac:dyDescent="0.25">
      <c r="E15874"/>
      <c r="M15874"/>
    </row>
    <row r="15875" spans="5:13" x14ac:dyDescent="0.25">
      <c r="E15875"/>
      <c r="M15875"/>
    </row>
    <row r="15876" spans="5:13" x14ac:dyDescent="0.25">
      <c r="E15876"/>
      <c r="M15876"/>
    </row>
    <row r="15877" spans="5:13" x14ac:dyDescent="0.25">
      <c r="E15877"/>
      <c r="M15877"/>
    </row>
    <row r="15878" spans="5:13" x14ac:dyDescent="0.25">
      <c r="E15878"/>
      <c r="M15878"/>
    </row>
    <row r="15879" spans="5:13" x14ac:dyDescent="0.25">
      <c r="E15879"/>
      <c r="M15879"/>
    </row>
    <row r="15880" spans="5:13" x14ac:dyDescent="0.25">
      <c r="E15880"/>
      <c r="M15880"/>
    </row>
    <row r="15881" spans="5:13" x14ac:dyDescent="0.25">
      <c r="E15881"/>
      <c r="M15881"/>
    </row>
    <row r="15882" spans="5:13" x14ac:dyDescent="0.25">
      <c r="E15882"/>
      <c r="M15882"/>
    </row>
    <row r="15883" spans="5:13" x14ac:dyDescent="0.25">
      <c r="E15883"/>
      <c r="M15883"/>
    </row>
    <row r="15884" spans="5:13" x14ac:dyDescent="0.25">
      <c r="E15884"/>
      <c r="M15884"/>
    </row>
    <row r="15885" spans="5:13" x14ac:dyDescent="0.25">
      <c r="E15885"/>
      <c r="M15885"/>
    </row>
    <row r="15886" spans="5:13" x14ac:dyDescent="0.25">
      <c r="E15886"/>
      <c r="M15886"/>
    </row>
    <row r="15887" spans="5:13" x14ac:dyDescent="0.25">
      <c r="E15887"/>
      <c r="M15887"/>
    </row>
    <row r="15888" spans="5:13" x14ac:dyDescent="0.25">
      <c r="E15888"/>
      <c r="M15888"/>
    </row>
    <row r="15889" spans="5:13" x14ac:dyDescent="0.25">
      <c r="E15889"/>
      <c r="M15889"/>
    </row>
    <row r="15890" spans="5:13" x14ac:dyDescent="0.25">
      <c r="E15890"/>
      <c r="M15890"/>
    </row>
    <row r="15891" spans="5:13" x14ac:dyDescent="0.25">
      <c r="E15891"/>
      <c r="M15891"/>
    </row>
    <row r="15892" spans="5:13" x14ac:dyDescent="0.25">
      <c r="E15892"/>
      <c r="M15892"/>
    </row>
    <row r="15893" spans="5:13" x14ac:dyDescent="0.25">
      <c r="E15893"/>
      <c r="M15893"/>
    </row>
    <row r="15894" spans="5:13" x14ac:dyDescent="0.25">
      <c r="E15894"/>
      <c r="M15894"/>
    </row>
    <row r="15895" spans="5:13" x14ac:dyDescent="0.25">
      <c r="E15895"/>
      <c r="M15895"/>
    </row>
    <row r="15896" spans="5:13" x14ac:dyDescent="0.25">
      <c r="E15896"/>
      <c r="M15896"/>
    </row>
    <row r="15897" spans="5:13" x14ac:dyDescent="0.25">
      <c r="E15897"/>
      <c r="M15897"/>
    </row>
    <row r="15898" spans="5:13" x14ac:dyDescent="0.25">
      <c r="E15898"/>
      <c r="M15898"/>
    </row>
    <row r="15899" spans="5:13" x14ac:dyDescent="0.25">
      <c r="E15899"/>
      <c r="M15899"/>
    </row>
    <row r="15900" spans="5:13" x14ac:dyDescent="0.25">
      <c r="E15900"/>
      <c r="M15900"/>
    </row>
    <row r="15901" spans="5:13" x14ac:dyDescent="0.25">
      <c r="E15901"/>
      <c r="M15901"/>
    </row>
    <row r="15902" spans="5:13" x14ac:dyDescent="0.25">
      <c r="E15902"/>
      <c r="M15902"/>
    </row>
    <row r="15903" spans="5:13" x14ac:dyDescent="0.25">
      <c r="E15903"/>
      <c r="M15903"/>
    </row>
    <row r="15904" spans="5:13" x14ac:dyDescent="0.25">
      <c r="E15904"/>
      <c r="M15904"/>
    </row>
    <row r="15905" spans="5:13" x14ac:dyDescent="0.25">
      <c r="E15905"/>
      <c r="M15905"/>
    </row>
    <row r="15906" spans="5:13" x14ac:dyDescent="0.25">
      <c r="E15906"/>
      <c r="M15906"/>
    </row>
    <row r="15907" spans="5:13" x14ac:dyDescent="0.25">
      <c r="E15907"/>
      <c r="M15907"/>
    </row>
    <row r="15908" spans="5:13" x14ac:dyDescent="0.25">
      <c r="E15908"/>
      <c r="M15908"/>
    </row>
    <row r="15909" spans="5:13" x14ac:dyDescent="0.25">
      <c r="E15909"/>
      <c r="M15909"/>
    </row>
    <row r="15910" spans="5:13" x14ac:dyDescent="0.25">
      <c r="E15910"/>
      <c r="M15910"/>
    </row>
    <row r="15911" spans="5:13" x14ac:dyDescent="0.25">
      <c r="E15911"/>
      <c r="M15911"/>
    </row>
    <row r="15912" spans="5:13" x14ac:dyDescent="0.25">
      <c r="E15912"/>
      <c r="M15912"/>
    </row>
    <row r="15913" spans="5:13" x14ac:dyDescent="0.25">
      <c r="E15913"/>
      <c r="M15913"/>
    </row>
    <row r="15914" spans="5:13" x14ac:dyDescent="0.25">
      <c r="E15914"/>
      <c r="M15914"/>
    </row>
    <row r="15915" spans="5:13" x14ac:dyDescent="0.25">
      <c r="E15915"/>
      <c r="M15915"/>
    </row>
    <row r="15916" spans="5:13" x14ac:dyDescent="0.25">
      <c r="E15916"/>
      <c r="M15916"/>
    </row>
    <row r="15917" spans="5:13" x14ac:dyDescent="0.25">
      <c r="E15917"/>
      <c r="M15917"/>
    </row>
    <row r="15918" spans="5:13" x14ac:dyDescent="0.25">
      <c r="E15918"/>
      <c r="M15918"/>
    </row>
    <row r="15919" spans="5:13" x14ac:dyDescent="0.25">
      <c r="E15919"/>
      <c r="M15919"/>
    </row>
    <row r="15920" spans="5:13" x14ac:dyDescent="0.25">
      <c r="E15920"/>
      <c r="M15920"/>
    </row>
    <row r="15921" spans="5:13" x14ac:dyDescent="0.25">
      <c r="E15921"/>
      <c r="M15921"/>
    </row>
    <row r="15922" spans="5:13" x14ac:dyDescent="0.25">
      <c r="E15922"/>
      <c r="M15922"/>
    </row>
    <row r="15923" spans="5:13" x14ac:dyDescent="0.25">
      <c r="E15923"/>
      <c r="M15923"/>
    </row>
    <row r="15924" spans="5:13" x14ac:dyDescent="0.25">
      <c r="E15924"/>
      <c r="M15924"/>
    </row>
    <row r="15925" spans="5:13" x14ac:dyDescent="0.25">
      <c r="E15925"/>
      <c r="M15925"/>
    </row>
    <row r="15926" spans="5:13" x14ac:dyDescent="0.25">
      <c r="E15926"/>
      <c r="M15926"/>
    </row>
    <row r="15927" spans="5:13" x14ac:dyDescent="0.25">
      <c r="E15927"/>
      <c r="M15927"/>
    </row>
    <row r="15928" spans="5:13" x14ac:dyDescent="0.25">
      <c r="E15928"/>
      <c r="M15928"/>
    </row>
    <row r="15929" spans="5:13" x14ac:dyDescent="0.25">
      <c r="E15929"/>
      <c r="M15929"/>
    </row>
    <row r="15930" spans="5:13" x14ac:dyDescent="0.25">
      <c r="E15930"/>
      <c r="M15930"/>
    </row>
    <row r="15931" spans="5:13" x14ac:dyDescent="0.25">
      <c r="E15931"/>
      <c r="M15931"/>
    </row>
    <row r="15932" spans="5:13" x14ac:dyDescent="0.25">
      <c r="E15932"/>
      <c r="M15932"/>
    </row>
    <row r="15933" spans="5:13" x14ac:dyDescent="0.25">
      <c r="E15933"/>
      <c r="M15933"/>
    </row>
    <row r="15934" spans="5:13" x14ac:dyDescent="0.25">
      <c r="E15934"/>
      <c r="M15934"/>
    </row>
    <row r="15935" spans="5:13" x14ac:dyDescent="0.25">
      <c r="E15935"/>
      <c r="M15935"/>
    </row>
    <row r="15936" spans="5:13" x14ac:dyDescent="0.25">
      <c r="E15936"/>
      <c r="M15936"/>
    </row>
    <row r="15937" spans="5:13" x14ac:dyDescent="0.25">
      <c r="E15937"/>
      <c r="M15937"/>
    </row>
    <row r="15938" spans="5:13" x14ac:dyDescent="0.25">
      <c r="E15938"/>
      <c r="M15938"/>
    </row>
    <row r="15939" spans="5:13" x14ac:dyDescent="0.25">
      <c r="E15939"/>
      <c r="M15939"/>
    </row>
    <row r="15940" spans="5:13" x14ac:dyDescent="0.25">
      <c r="E15940"/>
      <c r="M15940"/>
    </row>
    <row r="15941" spans="5:13" x14ac:dyDescent="0.25">
      <c r="E15941"/>
      <c r="M15941"/>
    </row>
    <row r="15942" spans="5:13" x14ac:dyDescent="0.25">
      <c r="E15942"/>
      <c r="M15942"/>
    </row>
    <row r="15943" spans="5:13" x14ac:dyDescent="0.25">
      <c r="E15943"/>
      <c r="M15943"/>
    </row>
    <row r="15944" spans="5:13" x14ac:dyDescent="0.25">
      <c r="E15944"/>
      <c r="M15944"/>
    </row>
    <row r="15945" spans="5:13" x14ac:dyDescent="0.25">
      <c r="E15945"/>
      <c r="M15945"/>
    </row>
    <row r="15946" spans="5:13" x14ac:dyDescent="0.25">
      <c r="E15946"/>
      <c r="M15946"/>
    </row>
    <row r="15947" spans="5:13" x14ac:dyDescent="0.25">
      <c r="E15947"/>
      <c r="M15947"/>
    </row>
    <row r="15948" spans="5:13" x14ac:dyDescent="0.25">
      <c r="E15948"/>
      <c r="M15948"/>
    </row>
    <row r="15949" spans="5:13" x14ac:dyDescent="0.25">
      <c r="E15949"/>
      <c r="M15949"/>
    </row>
    <row r="15950" spans="5:13" x14ac:dyDescent="0.25">
      <c r="E15950"/>
      <c r="M15950"/>
    </row>
    <row r="15951" spans="5:13" x14ac:dyDescent="0.25">
      <c r="E15951"/>
      <c r="M15951"/>
    </row>
    <row r="15952" spans="5:13" x14ac:dyDescent="0.25">
      <c r="E15952"/>
      <c r="M15952"/>
    </row>
    <row r="15953" spans="5:13" x14ac:dyDescent="0.25">
      <c r="E15953"/>
      <c r="M15953"/>
    </row>
    <row r="15954" spans="5:13" x14ac:dyDescent="0.25">
      <c r="E15954"/>
      <c r="M15954"/>
    </row>
    <row r="15955" spans="5:13" x14ac:dyDescent="0.25">
      <c r="E15955"/>
      <c r="M15955"/>
    </row>
    <row r="15956" spans="5:13" x14ac:dyDescent="0.25">
      <c r="E15956"/>
      <c r="M15956"/>
    </row>
    <row r="15957" spans="5:13" x14ac:dyDescent="0.25">
      <c r="E15957"/>
      <c r="M15957"/>
    </row>
    <row r="15958" spans="5:13" x14ac:dyDescent="0.25">
      <c r="E15958"/>
      <c r="M15958"/>
    </row>
    <row r="15959" spans="5:13" x14ac:dyDescent="0.25">
      <c r="E15959"/>
      <c r="M15959"/>
    </row>
    <row r="15960" spans="5:13" x14ac:dyDescent="0.25">
      <c r="E15960"/>
      <c r="M15960"/>
    </row>
    <row r="15961" spans="5:13" x14ac:dyDescent="0.25">
      <c r="E15961"/>
      <c r="M15961"/>
    </row>
    <row r="15962" spans="5:13" x14ac:dyDescent="0.25">
      <c r="E15962"/>
      <c r="M15962"/>
    </row>
    <row r="15963" spans="5:13" x14ac:dyDescent="0.25">
      <c r="E15963"/>
      <c r="M15963"/>
    </row>
    <row r="15964" spans="5:13" x14ac:dyDescent="0.25">
      <c r="E15964"/>
      <c r="M15964"/>
    </row>
    <row r="15965" spans="5:13" x14ac:dyDescent="0.25">
      <c r="E15965"/>
      <c r="M15965"/>
    </row>
    <row r="15966" spans="5:13" x14ac:dyDescent="0.25">
      <c r="E15966"/>
      <c r="M15966"/>
    </row>
    <row r="15967" spans="5:13" x14ac:dyDescent="0.25">
      <c r="E15967"/>
      <c r="M15967"/>
    </row>
    <row r="15968" spans="5:13" x14ac:dyDescent="0.25">
      <c r="E15968"/>
      <c r="M15968"/>
    </row>
    <row r="15969" spans="5:13" x14ac:dyDescent="0.25">
      <c r="E15969"/>
      <c r="M15969"/>
    </row>
    <row r="15970" spans="5:13" x14ac:dyDescent="0.25">
      <c r="E15970"/>
      <c r="M15970"/>
    </row>
    <row r="15971" spans="5:13" x14ac:dyDescent="0.25">
      <c r="E15971"/>
      <c r="M15971"/>
    </row>
    <row r="15972" spans="5:13" x14ac:dyDescent="0.25">
      <c r="E15972"/>
      <c r="M15972"/>
    </row>
    <row r="15973" spans="5:13" x14ac:dyDescent="0.25">
      <c r="E15973"/>
      <c r="M15973"/>
    </row>
    <row r="15974" spans="5:13" x14ac:dyDescent="0.25">
      <c r="E15974"/>
      <c r="M15974"/>
    </row>
    <row r="15975" spans="5:13" x14ac:dyDescent="0.25">
      <c r="E15975"/>
      <c r="M15975"/>
    </row>
    <row r="15976" spans="5:13" x14ac:dyDescent="0.25">
      <c r="E15976"/>
      <c r="M15976"/>
    </row>
    <row r="15977" spans="5:13" x14ac:dyDescent="0.25">
      <c r="E15977"/>
      <c r="M15977"/>
    </row>
    <row r="15978" spans="5:13" x14ac:dyDescent="0.25">
      <c r="E15978"/>
      <c r="M15978"/>
    </row>
    <row r="15979" spans="5:13" x14ac:dyDescent="0.25">
      <c r="E15979"/>
      <c r="M15979"/>
    </row>
    <row r="15980" spans="5:13" x14ac:dyDescent="0.25">
      <c r="E15980"/>
      <c r="M15980"/>
    </row>
    <row r="15981" spans="5:13" x14ac:dyDescent="0.25">
      <c r="E15981"/>
      <c r="M15981"/>
    </row>
    <row r="15982" spans="5:13" x14ac:dyDescent="0.25">
      <c r="E15982"/>
      <c r="M15982"/>
    </row>
    <row r="15983" spans="5:13" x14ac:dyDescent="0.25">
      <c r="E15983"/>
      <c r="M15983"/>
    </row>
    <row r="15984" spans="5:13" x14ac:dyDescent="0.25">
      <c r="E15984"/>
      <c r="M15984"/>
    </row>
    <row r="15985" spans="5:13" x14ac:dyDescent="0.25">
      <c r="E15985"/>
      <c r="M15985"/>
    </row>
    <row r="15986" spans="5:13" x14ac:dyDescent="0.25">
      <c r="E15986"/>
      <c r="M15986"/>
    </row>
    <row r="15987" spans="5:13" x14ac:dyDescent="0.25">
      <c r="E15987"/>
      <c r="M15987"/>
    </row>
    <row r="15988" spans="5:13" x14ac:dyDescent="0.25">
      <c r="E15988"/>
      <c r="M15988"/>
    </row>
    <row r="15989" spans="5:13" x14ac:dyDescent="0.25">
      <c r="E15989"/>
      <c r="M15989"/>
    </row>
    <row r="15990" spans="5:13" x14ac:dyDescent="0.25">
      <c r="E15990"/>
      <c r="M15990"/>
    </row>
    <row r="15991" spans="5:13" x14ac:dyDescent="0.25">
      <c r="E15991"/>
      <c r="M15991"/>
    </row>
    <row r="15992" spans="5:13" x14ac:dyDescent="0.25">
      <c r="E15992"/>
      <c r="M15992"/>
    </row>
    <row r="15993" spans="5:13" x14ac:dyDescent="0.25">
      <c r="E15993"/>
      <c r="M15993"/>
    </row>
    <row r="15994" spans="5:13" x14ac:dyDescent="0.25">
      <c r="E15994"/>
      <c r="M15994"/>
    </row>
    <row r="15995" spans="5:13" x14ac:dyDescent="0.25">
      <c r="E15995"/>
      <c r="M15995"/>
    </row>
    <row r="15996" spans="5:13" x14ac:dyDescent="0.25">
      <c r="E15996"/>
      <c r="M15996"/>
    </row>
    <row r="15997" spans="5:13" x14ac:dyDescent="0.25">
      <c r="E15997"/>
      <c r="M15997"/>
    </row>
    <row r="15998" spans="5:13" x14ac:dyDescent="0.25">
      <c r="E15998"/>
      <c r="M15998"/>
    </row>
    <row r="15999" spans="5:13" x14ac:dyDescent="0.25">
      <c r="E15999"/>
      <c r="M15999"/>
    </row>
    <row r="16000" spans="5:13" x14ac:dyDescent="0.25">
      <c r="E16000"/>
      <c r="M16000"/>
    </row>
    <row r="16001" spans="5:13" x14ac:dyDescent="0.25">
      <c r="E16001"/>
      <c r="M16001"/>
    </row>
    <row r="16002" spans="5:13" x14ac:dyDescent="0.25">
      <c r="E16002"/>
      <c r="M16002"/>
    </row>
    <row r="16003" spans="5:13" x14ac:dyDescent="0.25">
      <c r="E16003"/>
      <c r="M16003"/>
    </row>
    <row r="16004" spans="5:13" x14ac:dyDescent="0.25">
      <c r="E16004"/>
      <c r="M16004"/>
    </row>
    <row r="16005" spans="5:13" x14ac:dyDescent="0.25">
      <c r="E16005"/>
      <c r="M16005"/>
    </row>
    <row r="16006" spans="5:13" x14ac:dyDescent="0.25">
      <c r="E16006"/>
      <c r="M16006"/>
    </row>
    <row r="16007" spans="5:13" x14ac:dyDescent="0.25">
      <c r="E16007"/>
      <c r="M16007"/>
    </row>
    <row r="16008" spans="5:13" x14ac:dyDescent="0.25">
      <c r="E16008"/>
      <c r="M16008"/>
    </row>
    <row r="16009" spans="5:13" x14ac:dyDescent="0.25">
      <c r="E16009"/>
      <c r="M16009"/>
    </row>
    <row r="16010" spans="5:13" x14ac:dyDescent="0.25">
      <c r="E16010"/>
      <c r="M16010"/>
    </row>
    <row r="16011" spans="5:13" x14ac:dyDescent="0.25">
      <c r="E16011"/>
      <c r="M16011"/>
    </row>
    <row r="16012" spans="5:13" x14ac:dyDescent="0.25">
      <c r="E16012"/>
      <c r="M16012"/>
    </row>
    <row r="16013" spans="5:13" x14ac:dyDescent="0.25">
      <c r="E16013"/>
      <c r="M16013"/>
    </row>
    <row r="16014" spans="5:13" x14ac:dyDescent="0.25">
      <c r="E16014"/>
      <c r="M16014"/>
    </row>
    <row r="16015" spans="5:13" x14ac:dyDescent="0.25">
      <c r="E16015"/>
      <c r="M16015"/>
    </row>
    <row r="16016" spans="5:13" x14ac:dyDescent="0.25">
      <c r="E16016"/>
      <c r="M16016"/>
    </row>
    <row r="16017" spans="5:13" x14ac:dyDescent="0.25">
      <c r="E16017"/>
      <c r="M16017"/>
    </row>
    <row r="16018" spans="5:13" x14ac:dyDescent="0.25">
      <c r="E16018"/>
      <c r="M16018"/>
    </row>
    <row r="16019" spans="5:13" x14ac:dyDescent="0.25">
      <c r="E16019"/>
      <c r="M16019"/>
    </row>
    <row r="16020" spans="5:13" x14ac:dyDescent="0.25">
      <c r="E16020"/>
      <c r="M16020"/>
    </row>
    <row r="16021" spans="5:13" x14ac:dyDescent="0.25">
      <c r="E16021"/>
      <c r="M16021"/>
    </row>
    <row r="16022" spans="5:13" x14ac:dyDescent="0.25">
      <c r="E16022"/>
      <c r="M16022"/>
    </row>
    <row r="16023" spans="5:13" x14ac:dyDescent="0.25">
      <c r="E16023"/>
      <c r="M16023"/>
    </row>
    <row r="16024" spans="5:13" x14ac:dyDescent="0.25">
      <c r="E16024"/>
      <c r="M16024"/>
    </row>
    <row r="16025" spans="5:13" x14ac:dyDescent="0.25">
      <c r="E16025"/>
      <c r="M16025"/>
    </row>
    <row r="16026" spans="5:13" x14ac:dyDescent="0.25">
      <c r="E16026"/>
      <c r="M16026"/>
    </row>
    <row r="16027" spans="5:13" x14ac:dyDescent="0.25">
      <c r="E16027"/>
      <c r="M16027"/>
    </row>
    <row r="16028" spans="5:13" x14ac:dyDescent="0.25">
      <c r="E16028"/>
      <c r="M16028"/>
    </row>
    <row r="16029" spans="5:13" x14ac:dyDescent="0.25">
      <c r="E16029"/>
      <c r="M16029"/>
    </row>
    <row r="16030" spans="5:13" x14ac:dyDescent="0.25">
      <c r="E16030"/>
      <c r="M16030"/>
    </row>
    <row r="16031" spans="5:13" x14ac:dyDescent="0.25">
      <c r="E16031"/>
      <c r="M16031"/>
    </row>
    <row r="16032" spans="5:13" x14ac:dyDescent="0.25">
      <c r="E16032"/>
      <c r="M16032"/>
    </row>
    <row r="16033" spans="5:13" x14ac:dyDescent="0.25">
      <c r="E16033"/>
      <c r="M16033"/>
    </row>
    <row r="16034" spans="5:13" x14ac:dyDescent="0.25">
      <c r="E16034"/>
      <c r="M16034"/>
    </row>
    <row r="16035" spans="5:13" x14ac:dyDescent="0.25">
      <c r="E16035"/>
      <c r="M16035"/>
    </row>
    <row r="16036" spans="5:13" x14ac:dyDescent="0.25">
      <c r="E16036"/>
      <c r="M16036"/>
    </row>
    <row r="16037" spans="5:13" x14ac:dyDescent="0.25">
      <c r="E16037"/>
      <c r="M16037"/>
    </row>
    <row r="16038" spans="5:13" x14ac:dyDescent="0.25">
      <c r="E16038"/>
      <c r="M16038"/>
    </row>
    <row r="16039" spans="5:13" x14ac:dyDescent="0.25">
      <c r="E16039"/>
      <c r="M16039"/>
    </row>
    <row r="16040" spans="5:13" x14ac:dyDescent="0.25">
      <c r="E16040"/>
      <c r="M16040"/>
    </row>
    <row r="16041" spans="5:13" x14ac:dyDescent="0.25">
      <c r="E16041"/>
      <c r="M16041"/>
    </row>
    <row r="16042" spans="5:13" x14ac:dyDescent="0.25">
      <c r="E16042"/>
      <c r="M16042"/>
    </row>
    <row r="16043" spans="5:13" x14ac:dyDescent="0.25">
      <c r="E16043"/>
      <c r="M16043"/>
    </row>
    <row r="16044" spans="5:13" x14ac:dyDescent="0.25">
      <c r="E16044"/>
      <c r="M16044"/>
    </row>
    <row r="16045" spans="5:13" x14ac:dyDescent="0.25">
      <c r="E16045"/>
      <c r="M16045"/>
    </row>
    <row r="16046" spans="5:13" x14ac:dyDescent="0.25">
      <c r="E16046"/>
      <c r="M16046"/>
    </row>
    <row r="16047" spans="5:13" x14ac:dyDescent="0.25">
      <c r="E16047"/>
      <c r="M16047"/>
    </row>
    <row r="16048" spans="5:13" x14ac:dyDescent="0.25">
      <c r="E16048"/>
      <c r="M16048"/>
    </row>
    <row r="16049" spans="5:13" x14ac:dyDescent="0.25">
      <c r="E16049"/>
      <c r="M16049"/>
    </row>
    <row r="16050" spans="5:13" x14ac:dyDescent="0.25">
      <c r="E16050"/>
      <c r="M16050"/>
    </row>
    <row r="16051" spans="5:13" x14ac:dyDescent="0.25">
      <c r="E16051"/>
      <c r="M16051"/>
    </row>
    <row r="16052" spans="5:13" x14ac:dyDescent="0.25">
      <c r="E16052"/>
      <c r="M16052"/>
    </row>
    <row r="16053" spans="5:13" x14ac:dyDescent="0.25">
      <c r="E16053"/>
      <c r="M16053"/>
    </row>
    <row r="16054" spans="5:13" x14ac:dyDescent="0.25">
      <c r="E16054"/>
      <c r="M16054"/>
    </row>
    <row r="16055" spans="5:13" x14ac:dyDescent="0.25">
      <c r="E16055"/>
      <c r="M16055"/>
    </row>
    <row r="16056" spans="5:13" x14ac:dyDescent="0.25">
      <c r="E16056"/>
      <c r="M16056"/>
    </row>
    <row r="16057" spans="5:13" x14ac:dyDescent="0.25">
      <c r="E16057"/>
      <c r="M16057"/>
    </row>
    <row r="16058" spans="5:13" x14ac:dyDescent="0.25">
      <c r="E16058"/>
      <c r="M16058"/>
    </row>
    <row r="16059" spans="5:13" x14ac:dyDescent="0.25">
      <c r="E16059"/>
      <c r="M16059"/>
    </row>
    <row r="16060" spans="5:13" x14ac:dyDescent="0.25">
      <c r="E16060"/>
      <c r="M16060"/>
    </row>
    <row r="16061" spans="5:13" x14ac:dyDescent="0.25">
      <c r="E16061"/>
      <c r="M16061"/>
    </row>
    <row r="16062" spans="5:13" x14ac:dyDescent="0.25">
      <c r="E16062"/>
      <c r="M16062"/>
    </row>
    <row r="16063" spans="5:13" x14ac:dyDescent="0.25">
      <c r="E16063"/>
      <c r="M16063"/>
    </row>
    <row r="16064" spans="5:13" x14ac:dyDescent="0.25">
      <c r="E16064"/>
      <c r="M16064"/>
    </row>
    <row r="16065" spans="5:13" x14ac:dyDescent="0.25">
      <c r="E16065"/>
      <c r="M16065"/>
    </row>
    <row r="16066" spans="5:13" x14ac:dyDescent="0.25">
      <c r="E16066"/>
      <c r="M16066"/>
    </row>
    <row r="16067" spans="5:13" x14ac:dyDescent="0.25">
      <c r="E16067"/>
      <c r="M16067"/>
    </row>
    <row r="16068" spans="5:13" x14ac:dyDescent="0.25">
      <c r="E16068"/>
      <c r="M16068"/>
    </row>
    <row r="16069" spans="5:13" x14ac:dyDescent="0.25">
      <c r="E16069"/>
      <c r="M16069"/>
    </row>
    <row r="16070" spans="5:13" x14ac:dyDescent="0.25">
      <c r="E16070"/>
      <c r="M16070"/>
    </row>
    <row r="16071" spans="5:13" x14ac:dyDescent="0.25">
      <c r="E16071"/>
      <c r="M16071"/>
    </row>
    <row r="16072" spans="5:13" x14ac:dyDescent="0.25">
      <c r="E16072"/>
      <c r="M16072"/>
    </row>
    <row r="16073" spans="5:13" x14ac:dyDescent="0.25">
      <c r="E16073"/>
      <c r="M16073"/>
    </row>
    <row r="16074" spans="5:13" x14ac:dyDescent="0.25">
      <c r="E16074"/>
      <c r="M16074"/>
    </row>
    <row r="16075" spans="5:13" x14ac:dyDescent="0.25">
      <c r="E16075"/>
      <c r="M16075"/>
    </row>
    <row r="16076" spans="5:13" x14ac:dyDescent="0.25">
      <c r="E16076"/>
      <c r="M16076"/>
    </row>
    <row r="16077" spans="5:13" x14ac:dyDescent="0.25">
      <c r="E16077"/>
      <c r="M16077"/>
    </row>
    <row r="16078" spans="5:13" x14ac:dyDescent="0.25">
      <c r="E16078"/>
      <c r="M16078"/>
    </row>
    <row r="16079" spans="5:13" x14ac:dyDescent="0.25">
      <c r="E16079"/>
      <c r="M16079"/>
    </row>
    <row r="16080" spans="5:13" x14ac:dyDescent="0.25">
      <c r="E16080"/>
      <c r="M16080"/>
    </row>
    <row r="16081" spans="5:13" x14ac:dyDescent="0.25">
      <c r="E16081"/>
      <c r="M16081"/>
    </row>
    <row r="16082" spans="5:13" x14ac:dyDescent="0.25">
      <c r="E16082"/>
      <c r="M16082"/>
    </row>
    <row r="16083" spans="5:13" x14ac:dyDescent="0.25">
      <c r="E16083"/>
      <c r="M16083"/>
    </row>
    <row r="16084" spans="5:13" x14ac:dyDescent="0.25">
      <c r="E16084"/>
      <c r="M16084"/>
    </row>
    <row r="16085" spans="5:13" x14ac:dyDescent="0.25">
      <c r="E16085"/>
      <c r="M16085"/>
    </row>
    <row r="16086" spans="5:13" x14ac:dyDescent="0.25">
      <c r="E16086"/>
      <c r="M16086"/>
    </row>
    <row r="16087" spans="5:13" x14ac:dyDescent="0.25">
      <c r="E16087"/>
      <c r="M16087"/>
    </row>
    <row r="16088" spans="5:13" x14ac:dyDescent="0.25">
      <c r="E16088"/>
      <c r="M16088"/>
    </row>
    <row r="16089" spans="5:13" x14ac:dyDescent="0.25">
      <c r="E16089"/>
      <c r="M16089"/>
    </row>
    <row r="16090" spans="5:13" x14ac:dyDescent="0.25">
      <c r="E16090"/>
      <c r="M16090"/>
    </row>
    <row r="16091" spans="5:13" x14ac:dyDescent="0.25">
      <c r="E16091"/>
      <c r="M16091"/>
    </row>
    <row r="16092" spans="5:13" x14ac:dyDescent="0.25">
      <c r="E16092"/>
      <c r="M16092"/>
    </row>
    <row r="16093" spans="5:13" x14ac:dyDescent="0.25">
      <c r="E16093"/>
      <c r="M16093"/>
    </row>
    <row r="16094" spans="5:13" x14ac:dyDescent="0.25">
      <c r="E16094"/>
      <c r="M16094"/>
    </row>
    <row r="16095" spans="5:13" x14ac:dyDescent="0.25">
      <c r="E16095"/>
      <c r="M16095"/>
    </row>
    <row r="16096" spans="5:13" x14ac:dyDescent="0.25">
      <c r="E16096"/>
      <c r="M16096"/>
    </row>
    <row r="16097" spans="5:13" x14ac:dyDescent="0.25">
      <c r="E16097"/>
      <c r="M16097"/>
    </row>
    <row r="16098" spans="5:13" x14ac:dyDescent="0.25">
      <c r="E16098"/>
      <c r="M16098"/>
    </row>
    <row r="16099" spans="5:13" x14ac:dyDescent="0.25">
      <c r="E16099"/>
      <c r="M16099"/>
    </row>
    <row r="16100" spans="5:13" x14ac:dyDescent="0.25">
      <c r="E16100"/>
      <c r="M16100"/>
    </row>
    <row r="16101" spans="5:13" x14ac:dyDescent="0.25">
      <c r="E16101"/>
      <c r="M16101"/>
    </row>
    <row r="16102" spans="5:13" x14ac:dyDescent="0.25">
      <c r="E16102"/>
      <c r="M16102"/>
    </row>
    <row r="16103" spans="5:13" x14ac:dyDescent="0.25">
      <c r="E16103"/>
      <c r="M16103"/>
    </row>
    <row r="16104" spans="5:13" x14ac:dyDescent="0.25">
      <c r="E16104"/>
      <c r="M16104"/>
    </row>
    <row r="16105" spans="5:13" x14ac:dyDescent="0.25">
      <c r="E16105"/>
      <c r="M16105"/>
    </row>
    <row r="16106" spans="5:13" x14ac:dyDescent="0.25">
      <c r="E16106"/>
      <c r="M16106"/>
    </row>
    <row r="16107" spans="5:13" x14ac:dyDescent="0.25">
      <c r="E16107"/>
      <c r="M16107"/>
    </row>
    <row r="16108" spans="5:13" x14ac:dyDescent="0.25">
      <c r="E16108"/>
      <c r="M16108"/>
    </row>
    <row r="16109" spans="5:13" x14ac:dyDescent="0.25">
      <c r="E16109"/>
      <c r="M16109"/>
    </row>
    <row r="16110" spans="5:13" x14ac:dyDescent="0.25">
      <c r="E16110"/>
      <c r="M16110"/>
    </row>
    <row r="16111" spans="5:13" x14ac:dyDescent="0.25">
      <c r="E16111"/>
      <c r="M16111"/>
    </row>
    <row r="16112" spans="5:13" x14ac:dyDescent="0.25">
      <c r="E16112"/>
      <c r="M16112"/>
    </row>
    <row r="16113" spans="5:13" x14ac:dyDescent="0.25">
      <c r="E16113"/>
      <c r="M16113"/>
    </row>
    <row r="16114" spans="5:13" x14ac:dyDescent="0.25">
      <c r="E16114"/>
      <c r="M16114"/>
    </row>
    <row r="16115" spans="5:13" x14ac:dyDescent="0.25">
      <c r="E16115"/>
      <c r="M16115"/>
    </row>
    <row r="16116" spans="5:13" x14ac:dyDescent="0.25">
      <c r="E16116"/>
      <c r="M16116"/>
    </row>
    <row r="16117" spans="5:13" x14ac:dyDescent="0.25">
      <c r="E16117"/>
      <c r="M16117"/>
    </row>
    <row r="16118" spans="5:13" x14ac:dyDescent="0.25">
      <c r="E16118"/>
      <c r="M16118"/>
    </row>
    <row r="16119" spans="5:13" x14ac:dyDescent="0.25">
      <c r="E16119"/>
      <c r="M16119"/>
    </row>
    <row r="16120" spans="5:13" x14ac:dyDescent="0.25">
      <c r="E16120"/>
      <c r="M16120"/>
    </row>
    <row r="16121" spans="5:13" x14ac:dyDescent="0.25">
      <c r="E16121"/>
      <c r="M16121"/>
    </row>
    <row r="16122" spans="5:13" x14ac:dyDescent="0.25">
      <c r="E16122"/>
      <c r="M16122"/>
    </row>
    <row r="16123" spans="5:13" x14ac:dyDescent="0.25">
      <c r="E16123"/>
      <c r="M16123"/>
    </row>
    <row r="16124" spans="5:13" x14ac:dyDescent="0.25">
      <c r="E16124"/>
      <c r="M16124"/>
    </row>
    <row r="16125" spans="5:13" x14ac:dyDescent="0.25">
      <c r="E16125"/>
      <c r="M16125"/>
    </row>
    <row r="16126" spans="5:13" x14ac:dyDescent="0.25">
      <c r="E16126"/>
      <c r="M16126"/>
    </row>
    <row r="16127" spans="5:13" x14ac:dyDescent="0.25">
      <c r="E16127"/>
      <c r="M16127"/>
    </row>
    <row r="16128" spans="5:13" x14ac:dyDescent="0.25">
      <c r="E16128"/>
      <c r="M16128"/>
    </row>
    <row r="16129" spans="5:13" x14ac:dyDescent="0.25">
      <c r="E16129"/>
      <c r="M16129"/>
    </row>
    <row r="16130" spans="5:13" x14ac:dyDescent="0.25">
      <c r="E16130"/>
      <c r="M16130"/>
    </row>
    <row r="16131" spans="5:13" x14ac:dyDescent="0.25">
      <c r="E16131"/>
      <c r="M16131"/>
    </row>
    <row r="16132" spans="5:13" x14ac:dyDescent="0.25">
      <c r="E16132"/>
      <c r="M16132"/>
    </row>
    <row r="16133" spans="5:13" x14ac:dyDescent="0.25">
      <c r="E16133"/>
      <c r="M16133"/>
    </row>
    <row r="16134" spans="5:13" x14ac:dyDescent="0.25">
      <c r="E16134"/>
      <c r="M16134"/>
    </row>
    <row r="16135" spans="5:13" x14ac:dyDescent="0.25">
      <c r="E16135"/>
      <c r="M16135"/>
    </row>
    <row r="16136" spans="5:13" x14ac:dyDescent="0.25">
      <c r="E16136"/>
      <c r="M16136"/>
    </row>
    <row r="16137" spans="5:13" x14ac:dyDescent="0.25">
      <c r="E16137"/>
      <c r="M16137"/>
    </row>
    <row r="16138" spans="5:13" x14ac:dyDescent="0.25">
      <c r="E16138"/>
      <c r="M16138"/>
    </row>
    <row r="16139" spans="5:13" x14ac:dyDescent="0.25">
      <c r="E16139"/>
      <c r="M16139"/>
    </row>
    <row r="16140" spans="5:13" x14ac:dyDescent="0.25">
      <c r="E16140"/>
      <c r="M16140"/>
    </row>
    <row r="16141" spans="5:13" x14ac:dyDescent="0.25">
      <c r="E16141"/>
      <c r="M16141"/>
    </row>
    <row r="16142" spans="5:13" x14ac:dyDescent="0.25">
      <c r="E16142"/>
      <c r="M16142"/>
    </row>
    <row r="16143" spans="5:13" x14ac:dyDescent="0.25">
      <c r="E16143"/>
      <c r="M16143"/>
    </row>
    <row r="16144" spans="5:13" x14ac:dyDescent="0.25">
      <c r="E16144"/>
      <c r="M16144"/>
    </row>
    <row r="16145" spans="5:13" x14ac:dyDescent="0.25">
      <c r="E16145"/>
      <c r="M16145"/>
    </row>
    <row r="16146" spans="5:13" x14ac:dyDescent="0.25">
      <c r="E16146"/>
      <c r="M16146"/>
    </row>
    <row r="16147" spans="5:13" x14ac:dyDescent="0.25">
      <c r="E16147"/>
      <c r="M16147"/>
    </row>
    <row r="16148" spans="5:13" x14ac:dyDescent="0.25">
      <c r="E16148"/>
      <c r="M16148"/>
    </row>
    <row r="16149" spans="5:13" x14ac:dyDescent="0.25">
      <c r="E16149"/>
      <c r="M16149"/>
    </row>
    <row r="16150" spans="5:13" x14ac:dyDescent="0.25">
      <c r="E16150"/>
      <c r="M16150"/>
    </row>
    <row r="16151" spans="5:13" x14ac:dyDescent="0.25">
      <c r="E16151"/>
      <c r="M16151"/>
    </row>
    <row r="16152" spans="5:13" x14ac:dyDescent="0.25">
      <c r="E16152"/>
      <c r="M16152"/>
    </row>
    <row r="16153" spans="5:13" x14ac:dyDescent="0.25">
      <c r="E16153"/>
      <c r="M16153"/>
    </row>
    <row r="16154" spans="5:13" x14ac:dyDescent="0.25">
      <c r="E16154"/>
      <c r="M16154"/>
    </row>
    <row r="16155" spans="5:13" x14ac:dyDescent="0.25">
      <c r="E16155"/>
      <c r="M16155"/>
    </row>
    <row r="16156" spans="5:13" x14ac:dyDescent="0.25">
      <c r="E16156"/>
      <c r="M16156"/>
    </row>
    <row r="16157" spans="5:13" x14ac:dyDescent="0.25">
      <c r="E16157"/>
      <c r="M16157"/>
    </row>
    <row r="16158" spans="5:13" x14ac:dyDescent="0.25">
      <c r="E16158"/>
      <c r="M16158"/>
    </row>
    <row r="16159" spans="5:13" x14ac:dyDescent="0.25">
      <c r="E16159"/>
      <c r="M16159"/>
    </row>
    <row r="16160" spans="5:13" x14ac:dyDescent="0.25">
      <c r="E16160"/>
      <c r="M16160"/>
    </row>
    <row r="16161" spans="5:13" x14ac:dyDescent="0.25">
      <c r="E16161"/>
      <c r="M16161"/>
    </row>
    <row r="16162" spans="5:13" x14ac:dyDescent="0.25">
      <c r="E16162"/>
      <c r="M16162"/>
    </row>
    <row r="16163" spans="5:13" x14ac:dyDescent="0.25">
      <c r="E16163"/>
      <c r="M16163"/>
    </row>
    <row r="16164" spans="5:13" x14ac:dyDescent="0.25">
      <c r="E16164"/>
      <c r="M16164"/>
    </row>
    <row r="16165" spans="5:13" x14ac:dyDescent="0.25">
      <c r="E16165"/>
      <c r="M16165"/>
    </row>
    <row r="16166" spans="5:13" x14ac:dyDescent="0.25">
      <c r="E16166"/>
      <c r="M16166"/>
    </row>
    <row r="16167" spans="5:13" x14ac:dyDescent="0.25">
      <c r="E16167"/>
      <c r="M16167"/>
    </row>
    <row r="16168" spans="5:13" x14ac:dyDescent="0.25">
      <c r="E16168"/>
      <c r="M16168"/>
    </row>
    <row r="16169" spans="5:13" x14ac:dyDescent="0.25">
      <c r="E16169"/>
      <c r="M16169"/>
    </row>
    <row r="16170" spans="5:13" x14ac:dyDescent="0.25">
      <c r="E16170"/>
      <c r="M16170"/>
    </row>
    <row r="16171" spans="5:13" x14ac:dyDescent="0.25">
      <c r="E16171"/>
      <c r="M16171"/>
    </row>
    <row r="16172" spans="5:13" x14ac:dyDescent="0.25">
      <c r="E16172"/>
      <c r="M16172"/>
    </row>
    <row r="16173" spans="5:13" x14ac:dyDescent="0.25">
      <c r="E16173"/>
      <c r="M16173"/>
    </row>
    <row r="16174" spans="5:13" x14ac:dyDescent="0.25">
      <c r="E16174"/>
      <c r="M16174"/>
    </row>
    <row r="16175" spans="5:13" x14ac:dyDescent="0.25">
      <c r="E16175"/>
      <c r="M16175"/>
    </row>
    <row r="16176" spans="5:13" x14ac:dyDescent="0.25">
      <c r="E16176"/>
      <c r="M16176"/>
    </row>
    <row r="16177" spans="5:13" x14ac:dyDescent="0.25">
      <c r="E16177"/>
      <c r="M16177"/>
    </row>
    <row r="16178" spans="5:13" x14ac:dyDescent="0.25">
      <c r="E16178"/>
      <c r="M16178"/>
    </row>
    <row r="16179" spans="5:13" x14ac:dyDescent="0.25">
      <c r="E16179"/>
      <c r="M16179"/>
    </row>
    <row r="16180" spans="5:13" x14ac:dyDescent="0.25">
      <c r="E16180"/>
      <c r="M16180"/>
    </row>
    <row r="16181" spans="5:13" x14ac:dyDescent="0.25">
      <c r="E16181"/>
      <c r="M16181"/>
    </row>
    <row r="16182" spans="5:13" x14ac:dyDescent="0.25">
      <c r="E16182"/>
      <c r="M16182"/>
    </row>
    <row r="16183" spans="5:13" x14ac:dyDescent="0.25">
      <c r="E16183"/>
      <c r="M16183"/>
    </row>
    <row r="16184" spans="5:13" x14ac:dyDescent="0.25">
      <c r="E16184"/>
      <c r="M16184"/>
    </row>
    <row r="16185" spans="5:13" x14ac:dyDescent="0.25">
      <c r="E16185"/>
      <c r="M16185"/>
    </row>
    <row r="16186" spans="5:13" x14ac:dyDescent="0.25">
      <c r="E16186"/>
      <c r="M16186"/>
    </row>
    <row r="16187" spans="5:13" x14ac:dyDescent="0.25">
      <c r="E16187"/>
      <c r="M16187"/>
    </row>
    <row r="16188" spans="5:13" x14ac:dyDescent="0.25">
      <c r="E16188"/>
      <c r="M16188"/>
    </row>
    <row r="16189" spans="5:13" x14ac:dyDescent="0.25">
      <c r="E16189"/>
      <c r="M16189"/>
    </row>
    <row r="16190" spans="5:13" x14ac:dyDescent="0.25">
      <c r="E16190"/>
      <c r="M16190"/>
    </row>
    <row r="16191" spans="5:13" x14ac:dyDescent="0.25">
      <c r="E16191"/>
      <c r="M16191"/>
    </row>
    <row r="16192" spans="5:13" x14ac:dyDescent="0.25">
      <c r="E16192"/>
      <c r="M16192"/>
    </row>
    <row r="16193" spans="5:13" x14ac:dyDescent="0.25">
      <c r="E16193"/>
      <c r="M16193"/>
    </row>
    <row r="16194" spans="5:13" x14ac:dyDescent="0.25">
      <c r="E16194"/>
      <c r="M16194"/>
    </row>
    <row r="16195" spans="5:13" x14ac:dyDescent="0.25">
      <c r="E16195"/>
      <c r="M16195"/>
    </row>
    <row r="16196" spans="5:13" x14ac:dyDescent="0.25">
      <c r="E16196"/>
      <c r="M16196"/>
    </row>
    <row r="16197" spans="5:13" x14ac:dyDescent="0.25">
      <c r="E16197"/>
      <c r="M16197"/>
    </row>
    <row r="16198" spans="5:13" x14ac:dyDescent="0.25">
      <c r="E16198"/>
      <c r="M16198"/>
    </row>
    <row r="16199" spans="5:13" x14ac:dyDescent="0.25">
      <c r="E16199"/>
      <c r="M16199"/>
    </row>
    <row r="16200" spans="5:13" x14ac:dyDescent="0.25">
      <c r="E16200"/>
      <c r="M16200"/>
    </row>
    <row r="16201" spans="5:13" x14ac:dyDescent="0.25">
      <c r="E16201"/>
      <c r="M16201"/>
    </row>
    <row r="16202" spans="5:13" x14ac:dyDescent="0.25">
      <c r="E16202"/>
      <c r="M16202"/>
    </row>
    <row r="16203" spans="5:13" x14ac:dyDescent="0.25">
      <c r="E16203"/>
      <c r="M16203"/>
    </row>
    <row r="16204" spans="5:13" x14ac:dyDescent="0.25">
      <c r="E16204"/>
      <c r="M16204"/>
    </row>
    <row r="16205" spans="5:13" x14ac:dyDescent="0.25">
      <c r="E16205"/>
      <c r="M16205"/>
    </row>
    <row r="16206" spans="5:13" x14ac:dyDescent="0.25">
      <c r="E16206"/>
      <c r="M16206"/>
    </row>
    <row r="16207" spans="5:13" x14ac:dyDescent="0.25">
      <c r="E16207"/>
      <c r="M16207"/>
    </row>
    <row r="16208" spans="5:13" x14ac:dyDescent="0.25">
      <c r="E16208"/>
      <c r="M16208"/>
    </row>
    <row r="16209" spans="5:13" x14ac:dyDescent="0.25">
      <c r="E16209"/>
      <c r="M16209"/>
    </row>
    <row r="16210" spans="5:13" x14ac:dyDescent="0.25">
      <c r="E16210"/>
      <c r="M16210"/>
    </row>
    <row r="16211" spans="5:13" x14ac:dyDescent="0.25">
      <c r="E16211"/>
      <c r="M16211"/>
    </row>
    <row r="16212" spans="5:13" x14ac:dyDescent="0.25">
      <c r="E16212"/>
      <c r="M16212"/>
    </row>
    <row r="16213" spans="5:13" x14ac:dyDescent="0.25">
      <c r="E16213"/>
      <c r="M16213"/>
    </row>
    <row r="16214" spans="5:13" x14ac:dyDescent="0.25">
      <c r="E16214"/>
      <c r="M16214"/>
    </row>
    <row r="16215" spans="5:13" x14ac:dyDescent="0.25">
      <c r="E16215"/>
      <c r="M16215"/>
    </row>
    <row r="16216" spans="5:13" x14ac:dyDescent="0.25">
      <c r="E16216"/>
      <c r="M16216"/>
    </row>
    <row r="16217" spans="5:13" x14ac:dyDescent="0.25">
      <c r="E16217"/>
      <c r="M16217"/>
    </row>
    <row r="16218" spans="5:13" x14ac:dyDescent="0.25">
      <c r="E16218"/>
      <c r="M16218"/>
    </row>
    <row r="16219" spans="5:13" x14ac:dyDescent="0.25">
      <c r="E16219"/>
      <c r="M16219"/>
    </row>
    <row r="16220" spans="5:13" x14ac:dyDescent="0.25">
      <c r="E16220"/>
      <c r="M16220"/>
    </row>
    <row r="16221" spans="5:13" x14ac:dyDescent="0.25">
      <c r="E16221"/>
      <c r="M16221"/>
    </row>
    <row r="16222" spans="5:13" x14ac:dyDescent="0.25">
      <c r="E16222"/>
      <c r="M16222"/>
    </row>
    <row r="16223" spans="5:13" x14ac:dyDescent="0.25">
      <c r="E16223"/>
      <c r="M16223"/>
    </row>
    <row r="16224" spans="5:13" x14ac:dyDescent="0.25">
      <c r="E16224"/>
      <c r="M16224"/>
    </row>
    <row r="16225" spans="5:13" x14ac:dyDescent="0.25">
      <c r="E16225"/>
      <c r="M16225"/>
    </row>
    <row r="16226" spans="5:13" x14ac:dyDescent="0.25">
      <c r="E16226"/>
      <c r="M16226"/>
    </row>
    <row r="16227" spans="5:13" x14ac:dyDescent="0.25">
      <c r="E16227"/>
      <c r="M16227"/>
    </row>
    <row r="16228" spans="5:13" x14ac:dyDescent="0.25">
      <c r="E16228"/>
      <c r="M16228"/>
    </row>
    <row r="16229" spans="5:13" x14ac:dyDescent="0.25">
      <c r="E16229"/>
      <c r="M16229"/>
    </row>
    <row r="16230" spans="5:13" x14ac:dyDescent="0.25">
      <c r="E16230"/>
      <c r="M16230"/>
    </row>
    <row r="16231" spans="5:13" x14ac:dyDescent="0.25">
      <c r="E16231"/>
      <c r="M16231"/>
    </row>
    <row r="16232" spans="5:13" x14ac:dyDescent="0.25">
      <c r="E16232"/>
      <c r="M16232"/>
    </row>
    <row r="16233" spans="5:13" x14ac:dyDescent="0.25">
      <c r="E16233"/>
      <c r="M16233"/>
    </row>
    <row r="16234" spans="5:13" x14ac:dyDescent="0.25">
      <c r="E16234"/>
      <c r="M16234"/>
    </row>
    <row r="16235" spans="5:13" x14ac:dyDescent="0.25">
      <c r="E16235"/>
      <c r="M16235"/>
    </row>
    <row r="16236" spans="5:13" x14ac:dyDescent="0.25">
      <c r="E16236"/>
      <c r="M16236"/>
    </row>
    <row r="16237" spans="5:13" x14ac:dyDescent="0.25">
      <c r="E16237"/>
      <c r="M16237"/>
    </row>
    <row r="16238" spans="5:13" x14ac:dyDescent="0.25">
      <c r="E16238"/>
      <c r="M16238"/>
    </row>
    <row r="16239" spans="5:13" x14ac:dyDescent="0.25">
      <c r="E16239"/>
      <c r="M16239"/>
    </row>
    <row r="16240" spans="5:13" x14ac:dyDescent="0.25">
      <c r="E16240"/>
      <c r="M16240"/>
    </row>
    <row r="16241" spans="5:13" x14ac:dyDescent="0.25">
      <c r="E16241"/>
      <c r="M16241"/>
    </row>
    <row r="16242" spans="5:13" x14ac:dyDescent="0.25">
      <c r="E16242"/>
      <c r="M16242"/>
    </row>
    <row r="16243" spans="5:13" x14ac:dyDescent="0.25">
      <c r="E16243"/>
      <c r="M16243"/>
    </row>
    <row r="16244" spans="5:13" x14ac:dyDescent="0.25">
      <c r="E16244"/>
      <c r="M16244"/>
    </row>
    <row r="16245" spans="5:13" x14ac:dyDescent="0.25">
      <c r="E16245"/>
      <c r="M16245"/>
    </row>
    <row r="16246" spans="5:13" x14ac:dyDescent="0.25">
      <c r="E16246"/>
      <c r="M16246"/>
    </row>
    <row r="16247" spans="5:13" x14ac:dyDescent="0.25">
      <c r="E16247"/>
      <c r="M16247"/>
    </row>
    <row r="16248" spans="5:13" x14ac:dyDescent="0.25">
      <c r="E16248"/>
      <c r="M16248"/>
    </row>
    <row r="16249" spans="5:13" x14ac:dyDescent="0.25">
      <c r="E16249"/>
      <c r="M16249"/>
    </row>
    <row r="16250" spans="5:13" x14ac:dyDescent="0.25">
      <c r="E16250"/>
      <c r="M16250"/>
    </row>
    <row r="16251" spans="5:13" x14ac:dyDescent="0.25">
      <c r="E16251"/>
      <c r="M16251"/>
    </row>
    <row r="16252" spans="5:13" x14ac:dyDescent="0.25">
      <c r="E16252"/>
      <c r="M16252"/>
    </row>
    <row r="16253" spans="5:13" x14ac:dyDescent="0.25">
      <c r="E16253"/>
      <c r="M16253"/>
    </row>
    <row r="16254" spans="5:13" x14ac:dyDescent="0.25">
      <c r="E16254"/>
      <c r="M16254"/>
    </row>
    <row r="16255" spans="5:13" x14ac:dyDescent="0.25">
      <c r="E16255"/>
      <c r="M16255"/>
    </row>
    <row r="16256" spans="5:13" x14ac:dyDescent="0.25">
      <c r="E16256"/>
      <c r="M16256"/>
    </row>
    <row r="16257" spans="5:13" x14ac:dyDescent="0.25">
      <c r="E16257"/>
      <c r="M16257"/>
    </row>
    <row r="16258" spans="5:13" x14ac:dyDescent="0.25">
      <c r="E16258"/>
      <c r="M16258"/>
    </row>
    <row r="16259" spans="5:13" x14ac:dyDescent="0.25">
      <c r="E16259"/>
      <c r="M16259"/>
    </row>
    <row r="16260" spans="5:13" x14ac:dyDescent="0.25">
      <c r="E16260"/>
      <c r="M16260"/>
    </row>
    <row r="16261" spans="5:13" x14ac:dyDescent="0.25">
      <c r="E16261"/>
      <c r="M16261"/>
    </row>
    <row r="16262" spans="5:13" x14ac:dyDescent="0.25">
      <c r="E16262"/>
      <c r="M16262"/>
    </row>
    <row r="16263" spans="5:13" x14ac:dyDescent="0.25">
      <c r="E16263"/>
      <c r="M16263"/>
    </row>
    <row r="16264" spans="5:13" x14ac:dyDescent="0.25">
      <c r="E16264"/>
      <c r="M16264"/>
    </row>
    <row r="16265" spans="5:13" x14ac:dyDescent="0.25">
      <c r="E16265"/>
      <c r="M16265"/>
    </row>
    <row r="16266" spans="5:13" x14ac:dyDescent="0.25">
      <c r="E16266"/>
      <c r="M16266"/>
    </row>
    <row r="16267" spans="5:13" x14ac:dyDescent="0.25">
      <c r="E16267"/>
      <c r="M16267"/>
    </row>
    <row r="16268" spans="5:13" x14ac:dyDescent="0.25">
      <c r="E16268"/>
      <c r="M16268"/>
    </row>
    <row r="16269" spans="5:13" x14ac:dyDescent="0.25">
      <c r="E16269"/>
      <c r="M16269"/>
    </row>
    <row r="16270" spans="5:13" x14ac:dyDescent="0.25">
      <c r="E16270"/>
      <c r="M16270"/>
    </row>
    <row r="16271" spans="5:13" x14ac:dyDescent="0.25">
      <c r="E16271"/>
      <c r="M16271"/>
    </row>
    <row r="16272" spans="5:13" x14ac:dyDescent="0.25">
      <c r="E16272"/>
      <c r="M16272"/>
    </row>
    <row r="16273" spans="5:13" x14ac:dyDescent="0.25">
      <c r="E16273"/>
      <c r="M16273"/>
    </row>
    <row r="16274" spans="5:13" x14ac:dyDescent="0.25">
      <c r="E16274"/>
      <c r="M16274"/>
    </row>
    <row r="16275" spans="5:13" x14ac:dyDescent="0.25">
      <c r="E16275"/>
      <c r="M16275"/>
    </row>
    <row r="16276" spans="5:13" x14ac:dyDescent="0.25">
      <c r="E16276"/>
      <c r="M16276"/>
    </row>
    <row r="16277" spans="5:13" x14ac:dyDescent="0.25">
      <c r="E16277"/>
      <c r="M16277"/>
    </row>
    <row r="16278" spans="5:13" x14ac:dyDescent="0.25">
      <c r="E16278"/>
      <c r="M16278"/>
    </row>
    <row r="16279" spans="5:13" x14ac:dyDescent="0.25">
      <c r="E16279"/>
      <c r="M16279"/>
    </row>
    <row r="16280" spans="5:13" x14ac:dyDescent="0.25">
      <c r="E16280"/>
      <c r="M16280"/>
    </row>
    <row r="16281" spans="5:13" x14ac:dyDescent="0.25">
      <c r="E16281"/>
      <c r="M16281"/>
    </row>
    <row r="16282" spans="5:13" x14ac:dyDescent="0.25">
      <c r="E16282"/>
      <c r="M16282"/>
    </row>
    <row r="16283" spans="5:13" x14ac:dyDescent="0.25">
      <c r="E16283"/>
      <c r="M16283"/>
    </row>
    <row r="16284" spans="5:13" x14ac:dyDescent="0.25">
      <c r="E16284"/>
      <c r="M16284"/>
    </row>
    <row r="16285" spans="5:13" x14ac:dyDescent="0.25">
      <c r="E16285"/>
      <c r="M16285"/>
    </row>
    <row r="16286" spans="5:13" x14ac:dyDescent="0.25">
      <c r="E16286"/>
      <c r="M16286"/>
    </row>
    <row r="16287" spans="5:13" x14ac:dyDescent="0.25">
      <c r="E16287"/>
      <c r="M16287"/>
    </row>
    <row r="16288" spans="5:13" x14ac:dyDescent="0.25">
      <c r="E16288"/>
      <c r="M16288"/>
    </row>
    <row r="16289" spans="5:13" x14ac:dyDescent="0.25">
      <c r="E16289"/>
      <c r="M16289"/>
    </row>
    <row r="16290" spans="5:13" x14ac:dyDescent="0.25">
      <c r="E16290"/>
      <c r="M16290"/>
    </row>
    <row r="16291" spans="5:13" x14ac:dyDescent="0.25">
      <c r="E16291"/>
      <c r="M16291"/>
    </row>
    <row r="16292" spans="5:13" x14ac:dyDescent="0.25">
      <c r="E16292"/>
      <c r="M16292"/>
    </row>
    <row r="16293" spans="5:13" x14ac:dyDescent="0.25">
      <c r="E16293"/>
      <c r="M16293"/>
    </row>
    <row r="16294" spans="5:13" x14ac:dyDescent="0.25">
      <c r="E16294"/>
      <c r="M16294"/>
    </row>
    <row r="16295" spans="5:13" x14ac:dyDescent="0.25">
      <c r="E16295"/>
      <c r="M16295"/>
    </row>
    <row r="16296" spans="5:13" x14ac:dyDescent="0.25">
      <c r="E16296"/>
      <c r="M16296"/>
    </row>
    <row r="16297" spans="5:13" x14ac:dyDescent="0.25">
      <c r="E16297"/>
      <c r="M16297"/>
    </row>
    <row r="16298" spans="5:13" x14ac:dyDescent="0.25">
      <c r="E16298"/>
      <c r="M16298"/>
    </row>
    <row r="16299" spans="5:13" x14ac:dyDescent="0.25">
      <c r="E16299"/>
      <c r="M16299"/>
    </row>
    <row r="16300" spans="5:13" x14ac:dyDescent="0.25">
      <c r="E16300"/>
      <c r="M16300"/>
    </row>
    <row r="16301" spans="5:13" x14ac:dyDescent="0.25">
      <c r="E16301"/>
      <c r="M16301"/>
    </row>
    <row r="16302" spans="5:13" x14ac:dyDescent="0.25">
      <c r="E16302"/>
      <c r="M16302"/>
    </row>
    <row r="16303" spans="5:13" x14ac:dyDescent="0.25">
      <c r="E16303"/>
      <c r="M16303"/>
    </row>
    <row r="16304" spans="5:13" x14ac:dyDescent="0.25">
      <c r="E16304"/>
      <c r="M16304"/>
    </row>
    <row r="16305" spans="5:13" x14ac:dyDescent="0.25">
      <c r="E16305"/>
      <c r="M16305"/>
    </row>
    <row r="16306" spans="5:13" x14ac:dyDescent="0.25">
      <c r="E16306"/>
      <c r="M16306"/>
    </row>
    <row r="16307" spans="5:13" x14ac:dyDescent="0.25">
      <c r="E16307"/>
      <c r="M16307"/>
    </row>
    <row r="16308" spans="5:13" x14ac:dyDescent="0.25">
      <c r="E16308"/>
      <c r="M16308"/>
    </row>
    <row r="16309" spans="5:13" x14ac:dyDescent="0.25">
      <c r="E16309"/>
      <c r="M16309"/>
    </row>
    <row r="16310" spans="5:13" x14ac:dyDescent="0.25">
      <c r="E16310"/>
      <c r="M16310"/>
    </row>
    <row r="16311" spans="5:13" x14ac:dyDescent="0.25">
      <c r="E16311"/>
      <c r="M16311"/>
    </row>
    <row r="16312" spans="5:13" x14ac:dyDescent="0.25">
      <c r="E16312"/>
      <c r="M16312"/>
    </row>
    <row r="16313" spans="5:13" x14ac:dyDescent="0.25">
      <c r="E16313"/>
      <c r="M16313"/>
    </row>
    <row r="16314" spans="5:13" x14ac:dyDescent="0.25">
      <c r="E16314"/>
      <c r="M16314"/>
    </row>
    <row r="16315" spans="5:13" x14ac:dyDescent="0.25">
      <c r="E16315"/>
      <c r="M16315"/>
    </row>
    <row r="16316" spans="5:13" x14ac:dyDescent="0.25">
      <c r="E16316"/>
      <c r="M16316"/>
    </row>
    <row r="16317" spans="5:13" x14ac:dyDescent="0.25">
      <c r="E16317"/>
      <c r="M16317"/>
    </row>
    <row r="16318" spans="5:13" x14ac:dyDescent="0.25">
      <c r="E16318"/>
      <c r="M16318"/>
    </row>
    <row r="16319" spans="5:13" x14ac:dyDescent="0.25">
      <c r="E16319"/>
      <c r="M16319"/>
    </row>
    <row r="16320" spans="5:13" x14ac:dyDescent="0.25">
      <c r="E16320"/>
      <c r="M16320"/>
    </row>
    <row r="16321" spans="5:13" x14ac:dyDescent="0.25">
      <c r="E16321"/>
      <c r="M16321"/>
    </row>
    <row r="16322" spans="5:13" x14ac:dyDescent="0.25">
      <c r="E16322"/>
      <c r="M16322"/>
    </row>
    <row r="16323" spans="5:13" x14ac:dyDescent="0.25">
      <c r="E16323"/>
      <c r="M16323"/>
    </row>
    <row r="16324" spans="5:13" x14ac:dyDescent="0.25">
      <c r="E16324"/>
      <c r="M16324"/>
    </row>
    <row r="16325" spans="5:13" x14ac:dyDescent="0.25">
      <c r="E16325"/>
      <c r="M16325"/>
    </row>
    <row r="16326" spans="5:13" x14ac:dyDescent="0.25">
      <c r="E16326"/>
      <c r="M16326"/>
    </row>
    <row r="16327" spans="5:13" x14ac:dyDescent="0.25">
      <c r="E16327"/>
      <c r="M16327"/>
    </row>
    <row r="16328" spans="5:13" x14ac:dyDescent="0.25">
      <c r="E16328"/>
      <c r="M16328"/>
    </row>
    <row r="16329" spans="5:13" x14ac:dyDescent="0.25">
      <c r="E16329"/>
      <c r="M16329"/>
    </row>
    <row r="16330" spans="5:13" x14ac:dyDescent="0.25">
      <c r="E16330"/>
      <c r="M16330"/>
    </row>
    <row r="16331" spans="5:13" x14ac:dyDescent="0.25">
      <c r="E16331"/>
      <c r="M16331"/>
    </row>
    <row r="16332" spans="5:13" x14ac:dyDescent="0.25">
      <c r="E16332"/>
      <c r="M16332"/>
    </row>
    <row r="16333" spans="5:13" x14ac:dyDescent="0.25">
      <c r="E16333"/>
      <c r="M16333"/>
    </row>
    <row r="16334" spans="5:13" x14ac:dyDescent="0.25">
      <c r="E16334"/>
      <c r="M16334"/>
    </row>
    <row r="16335" spans="5:13" x14ac:dyDescent="0.25">
      <c r="E16335"/>
      <c r="M16335"/>
    </row>
    <row r="16336" spans="5:13" x14ac:dyDescent="0.25">
      <c r="E16336"/>
      <c r="M16336"/>
    </row>
    <row r="16337" spans="5:13" x14ac:dyDescent="0.25">
      <c r="E16337"/>
      <c r="M16337"/>
    </row>
    <row r="16338" spans="5:13" x14ac:dyDescent="0.25">
      <c r="E16338"/>
      <c r="M16338"/>
    </row>
    <row r="16339" spans="5:13" x14ac:dyDescent="0.25">
      <c r="E16339"/>
      <c r="M16339"/>
    </row>
    <row r="16340" spans="5:13" x14ac:dyDescent="0.25">
      <c r="E16340"/>
      <c r="M16340"/>
    </row>
    <row r="16341" spans="5:13" x14ac:dyDescent="0.25">
      <c r="E16341"/>
      <c r="M16341"/>
    </row>
    <row r="16342" spans="5:13" x14ac:dyDescent="0.25">
      <c r="E16342"/>
      <c r="M16342"/>
    </row>
    <row r="16343" spans="5:13" x14ac:dyDescent="0.25">
      <c r="E16343"/>
      <c r="M16343"/>
    </row>
    <row r="16344" spans="5:13" x14ac:dyDescent="0.25">
      <c r="E16344"/>
      <c r="M16344"/>
    </row>
    <row r="16345" spans="5:13" x14ac:dyDescent="0.25">
      <c r="E16345"/>
      <c r="M16345"/>
    </row>
    <row r="16346" spans="5:13" x14ac:dyDescent="0.25">
      <c r="E16346"/>
      <c r="M16346"/>
    </row>
    <row r="16347" spans="5:13" x14ac:dyDescent="0.25">
      <c r="E16347"/>
      <c r="M16347"/>
    </row>
    <row r="16348" spans="5:13" x14ac:dyDescent="0.25">
      <c r="E16348"/>
      <c r="M16348"/>
    </row>
    <row r="16349" spans="5:13" x14ac:dyDescent="0.25">
      <c r="E16349"/>
      <c r="M16349"/>
    </row>
    <row r="16350" spans="5:13" x14ac:dyDescent="0.25">
      <c r="E16350"/>
      <c r="M16350"/>
    </row>
    <row r="16351" spans="5:13" x14ac:dyDescent="0.25">
      <c r="E16351"/>
      <c r="M16351"/>
    </row>
    <row r="16352" spans="5:13" x14ac:dyDescent="0.25">
      <c r="E16352"/>
      <c r="M16352"/>
    </row>
    <row r="16353" spans="5:13" x14ac:dyDescent="0.25">
      <c r="E16353"/>
      <c r="M16353"/>
    </row>
    <row r="16354" spans="5:13" x14ac:dyDescent="0.25">
      <c r="E16354"/>
      <c r="M16354"/>
    </row>
    <row r="16355" spans="5:13" x14ac:dyDescent="0.25">
      <c r="E16355"/>
      <c r="M16355"/>
    </row>
    <row r="16356" spans="5:13" x14ac:dyDescent="0.25">
      <c r="E16356"/>
      <c r="M16356"/>
    </row>
    <row r="16357" spans="5:13" x14ac:dyDescent="0.25">
      <c r="E16357"/>
      <c r="M16357"/>
    </row>
    <row r="16358" spans="5:13" x14ac:dyDescent="0.25">
      <c r="E16358"/>
      <c r="M16358"/>
    </row>
    <row r="16359" spans="5:13" x14ac:dyDescent="0.25">
      <c r="E16359"/>
      <c r="M16359"/>
    </row>
    <row r="16360" spans="5:13" x14ac:dyDescent="0.25">
      <c r="E16360"/>
      <c r="M16360"/>
    </row>
    <row r="16361" spans="5:13" x14ac:dyDescent="0.25">
      <c r="E16361"/>
      <c r="M16361"/>
    </row>
    <row r="16362" spans="5:13" x14ac:dyDescent="0.25">
      <c r="E16362"/>
      <c r="M16362"/>
    </row>
    <row r="16363" spans="5:13" x14ac:dyDescent="0.25">
      <c r="E16363"/>
      <c r="M16363"/>
    </row>
    <row r="16364" spans="5:13" x14ac:dyDescent="0.25">
      <c r="E16364"/>
      <c r="M16364"/>
    </row>
    <row r="16365" spans="5:13" x14ac:dyDescent="0.25">
      <c r="E16365"/>
      <c r="M16365"/>
    </row>
    <row r="16366" spans="5:13" x14ac:dyDescent="0.25">
      <c r="E16366"/>
      <c r="M16366"/>
    </row>
    <row r="16367" spans="5:13" x14ac:dyDescent="0.25">
      <c r="E16367"/>
      <c r="M16367"/>
    </row>
    <row r="16368" spans="5:13" x14ac:dyDescent="0.25">
      <c r="E16368"/>
      <c r="M16368"/>
    </row>
    <row r="16369" spans="5:13" x14ac:dyDescent="0.25">
      <c r="E16369"/>
      <c r="M16369"/>
    </row>
    <row r="16370" spans="5:13" x14ac:dyDescent="0.25">
      <c r="E16370"/>
      <c r="M16370"/>
    </row>
    <row r="16371" spans="5:13" x14ac:dyDescent="0.25">
      <c r="E16371"/>
      <c r="M16371"/>
    </row>
    <row r="16372" spans="5:13" x14ac:dyDescent="0.25">
      <c r="E16372"/>
      <c r="M16372"/>
    </row>
    <row r="16373" spans="5:13" x14ac:dyDescent="0.25">
      <c r="E16373"/>
      <c r="M16373"/>
    </row>
    <row r="16374" spans="5:13" x14ac:dyDescent="0.25">
      <c r="E16374"/>
      <c r="M16374"/>
    </row>
    <row r="16375" spans="5:13" x14ac:dyDescent="0.25">
      <c r="E16375"/>
      <c r="M16375"/>
    </row>
    <row r="16376" spans="5:13" x14ac:dyDescent="0.25">
      <c r="E16376"/>
      <c r="M16376"/>
    </row>
    <row r="16377" spans="5:13" x14ac:dyDescent="0.25">
      <c r="E16377"/>
      <c r="M16377"/>
    </row>
    <row r="16378" spans="5:13" x14ac:dyDescent="0.25">
      <c r="E16378"/>
      <c r="M16378"/>
    </row>
    <row r="16379" spans="5:13" x14ac:dyDescent="0.25">
      <c r="E16379"/>
      <c r="M16379"/>
    </row>
    <row r="16380" spans="5:13" x14ac:dyDescent="0.25">
      <c r="E16380"/>
      <c r="M16380"/>
    </row>
    <row r="16381" spans="5:13" x14ac:dyDescent="0.25">
      <c r="E16381"/>
      <c r="M16381"/>
    </row>
    <row r="16382" spans="5:13" x14ac:dyDescent="0.25">
      <c r="E16382"/>
      <c r="M16382"/>
    </row>
    <row r="16383" spans="5:13" x14ac:dyDescent="0.25">
      <c r="E16383"/>
      <c r="M16383"/>
    </row>
    <row r="16384" spans="5:13" x14ac:dyDescent="0.25">
      <c r="E16384"/>
      <c r="M16384"/>
    </row>
    <row r="16385" spans="5:13" x14ac:dyDescent="0.25">
      <c r="E16385"/>
      <c r="M16385"/>
    </row>
    <row r="16386" spans="5:13" x14ac:dyDescent="0.25">
      <c r="E16386"/>
      <c r="M16386"/>
    </row>
    <row r="16387" spans="5:13" x14ac:dyDescent="0.25">
      <c r="E16387"/>
      <c r="M16387"/>
    </row>
    <row r="16388" spans="5:13" x14ac:dyDescent="0.25">
      <c r="E16388"/>
      <c r="M16388"/>
    </row>
    <row r="16389" spans="5:13" x14ac:dyDescent="0.25">
      <c r="E16389"/>
      <c r="M16389"/>
    </row>
    <row r="16390" spans="5:13" x14ac:dyDescent="0.25">
      <c r="E16390"/>
      <c r="M16390"/>
    </row>
    <row r="16391" spans="5:13" x14ac:dyDescent="0.25">
      <c r="E16391"/>
      <c r="M16391"/>
    </row>
    <row r="16392" spans="5:13" x14ac:dyDescent="0.25">
      <c r="E16392"/>
      <c r="M16392"/>
    </row>
    <row r="16393" spans="5:13" x14ac:dyDescent="0.25">
      <c r="E16393"/>
      <c r="M16393"/>
    </row>
    <row r="16394" spans="5:13" x14ac:dyDescent="0.25">
      <c r="E16394"/>
      <c r="M16394"/>
    </row>
    <row r="16395" spans="5:13" x14ac:dyDescent="0.25">
      <c r="E16395"/>
      <c r="M16395"/>
    </row>
    <row r="16396" spans="5:13" x14ac:dyDescent="0.25">
      <c r="E16396"/>
      <c r="M16396"/>
    </row>
    <row r="16397" spans="5:13" x14ac:dyDescent="0.25">
      <c r="E16397"/>
      <c r="M16397"/>
    </row>
    <row r="16398" spans="5:13" x14ac:dyDescent="0.25">
      <c r="E16398"/>
      <c r="M16398"/>
    </row>
    <row r="16399" spans="5:13" x14ac:dyDescent="0.25">
      <c r="E16399"/>
      <c r="M16399"/>
    </row>
    <row r="16400" spans="5:13" x14ac:dyDescent="0.25">
      <c r="E16400"/>
      <c r="M16400"/>
    </row>
    <row r="16401" spans="5:13" x14ac:dyDescent="0.25">
      <c r="E16401"/>
      <c r="M16401"/>
    </row>
    <row r="16402" spans="5:13" x14ac:dyDescent="0.25">
      <c r="E16402"/>
      <c r="M16402"/>
    </row>
    <row r="16403" spans="5:13" x14ac:dyDescent="0.25">
      <c r="E16403"/>
      <c r="M16403"/>
    </row>
    <row r="16404" spans="5:13" x14ac:dyDescent="0.25">
      <c r="E16404"/>
      <c r="M16404"/>
    </row>
    <row r="16405" spans="5:13" x14ac:dyDescent="0.25">
      <c r="E16405"/>
      <c r="M16405"/>
    </row>
    <row r="16406" spans="5:13" x14ac:dyDescent="0.25">
      <c r="E16406"/>
      <c r="M16406"/>
    </row>
    <row r="16407" spans="5:13" x14ac:dyDescent="0.25">
      <c r="E16407"/>
      <c r="M16407"/>
    </row>
    <row r="16408" spans="5:13" x14ac:dyDescent="0.25">
      <c r="E16408"/>
      <c r="M16408"/>
    </row>
    <row r="16409" spans="5:13" x14ac:dyDescent="0.25">
      <c r="E16409"/>
      <c r="M16409"/>
    </row>
    <row r="16410" spans="5:13" x14ac:dyDescent="0.25">
      <c r="E16410"/>
      <c r="M16410"/>
    </row>
    <row r="16411" spans="5:13" x14ac:dyDescent="0.25">
      <c r="E16411"/>
      <c r="M16411"/>
    </row>
    <row r="16412" spans="5:13" x14ac:dyDescent="0.25">
      <c r="E16412"/>
      <c r="M16412"/>
    </row>
    <row r="16413" spans="5:13" x14ac:dyDescent="0.25">
      <c r="E16413"/>
      <c r="M16413"/>
    </row>
    <row r="16414" spans="5:13" x14ac:dyDescent="0.25">
      <c r="E16414"/>
      <c r="M16414"/>
    </row>
    <row r="16415" spans="5:13" x14ac:dyDescent="0.25">
      <c r="E16415"/>
      <c r="M16415"/>
    </row>
    <row r="16416" spans="5:13" x14ac:dyDescent="0.25">
      <c r="E16416"/>
      <c r="M16416"/>
    </row>
    <row r="16417" spans="5:13" x14ac:dyDescent="0.25">
      <c r="E16417"/>
      <c r="M16417"/>
    </row>
    <row r="16418" spans="5:13" x14ac:dyDescent="0.25">
      <c r="E16418"/>
      <c r="M16418"/>
    </row>
    <row r="16419" spans="5:13" x14ac:dyDescent="0.25">
      <c r="E16419"/>
      <c r="M16419"/>
    </row>
    <row r="16420" spans="5:13" x14ac:dyDescent="0.25">
      <c r="E16420"/>
      <c r="M16420"/>
    </row>
    <row r="16421" spans="5:13" x14ac:dyDescent="0.25">
      <c r="E16421"/>
      <c r="M16421"/>
    </row>
    <row r="16422" spans="5:13" x14ac:dyDescent="0.25">
      <c r="E16422"/>
      <c r="M16422"/>
    </row>
    <row r="16423" spans="5:13" x14ac:dyDescent="0.25">
      <c r="E16423"/>
      <c r="M16423"/>
    </row>
    <row r="16424" spans="5:13" x14ac:dyDescent="0.25">
      <c r="E16424"/>
      <c r="M16424"/>
    </row>
    <row r="16425" spans="5:13" x14ac:dyDescent="0.25">
      <c r="E16425"/>
      <c r="M16425"/>
    </row>
    <row r="16426" spans="5:13" x14ac:dyDescent="0.25">
      <c r="E16426"/>
      <c r="M16426"/>
    </row>
    <row r="16427" spans="5:13" x14ac:dyDescent="0.25">
      <c r="E16427"/>
      <c r="M16427"/>
    </row>
    <row r="16428" spans="5:13" x14ac:dyDescent="0.25">
      <c r="E16428"/>
      <c r="M16428"/>
    </row>
    <row r="16429" spans="5:13" x14ac:dyDescent="0.25">
      <c r="E16429"/>
      <c r="M16429"/>
    </row>
    <row r="16430" spans="5:13" x14ac:dyDescent="0.25">
      <c r="E16430"/>
      <c r="M16430"/>
    </row>
    <row r="16431" spans="5:13" x14ac:dyDescent="0.25">
      <c r="E16431"/>
      <c r="M16431"/>
    </row>
    <row r="16432" spans="5:13" x14ac:dyDescent="0.25">
      <c r="E16432"/>
      <c r="M16432"/>
    </row>
    <row r="16433" spans="5:13" x14ac:dyDescent="0.25">
      <c r="E16433"/>
      <c r="M16433"/>
    </row>
    <row r="16434" spans="5:13" x14ac:dyDescent="0.25">
      <c r="E16434"/>
      <c r="M16434"/>
    </row>
    <row r="16435" spans="5:13" x14ac:dyDescent="0.25">
      <c r="E16435"/>
      <c r="M16435"/>
    </row>
    <row r="16436" spans="5:13" x14ac:dyDescent="0.25">
      <c r="E16436"/>
      <c r="M16436"/>
    </row>
    <row r="16437" spans="5:13" x14ac:dyDescent="0.25">
      <c r="E16437"/>
      <c r="M16437"/>
    </row>
    <row r="16438" spans="5:13" x14ac:dyDescent="0.25">
      <c r="E16438"/>
      <c r="M16438"/>
    </row>
    <row r="16439" spans="5:13" x14ac:dyDescent="0.25">
      <c r="E16439"/>
      <c r="M16439"/>
    </row>
    <row r="16440" spans="5:13" x14ac:dyDescent="0.25">
      <c r="E16440"/>
      <c r="M16440"/>
    </row>
    <row r="16441" spans="5:13" x14ac:dyDescent="0.25">
      <c r="E16441"/>
      <c r="M16441"/>
    </row>
    <row r="16442" spans="5:13" x14ac:dyDescent="0.25">
      <c r="E16442"/>
      <c r="M16442"/>
    </row>
    <row r="16443" spans="5:13" x14ac:dyDescent="0.25">
      <c r="E16443"/>
      <c r="M16443"/>
    </row>
    <row r="16444" spans="5:13" x14ac:dyDescent="0.25">
      <c r="E16444"/>
      <c r="M16444"/>
    </row>
    <row r="16445" spans="5:13" x14ac:dyDescent="0.25">
      <c r="E16445"/>
      <c r="M16445"/>
    </row>
    <row r="16446" spans="5:13" x14ac:dyDescent="0.25">
      <c r="E16446"/>
      <c r="M16446"/>
    </row>
    <row r="16447" spans="5:13" x14ac:dyDescent="0.25">
      <c r="E16447"/>
      <c r="M16447"/>
    </row>
    <row r="16448" spans="5:13" x14ac:dyDescent="0.25">
      <c r="E16448"/>
      <c r="M16448"/>
    </row>
    <row r="16449" spans="5:13" x14ac:dyDescent="0.25">
      <c r="E16449"/>
      <c r="M16449"/>
    </row>
    <row r="16450" spans="5:13" x14ac:dyDescent="0.25">
      <c r="E16450"/>
      <c r="M16450"/>
    </row>
    <row r="16451" spans="5:13" x14ac:dyDescent="0.25">
      <c r="E16451"/>
      <c r="M16451"/>
    </row>
    <row r="16452" spans="5:13" x14ac:dyDescent="0.25">
      <c r="E16452"/>
      <c r="M16452"/>
    </row>
    <row r="16453" spans="5:13" x14ac:dyDescent="0.25">
      <c r="E16453"/>
      <c r="M16453"/>
    </row>
    <row r="16454" spans="5:13" x14ac:dyDescent="0.25">
      <c r="E16454"/>
      <c r="M16454"/>
    </row>
    <row r="16455" spans="5:13" x14ac:dyDescent="0.25">
      <c r="E16455"/>
      <c r="M16455"/>
    </row>
    <row r="16456" spans="5:13" x14ac:dyDescent="0.25">
      <c r="E16456"/>
      <c r="M16456"/>
    </row>
    <row r="16457" spans="5:13" x14ac:dyDescent="0.25">
      <c r="E16457"/>
      <c r="M16457"/>
    </row>
    <row r="16458" spans="5:13" x14ac:dyDescent="0.25">
      <c r="E16458"/>
      <c r="M16458"/>
    </row>
    <row r="16459" spans="5:13" x14ac:dyDescent="0.25">
      <c r="E16459"/>
      <c r="M16459"/>
    </row>
    <row r="16460" spans="5:13" x14ac:dyDescent="0.25">
      <c r="E16460"/>
      <c r="M16460"/>
    </row>
    <row r="16461" spans="5:13" x14ac:dyDescent="0.25">
      <c r="E16461"/>
      <c r="M16461"/>
    </row>
    <row r="16462" spans="5:13" x14ac:dyDescent="0.25">
      <c r="E16462"/>
      <c r="M16462"/>
    </row>
    <row r="16463" spans="5:13" x14ac:dyDescent="0.25">
      <c r="E16463"/>
      <c r="M16463"/>
    </row>
    <row r="16464" spans="5:13" x14ac:dyDescent="0.25">
      <c r="E16464"/>
      <c r="M16464"/>
    </row>
    <row r="16465" spans="5:13" x14ac:dyDescent="0.25">
      <c r="E16465"/>
      <c r="M16465"/>
    </row>
    <row r="16466" spans="5:13" x14ac:dyDescent="0.25">
      <c r="E16466"/>
      <c r="M16466"/>
    </row>
    <row r="16467" spans="5:13" x14ac:dyDescent="0.25">
      <c r="E16467"/>
      <c r="M16467"/>
    </row>
    <row r="16468" spans="5:13" x14ac:dyDescent="0.25">
      <c r="E16468"/>
      <c r="M16468"/>
    </row>
    <row r="16469" spans="5:13" x14ac:dyDescent="0.25">
      <c r="E16469"/>
      <c r="M16469"/>
    </row>
    <row r="16470" spans="5:13" x14ac:dyDescent="0.25">
      <c r="E16470"/>
      <c r="M16470"/>
    </row>
    <row r="16471" spans="5:13" x14ac:dyDescent="0.25">
      <c r="E16471"/>
      <c r="M16471"/>
    </row>
    <row r="16472" spans="5:13" x14ac:dyDescent="0.25">
      <c r="E16472"/>
      <c r="M16472"/>
    </row>
    <row r="16473" spans="5:13" x14ac:dyDescent="0.25">
      <c r="E16473"/>
      <c r="M16473"/>
    </row>
    <row r="16474" spans="5:13" x14ac:dyDescent="0.25">
      <c r="E16474"/>
      <c r="M16474"/>
    </row>
    <row r="16475" spans="5:13" x14ac:dyDescent="0.25">
      <c r="E16475"/>
      <c r="M16475"/>
    </row>
    <row r="16476" spans="5:13" x14ac:dyDescent="0.25">
      <c r="E16476"/>
      <c r="M16476"/>
    </row>
    <row r="16477" spans="5:13" x14ac:dyDescent="0.25">
      <c r="E16477"/>
      <c r="M16477"/>
    </row>
    <row r="16478" spans="5:13" x14ac:dyDescent="0.25">
      <c r="E16478"/>
      <c r="M16478"/>
    </row>
    <row r="16479" spans="5:13" x14ac:dyDescent="0.25">
      <c r="E16479"/>
      <c r="M16479"/>
    </row>
    <row r="16480" spans="5:13" x14ac:dyDescent="0.25">
      <c r="E16480"/>
      <c r="M16480"/>
    </row>
    <row r="16481" spans="5:13" x14ac:dyDescent="0.25">
      <c r="E16481"/>
      <c r="M16481"/>
    </row>
    <row r="16482" spans="5:13" x14ac:dyDescent="0.25">
      <c r="E16482"/>
      <c r="M16482"/>
    </row>
    <row r="16483" spans="5:13" x14ac:dyDescent="0.25">
      <c r="E16483"/>
      <c r="M16483"/>
    </row>
    <row r="16484" spans="5:13" x14ac:dyDescent="0.25">
      <c r="E16484"/>
      <c r="M16484"/>
    </row>
    <row r="16485" spans="5:13" x14ac:dyDescent="0.25">
      <c r="E16485"/>
      <c r="M16485"/>
    </row>
    <row r="16486" spans="5:13" x14ac:dyDescent="0.25">
      <c r="E16486"/>
      <c r="M16486"/>
    </row>
    <row r="16487" spans="5:13" x14ac:dyDescent="0.25">
      <c r="E16487"/>
      <c r="M16487"/>
    </row>
    <row r="16488" spans="5:13" x14ac:dyDescent="0.25">
      <c r="E16488"/>
      <c r="M16488"/>
    </row>
    <row r="16489" spans="5:13" x14ac:dyDescent="0.25">
      <c r="E16489"/>
      <c r="M16489"/>
    </row>
    <row r="16490" spans="5:13" x14ac:dyDescent="0.25">
      <c r="E16490"/>
      <c r="M16490"/>
    </row>
    <row r="16491" spans="5:13" x14ac:dyDescent="0.25">
      <c r="E16491"/>
      <c r="M16491"/>
    </row>
    <row r="16492" spans="5:13" x14ac:dyDescent="0.25">
      <c r="E16492"/>
      <c r="M16492"/>
    </row>
    <row r="16493" spans="5:13" x14ac:dyDescent="0.25">
      <c r="E16493"/>
      <c r="M16493"/>
    </row>
    <row r="16494" spans="5:13" x14ac:dyDescent="0.25">
      <c r="E16494"/>
      <c r="M16494"/>
    </row>
    <row r="16495" spans="5:13" x14ac:dyDescent="0.25">
      <c r="E16495"/>
      <c r="M16495"/>
    </row>
    <row r="16496" spans="5:13" x14ac:dyDescent="0.25">
      <c r="E16496"/>
      <c r="M16496"/>
    </row>
    <row r="16497" spans="5:13" x14ac:dyDescent="0.25">
      <c r="E16497"/>
      <c r="M16497"/>
    </row>
    <row r="16498" spans="5:13" x14ac:dyDescent="0.25">
      <c r="E16498"/>
      <c r="M16498"/>
    </row>
    <row r="16499" spans="5:13" x14ac:dyDescent="0.25">
      <c r="E16499"/>
      <c r="M16499"/>
    </row>
    <row r="16500" spans="5:13" x14ac:dyDescent="0.25">
      <c r="E16500"/>
      <c r="M16500"/>
    </row>
    <row r="16501" spans="5:13" x14ac:dyDescent="0.25">
      <c r="E16501"/>
      <c r="M16501"/>
    </row>
    <row r="16502" spans="5:13" x14ac:dyDescent="0.25">
      <c r="E16502"/>
      <c r="M16502"/>
    </row>
    <row r="16503" spans="5:13" x14ac:dyDescent="0.25">
      <c r="E16503"/>
      <c r="M16503"/>
    </row>
    <row r="16504" spans="5:13" x14ac:dyDescent="0.25">
      <c r="E16504"/>
      <c r="M16504"/>
    </row>
    <row r="16505" spans="5:13" x14ac:dyDescent="0.25">
      <c r="E16505"/>
      <c r="M16505"/>
    </row>
    <row r="16506" spans="5:13" x14ac:dyDescent="0.25">
      <c r="E16506"/>
      <c r="M16506"/>
    </row>
    <row r="16507" spans="5:13" x14ac:dyDescent="0.25">
      <c r="E16507"/>
      <c r="M16507"/>
    </row>
    <row r="16508" spans="5:13" x14ac:dyDescent="0.25">
      <c r="E16508"/>
      <c r="M16508"/>
    </row>
    <row r="16509" spans="5:13" x14ac:dyDescent="0.25">
      <c r="E16509"/>
      <c r="M16509"/>
    </row>
    <row r="16510" spans="5:13" x14ac:dyDescent="0.25">
      <c r="E16510"/>
      <c r="M16510"/>
    </row>
    <row r="16511" spans="5:13" x14ac:dyDescent="0.25">
      <c r="E16511"/>
      <c r="M16511"/>
    </row>
    <row r="16512" spans="5:13" x14ac:dyDescent="0.25">
      <c r="E16512"/>
      <c r="M16512"/>
    </row>
    <row r="16513" spans="5:13" x14ac:dyDescent="0.25">
      <c r="E16513"/>
      <c r="M16513"/>
    </row>
    <row r="16514" spans="5:13" x14ac:dyDescent="0.25">
      <c r="E16514"/>
      <c r="M16514"/>
    </row>
    <row r="16515" spans="5:13" x14ac:dyDescent="0.25">
      <c r="E16515"/>
      <c r="M16515"/>
    </row>
    <row r="16516" spans="5:13" x14ac:dyDescent="0.25">
      <c r="E16516"/>
      <c r="M16516"/>
    </row>
    <row r="16517" spans="5:13" x14ac:dyDescent="0.25">
      <c r="E16517"/>
      <c r="M16517"/>
    </row>
    <row r="16518" spans="5:13" x14ac:dyDescent="0.25">
      <c r="E16518"/>
      <c r="M16518"/>
    </row>
    <row r="16519" spans="5:13" x14ac:dyDescent="0.25">
      <c r="E16519"/>
      <c r="M16519"/>
    </row>
    <row r="16520" spans="5:13" x14ac:dyDescent="0.25">
      <c r="E16520"/>
      <c r="M16520"/>
    </row>
    <row r="16521" spans="5:13" x14ac:dyDescent="0.25">
      <c r="E16521"/>
      <c r="M16521"/>
    </row>
    <row r="16522" spans="5:13" x14ac:dyDescent="0.25">
      <c r="E16522"/>
      <c r="M16522"/>
    </row>
    <row r="16523" spans="5:13" x14ac:dyDescent="0.25">
      <c r="E16523"/>
      <c r="M16523"/>
    </row>
    <row r="16524" spans="5:13" x14ac:dyDescent="0.25">
      <c r="E16524"/>
      <c r="M16524"/>
    </row>
    <row r="16525" spans="5:13" x14ac:dyDescent="0.25">
      <c r="E16525"/>
      <c r="M16525"/>
    </row>
    <row r="16526" spans="5:13" x14ac:dyDescent="0.25">
      <c r="E16526"/>
      <c r="M16526"/>
    </row>
    <row r="16527" spans="5:13" x14ac:dyDescent="0.25">
      <c r="E16527"/>
      <c r="M16527"/>
    </row>
    <row r="16528" spans="5:13" x14ac:dyDescent="0.25">
      <c r="E16528"/>
      <c r="M16528"/>
    </row>
    <row r="16529" spans="5:13" x14ac:dyDescent="0.25">
      <c r="E16529"/>
      <c r="M16529"/>
    </row>
    <row r="16530" spans="5:13" x14ac:dyDescent="0.25">
      <c r="E16530"/>
      <c r="M16530"/>
    </row>
    <row r="16531" spans="5:13" x14ac:dyDescent="0.25">
      <c r="E16531"/>
      <c r="M16531"/>
    </row>
    <row r="16532" spans="5:13" x14ac:dyDescent="0.25">
      <c r="E16532"/>
      <c r="M16532"/>
    </row>
    <row r="16533" spans="5:13" x14ac:dyDescent="0.25">
      <c r="E16533"/>
      <c r="M16533"/>
    </row>
    <row r="16534" spans="5:13" x14ac:dyDescent="0.25">
      <c r="E16534"/>
      <c r="M16534"/>
    </row>
    <row r="16535" spans="5:13" x14ac:dyDescent="0.25">
      <c r="E16535"/>
      <c r="M16535"/>
    </row>
    <row r="16536" spans="5:13" x14ac:dyDescent="0.25">
      <c r="E16536"/>
      <c r="M16536"/>
    </row>
    <row r="16537" spans="5:13" x14ac:dyDescent="0.25">
      <c r="E16537"/>
      <c r="M16537"/>
    </row>
    <row r="16538" spans="5:13" x14ac:dyDescent="0.25">
      <c r="E16538"/>
      <c r="M16538"/>
    </row>
    <row r="16539" spans="5:13" x14ac:dyDescent="0.25">
      <c r="E16539"/>
      <c r="M16539"/>
    </row>
    <row r="16540" spans="5:13" x14ac:dyDescent="0.25">
      <c r="E16540"/>
      <c r="M16540"/>
    </row>
    <row r="16541" spans="5:13" x14ac:dyDescent="0.25">
      <c r="E16541"/>
      <c r="M16541"/>
    </row>
    <row r="16542" spans="5:13" x14ac:dyDescent="0.25">
      <c r="E16542"/>
      <c r="M16542"/>
    </row>
    <row r="16543" spans="5:13" x14ac:dyDescent="0.25">
      <c r="E16543"/>
      <c r="M16543"/>
    </row>
    <row r="16544" spans="5:13" x14ac:dyDescent="0.25">
      <c r="E16544"/>
      <c r="M16544"/>
    </row>
    <row r="16545" spans="5:13" x14ac:dyDescent="0.25">
      <c r="E16545"/>
      <c r="M16545"/>
    </row>
    <row r="16546" spans="5:13" x14ac:dyDescent="0.25">
      <c r="E16546"/>
      <c r="M16546"/>
    </row>
    <row r="16547" spans="5:13" x14ac:dyDescent="0.25">
      <c r="E16547"/>
      <c r="M16547"/>
    </row>
    <row r="16548" spans="5:13" x14ac:dyDescent="0.25">
      <c r="E16548"/>
      <c r="M16548"/>
    </row>
    <row r="16549" spans="5:13" x14ac:dyDescent="0.25">
      <c r="E16549"/>
      <c r="M16549"/>
    </row>
    <row r="16550" spans="5:13" x14ac:dyDescent="0.25">
      <c r="E16550"/>
      <c r="M16550"/>
    </row>
    <row r="16551" spans="5:13" x14ac:dyDescent="0.25">
      <c r="E16551"/>
      <c r="M16551"/>
    </row>
    <row r="16552" spans="5:13" x14ac:dyDescent="0.25">
      <c r="E16552"/>
      <c r="M16552"/>
    </row>
    <row r="16553" spans="5:13" x14ac:dyDescent="0.25">
      <c r="E16553"/>
      <c r="M16553"/>
    </row>
    <row r="16554" spans="5:13" x14ac:dyDescent="0.25">
      <c r="E16554"/>
      <c r="M16554"/>
    </row>
    <row r="16555" spans="5:13" x14ac:dyDescent="0.25">
      <c r="E16555"/>
      <c r="M16555"/>
    </row>
    <row r="16556" spans="5:13" x14ac:dyDescent="0.25">
      <c r="E16556"/>
      <c r="M16556"/>
    </row>
    <row r="16557" spans="5:13" x14ac:dyDescent="0.25">
      <c r="E16557"/>
      <c r="M16557"/>
    </row>
    <row r="16558" spans="5:13" x14ac:dyDescent="0.25">
      <c r="E16558"/>
      <c r="M16558"/>
    </row>
    <row r="16559" spans="5:13" x14ac:dyDescent="0.25">
      <c r="E16559"/>
      <c r="M16559"/>
    </row>
    <row r="16560" spans="5:13" x14ac:dyDescent="0.25">
      <c r="E16560"/>
      <c r="M16560"/>
    </row>
    <row r="16561" spans="5:13" x14ac:dyDescent="0.25">
      <c r="E16561"/>
      <c r="M16561"/>
    </row>
    <row r="16562" spans="5:13" x14ac:dyDescent="0.25">
      <c r="E16562"/>
      <c r="M16562"/>
    </row>
    <row r="16563" spans="5:13" x14ac:dyDescent="0.25">
      <c r="E16563"/>
      <c r="M16563"/>
    </row>
    <row r="16564" spans="5:13" x14ac:dyDescent="0.25">
      <c r="E16564"/>
      <c r="M16564"/>
    </row>
    <row r="16565" spans="5:13" x14ac:dyDescent="0.25">
      <c r="E16565"/>
      <c r="M16565"/>
    </row>
    <row r="16566" spans="5:13" x14ac:dyDescent="0.25">
      <c r="E16566"/>
      <c r="M16566"/>
    </row>
    <row r="16567" spans="5:13" x14ac:dyDescent="0.25">
      <c r="E16567"/>
      <c r="M16567"/>
    </row>
    <row r="16568" spans="5:13" x14ac:dyDescent="0.25">
      <c r="E16568"/>
      <c r="M16568"/>
    </row>
    <row r="16569" spans="5:13" x14ac:dyDescent="0.25">
      <c r="E16569"/>
      <c r="M16569"/>
    </row>
    <row r="16570" spans="5:13" x14ac:dyDescent="0.25">
      <c r="E16570"/>
      <c r="M16570"/>
    </row>
    <row r="16571" spans="5:13" x14ac:dyDescent="0.25">
      <c r="E16571"/>
      <c r="M16571"/>
    </row>
    <row r="16572" spans="5:13" x14ac:dyDescent="0.25">
      <c r="E16572"/>
      <c r="M16572"/>
    </row>
    <row r="16573" spans="5:13" x14ac:dyDescent="0.25">
      <c r="E16573"/>
      <c r="M16573"/>
    </row>
    <row r="16574" spans="5:13" x14ac:dyDescent="0.25">
      <c r="E16574"/>
      <c r="M16574"/>
    </row>
    <row r="16575" spans="5:13" x14ac:dyDescent="0.25">
      <c r="E16575"/>
      <c r="M16575"/>
    </row>
    <row r="16576" spans="5:13" x14ac:dyDescent="0.25">
      <c r="E16576"/>
      <c r="M16576"/>
    </row>
    <row r="16577" spans="5:13" x14ac:dyDescent="0.25">
      <c r="E16577"/>
      <c r="M16577"/>
    </row>
    <row r="16578" spans="5:13" x14ac:dyDescent="0.25">
      <c r="E16578"/>
      <c r="M16578"/>
    </row>
    <row r="16579" spans="5:13" x14ac:dyDescent="0.25">
      <c r="E16579"/>
      <c r="M16579"/>
    </row>
    <row r="16580" spans="5:13" x14ac:dyDescent="0.25">
      <c r="E16580"/>
      <c r="M16580"/>
    </row>
    <row r="16581" spans="5:13" x14ac:dyDescent="0.25">
      <c r="E16581"/>
      <c r="M16581"/>
    </row>
    <row r="16582" spans="5:13" x14ac:dyDescent="0.25">
      <c r="E16582"/>
      <c r="M16582"/>
    </row>
    <row r="16583" spans="5:13" x14ac:dyDescent="0.25">
      <c r="E16583"/>
      <c r="M16583"/>
    </row>
    <row r="16584" spans="5:13" x14ac:dyDescent="0.25">
      <c r="E16584"/>
      <c r="M16584"/>
    </row>
    <row r="16585" spans="5:13" x14ac:dyDescent="0.25">
      <c r="E16585"/>
      <c r="M16585"/>
    </row>
    <row r="16586" spans="5:13" x14ac:dyDescent="0.25">
      <c r="E16586"/>
      <c r="M16586"/>
    </row>
    <row r="16587" spans="5:13" x14ac:dyDescent="0.25">
      <c r="E16587"/>
      <c r="M16587"/>
    </row>
    <row r="16588" spans="5:13" x14ac:dyDescent="0.25">
      <c r="E16588"/>
      <c r="M16588"/>
    </row>
    <row r="16589" spans="5:13" x14ac:dyDescent="0.25">
      <c r="E16589"/>
      <c r="M16589"/>
    </row>
    <row r="16590" spans="5:13" x14ac:dyDescent="0.25">
      <c r="E16590"/>
      <c r="M16590"/>
    </row>
    <row r="16591" spans="5:13" x14ac:dyDescent="0.25">
      <c r="E16591"/>
      <c r="M16591"/>
    </row>
    <row r="16592" spans="5:13" x14ac:dyDescent="0.25">
      <c r="E16592"/>
      <c r="M16592"/>
    </row>
    <row r="16593" spans="5:13" x14ac:dyDescent="0.25">
      <c r="E16593"/>
      <c r="M16593"/>
    </row>
    <row r="16594" spans="5:13" x14ac:dyDescent="0.25">
      <c r="E16594"/>
      <c r="M16594"/>
    </row>
    <row r="16595" spans="5:13" x14ac:dyDescent="0.25">
      <c r="E16595"/>
      <c r="M16595"/>
    </row>
    <row r="16596" spans="5:13" x14ac:dyDescent="0.25">
      <c r="E16596"/>
      <c r="M16596"/>
    </row>
    <row r="16597" spans="5:13" x14ac:dyDescent="0.25">
      <c r="E16597"/>
      <c r="M16597"/>
    </row>
    <row r="16598" spans="5:13" x14ac:dyDescent="0.25">
      <c r="E16598"/>
      <c r="M16598"/>
    </row>
    <row r="16599" spans="5:13" x14ac:dyDescent="0.25">
      <c r="E16599"/>
      <c r="M16599"/>
    </row>
    <row r="16600" spans="5:13" x14ac:dyDescent="0.25">
      <c r="E16600"/>
      <c r="M16600"/>
    </row>
    <row r="16601" spans="5:13" x14ac:dyDescent="0.25">
      <c r="E16601"/>
      <c r="M16601"/>
    </row>
    <row r="16602" spans="5:13" x14ac:dyDescent="0.25">
      <c r="E16602"/>
      <c r="M16602"/>
    </row>
    <row r="16603" spans="5:13" x14ac:dyDescent="0.25">
      <c r="E16603"/>
      <c r="M16603"/>
    </row>
    <row r="16604" spans="5:13" x14ac:dyDescent="0.25">
      <c r="E16604"/>
      <c r="M16604"/>
    </row>
    <row r="16605" spans="5:13" x14ac:dyDescent="0.25">
      <c r="E16605"/>
      <c r="M16605"/>
    </row>
    <row r="16606" spans="5:13" x14ac:dyDescent="0.25">
      <c r="E16606"/>
      <c r="M16606"/>
    </row>
    <row r="16607" spans="5:13" x14ac:dyDescent="0.25">
      <c r="E16607"/>
      <c r="M16607"/>
    </row>
    <row r="16608" spans="5:13" x14ac:dyDescent="0.25">
      <c r="E16608"/>
      <c r="M16608"/>
    </row>
    <row r="16609" spans="5:13" x14ac:dyDescent="0.25">
      <c r="E16609"/>
      <c r="M16609"/>
    </row>
    <row r="16610" spans="5:13" x14ac:dyDescent="0.25">
      <c r="E16610"/>
      <c r="M16610"/>
    </row>
    <row r="16611" spans="5:13" x14ac:dyDescent="0.25">
      <c r="E16611"/>
      <c r="M16611"/>
    </row>
    <row r="16612" spans="5:13" x14ac:dyDescent="0.25">
      <c r="E16612"/>
      <c r="M16612"/>
    </row>
    <row r="16613" spans="5:13" x14ac:dyDescent="0.25">
      <c r="E16613"/>
      <c r="M16613"/>
    </row>
    <row r="16614" spans="5:13" x14ac:dyDescent="0.25">
      <c r="E16614"/>
      <c r="M16614"/>
    </row>
    <row r="16615" spans="5:13" x14ac:dyDescent="0.25">
      <c r="E16615"/>
      <c r="M16615"/>
    </row>
    <row r="16616" spans="5:13" x14ac:dyDescent="0.25">
      <c r="E16616"/>
      <c r="M16616"/>
    </row>
    <row r="16617" spans="5:13" x14ac:dyDescent="0.25">
      <c r="E16617"/>
      <c r="M16617"/>
    </row>
    <row r="16618" spans="5:13" x14ac:dyDescent="0.25">
      <c r="E16618"/>
      <c r="M16618"/>
    </row>
    <row r="16619" spans="5:13" x14ac:dyDescent="0.25">
      <c r="E16619"/>
      <c r="M16619"/>
    </row>
    <row r="16620" spans="5:13" x14ac:dyDescent="0.25">
      <c r="E16620"/>
      <c r="M16620"/>
    </row>
    <row r="16621" spans="5:13" x14ac:dyDescent="0.25">
      <c r="E16621"/>
      <c r="M16621"/>
    </row>
    <row r="16622" spans="5:13" x14ac:dyDescent="0.25">
      <c r="E16622"/>
      <c r="M16622"/>
    </row>
    <row r="16623" spans="5:13" x14ac:dyDescent="0.25">
      <c r="E16623"/>
      <c r="M16623"/>
    </row>
    <row r="16624" spans="5:13" x14ac:dyDescent="0.25">
      <c r="E16624"/>
      <c r="M16624"/>
    </row>
    <row r="16625" spans="5:13" x14ac:dyDescent="0.25">
      <c r="E16625"/>
      <c r="M16625"/>
    </row>
    <row r="16626" spans="5:13" x14ac:dyDescent="0.25">
      <c r="E16626"/>
      <c r="M16626"/>
    </row>
    <row r="16627" spans="5:13" x14ac:dyDescent="0.25">
      <c r="E16627"/>
      <c r="M16627"/>
    </row>
    <row r="16628" spans="5:13" x14ac:dyDescent="0.25">
      <c r="E16628"/>
      <c r="M16628"/>
    </row>
    <row r="16629" spans="5:13" x14ac:dyDescent="0.25">
      <c r="E16629"/>
      <c r="M16629"/>
    </row>
    <row r="16630" spans="5:13" x14ac:dyDescent="0.25">
      <c r="E16630"/>
      <c r="M16630"/>
    </row>
    <row r="16631" spans="5:13" x14ac:dyDescent="0.25">
      <c r="E16631"/>
      <c r="M16631"/>
    </row>
    <row r="16632" spans="5:13" x14ac:dyDescent="0.25">
      <c r="E16632"/>
      <c r="M16632"/>
    </row>
    <row r="16633" spans="5:13" x14ac:dyDescent="0.25">
      <c r="E16633"/>
      <c r="M16633"/>
    </row>
    <row r="16634" spans="5:13" x14ac:dyDescent="0.25">
      <c r="E16634"/>
      <c r="M16634"/>
    </row>
    <row r="16635" spans="5:13" x14ac:dyDescent="0.25">
      <c r="E16635"/>
      <c r="M16635"/>
    </row>
    <row r="16636" spans="5:13" x14ac:dyDescent="0.25">
      <c r="E16636"/>
      <c r="M16636"/>
    </row>
    <row r="16637" spans="5:13" x14ac:dyDescent="0.25">
      <c r="E16637"/>
      <c r="M16637"/>
    </row>
    <row r="16638" spans="5:13" x14ac:dyDescent="0.25">
      <c r="E16638"/>
      <c r="M16638"/>
    </row>
    <row r="16639" spans="5:13" x14ac:dyDescent="0.25">
      <c r="E16639"/>
      <c r="M16639"/>
    </row>
    <row r="16640" spans="5:13" x14ac:dyDescent="0.25">
      <c r="E16640"/>
      <c r="M16640"/>
    </row>
    <row r="16641" spans="5:13" x14ac:dyDescent="0.25">
      <c r="E16641"/>
      <c r="M16641"/>
    </row>
    <row r="16642" spans="5:13" x14ac:dyDescent="0.25">
      <c r="E16642"/>
      <c r="M16642"/>
    </row>
    <row r="16643" spans="5:13" x14ac:dyDescent="0.25">
      <c r="E16643"/>
      <c r="M16643"/>
    </row>
    <row r="16644" spans="5:13" x14ac:dyDescent="0.25">
      <c r="E16644"/>
      <c r="M16644"/>
    </row>
    <row r="16645" spans="5:13" x14ac:dyDescent="0.25">
      <c r="E16645"/>
      <c r="M16645"/>
    </row>
    <row r="16646" spans="5:13" x14ac:dyDescent="0.25">
      <c r="E16646"/>
      <c r="M16646"/>
    </row>
    <row r="16647" spans="5:13" x14ac:dyDescent="0.25">
      <c r="E16647"/>
      <c r="M16647"/>
    </row>
    <row r="16648" spans="5:13" x14ac:dyDescent="0.25">
      <c r="E16648"/>
      <c r="M16648"/>
    </row>
    <row r="16649" spans="5:13" x14ac:dyDescent="0.25">
      <c r="E16649"/>
      <c r="M16649"/>
    </row>
    <row r="16650" spans="5:13" x14ac:dyDescent="0.25">
      <c r="E16650"/>
      <c r="M16650"/>
    </row>
    <row r="16651" spans="5:13" x14ac:dyDescent="0.25">
      <c r="E16651"/>
      <c r="M16651"/>
    </row>
    <row r="16652" spans="5:13" x14ac:dyDescent="0.25">
      <c r="E16652"/>
      <c r="M16652"/>
    </row>
    <row r="16653" spans="5:13" x14ac:dyDescent="0.25">
      <c r="E16653"/>
      <c r="M16653"/>
    </row>
    <row r="16654" spans="5:13" x14ac:dyDescent="0.25">
      <c r="E16654"/>
      <c r="M16654"/>
    </row>
    <row r="16655" spans="5:13" x14ac:dyDescent="0.25">
      <c r="E16655"/>
      <c r="M16655"/>
    </row>
    <row r="16656" spans="5:13" x14ac:dyDescent="0.25">
      <c r="E16656"/>
      <c r="M16656"/>
    </row>
    <row r="16657" spans="5:13" x14ac:dyDescent="0.25">
      <c r="E16657"/>
      <c r="M16657"/>
    </row>
    <row r="16658" spans="5:13" x14ac:dyDescent="0.25">
      <c r="E16658"/>
      <c r="M16658"/>
    </row>
    <row r="16659" spans="5:13" x14ac:dyDescent="0.25">
      <c r="E16659"/>
      <c r="M16659"/>
    </row>
    <row r="16660" spans="5:13" x14ac:dyDescent="0.25">
      <c r="E16660"/>
      <c r="M16660"/>
    </row>
    <row r="16661" spans="5:13" x14ac:dyDescent="0.25">
      <c r="E16661"/>
      <c r="M16661"/>
    </row>
    <row r="16662" spans="5:13" x14ac:dyDescent="0.25">
      <c r="E16662"/>
      <c r="M16662"/>
    </row>
    <row r="16663" spans="5:13" x14ac:dyDescent="0.25">
      <c r="E16663"/>
      <c r="M16663"/>
    </row>
    <row r="16664" spans="5:13" x14ac:dyDescent="0.25">
      <c r="E16664"/>
      <c r="M16664"/>
    </row>
    <row r="16665" spans="5:13" x14ac:dyDescent="0.25">
      <c r="E16665"/>
      <c r="M16665"/>
    </row>
    <row r="16666" spans="5:13" x14ac:dyDescent="0.25">
      <c r="E16666"/>
      <c r="M16666"/>
    </row>
    <row r="16667" spans="5:13" x14ac:dyDescent="0.25">
      <c r="E16667"/>
      <c r="M16667"/>
    </row>
    <row r="16668" spans="5:13" x14ac:dyDescent="0.25">
      <c r="E16668"/>
      <c r="M16668"/>
    </row>
    <row r="16669" spans="5:13" x14ac:dyDescent="0.25">
      <c r="E16669"/>
      <c r="M16669"/>
    </row>
    <row r="16670" spans="5:13" x14ac:dyDescent="0.25">
      <c r="E16670"/>
      <c r="M16670"/>
    </row>
    <row r="16671" spans="5:13" x14ac:dyDescent="0.25">
      <c r="E16671"/>
      <c r="M16671"/>
    </row>
    <row r="16672" spans="5:13" x14ac:dyDescent="0.25">
      <c r="E16672"/>
      <c r="M16672"/>
    </row>
    <row r="16673" spans="5:13" x14ac:dyDescent="0.25">
      <c r="E16673"/>
      <c r="M16673"/>
    </row>
    <row r="16674" spans="5:13" x14ac:dyDescent="0.25">
      <c r="E16674"/>
      <c r="M16674"/>
    </row>
    <row r="16675" spans="5:13" x14ac:dyDescent="0.25">
      <c r="E16675"/>
      <c r="M16675"/>
    </row>
    <row r="16676" spans="5:13" x14ac:dyDescent="0.25">
      <c r="E16676"/>
      <c r="M16676"/>
    </row>
    <row r="16677" spans="5:13" x14ac:dyDescent="0.25">
      <c r="E16677"/>
      <c r="M16677"/>
    </row>
    <row r="16678" spans="5:13" x14ac:dyDescent="0.25">
      <c r="E16678"/>
      <c r="M16678"/>
    </row>
    <row r="16679" spans="5:13" x14ac:dyDescent="0.25">
      <c r="E16679"/>
      <c r="M16679"/>
    </row>
    <row r="16680" spans="5:13" x14ac:dyDescent="0.25">
      <c r="E16680"/>
      <c r="M16680"/>
    </row>
    <row r="16681" spans="5:13" x14ac:dyDescent="0.25">
      <c r="E16681"/>
      <c r="M16681"/>
    </row>
    <row r="16682" spans="5:13" x14ac:dyDescent="0.25">
      <c r="E16682"/>
      <c r="M16682"/>
    </row>
    <row r="16683" spans="5:13" x14ac:dyDescent="0.25">
      <c r="E16683"/>
      <c r="M16683"/>
    </row>
    <row r="16684" spans="5:13" x14ac:dyDescent="0.25">
      <c r="E16684"/>
      <c r="M16684"/>
    </row>
    <row r="16685" spans="5:13" x14ac:dyDescent="0.25">
      <c r="E16685"/>
      <c r="M16685"/>
    </row>
    <row r="16686" spans="5:13" x14ac:dyDescent="0.25">
      <c r="E16686"/>
      <c r="M16686"/>
    </row>
    <row r="16687" spans="5:13" x14ac:dyDescent="0.25">
      <c r="E16687"/>
      <c r="M16687"/>
    </row>
    <row r="16688" spans="5:13" x14ac:dyDescent="0.25">
      <c r="E16688"/>
      <c r="M16688"/>
    </row>
    <row r="16689" spans="5:13" x14ac:dyDescent="0.25">
      <c r="E16689"/>
      <c r="M16689"/>
    </row>
    <row r="16690" spans="5:13" x14ac:dyDescent="0.25">
      <c r="E16690"/>
      <c r="M16690"/>
    </row>
    <row r="16691" spans="5:13" x14ac:dyDescent="0.25">
      <c r="E16691"/>
      <c r="M16691"/>
    </row>
    <row r="16692" spans="5:13" x14ac:dyDescent="0.25">
      <c r="E16692"/>
      <c r="M16692"/>
    </row>
    <row r="16693" spans="5:13" x14ac:dyDescent="0.25">
      <c r="E16693"/>
      <c r="M16693"/>
    </row>
    <row r="16694" spans="5:13" x14ac:dyDescent="0.25">
      <c r="E16694"/>
      <c r="M16694"/>
    </row>
    <row r="16695" spans="5:13" x14ac:dyDescent="0.25">
      <c r="E16695"/>
      <c r="M16695"/>
    </row>
    <row r="16696" spans="5:13" x14ac:dyDescent="0.25">
      <c r="E16696"/>
      <c r="M16696"/>
    </row>
    <row r="16697" spans="5:13" x14ac:dyDescent="0.25">
      <c r="E16697"/>
      <c r="M16697"/>
    </row>
    <row r="16698" spans="5:13" x14ac:dyDescent="0.25">
      <c r="E16698"/>
      <c r="M16698"/>
    </row>
    <row r="16699" spans="5:13" x14ac:dyDescent="0.25">
      <c r="E16699"/>
      <c r="M16699"/>
    </row>
    <row r="16700" spans="5:13" x14ac:dyDescent="0.25">
      <c r="E16700"/>
      <c r="M16700"/>
    </row>
    <row r="16701" spans="5:13" x14ac:dyDescent="0.25">
      <c r="E16701"/>
      <c r="M16701"/>
    </row>
    <row r="16702" spans="5:13" x14ac:dyDescent="0.25">
      <c r="E16702"/>
      <c r="M16702"/>
    </row>
    <row r="16703" spans="5:13" x14ac:dyDescent="0.25">
      <c r="E16703"/>
      <c r="M16703"/>
    </row>
    <row r="16704" spans="5:13" x14ac:dyDescent="0.25">
      <c r="E16704"/>
      <c r="M16704"/>
    </row>
    <row r="16705" spans="5:13" x14ac:dyDescent="0.25">
      <c r="E16705"/>
      <c r="M16705"/>
    </row>
    <row r="16706" spans="5:13" x14ac:dyDescent="0.25">
      <c r="E16706"/>
      <c r="M16706"/>
    </row>
    <row r="16707" spans="5:13" x14ac:dyDescent="0.25">
      <c r="E16707"/>
      <c r="M16707"/>
    </row>
    <row r="16708" spans="5:13" x14ac:dyDescent="0.25">
      <c r="E16708"/>
      <c r="M16708"/>
    </row>
    <row r="16709" spans="5:13" x14ac:dyDescent="0.25">
      <c r="E16709"/>
      <c r="M16709"/>
    </row>
    <row r="16710" spans="5:13" x14ac:dyDescent="0.25">
      <c r="E16710"/>
      <c r="M16710"/>
    </row>
    <row r="16711" spans="5:13" x14ac:dyDescent="0.25">
      <c r="E16711"/>
      <c r="M16711"/>
    </row>
    <row r="16712" spans="5:13" x14ac:dyDescent="0.25">
      <c r="E16712"/>
      <c r="M16712"/>
    </row>
    <row r="16713" spans="5:13" x14ac:dyDescent="0.25">
      <c r="E16713"/>
      <c r="M16713"/>
    </row>
    <row r="16714" spans="5:13" x14ac:dyDescent="0.25">
      <c r="E16714"/>
      <c r="M16714"/>
    </row>
    <row r="16715" spans="5:13" x14ac:dyDescent="0.25">
      <c r="E16715"/>
      <c r="M16715"/>
    </row>
    <row r="16716" spans="5:13" x14ac:dyDescent="0.25">
      <c r="E16716"/>
      <c r="M16716"/>
    </row>
    <row r="16717" spans="5:13" x14ac:dyDescent="0.25">
      <c r="E16717"/>
      <c r="M16717"/>
    </row>
    <row r="16718" spans="5:13" x14ac:dyDescent="0.25">
      <c r="E16718"/>
      <c r="M16718"/>
    </row>
    <row r="16719" spans="5:13" x14ac:dyDescent="0.25">
      <c r="E16719"/>
      <c r="M16719"/>
    </row>
    <row r="16720" spans="5:13" x14ac:dyDescent="0.25">
      <c r="E16720"/>
      <c r="M16720"/>
    </row>
    <row r="16721" spans="5:13" x14ac:dyDescent="0.25">
      <c r="E16721"/>
      <c r="M16721"/>
    </row>
    <row r="16722" spans="5:13" x14ac:dyDescent="0.25">
      <c r="E16722"/>
      <c r="M16722"/>
    </row>
    <row r="16723" spans="5:13" x14ac:dyDescent="0.25">
      <c r="E16723"/>
      <c r="M16723"/>
    </row>
    <row r="16724" spans="5:13" x14ac:dyDescent="0.25">
      <c r="E16724"/>
      <c r="M16724"/>
    </row>
    <row r="16725" spans="5:13" x14ac:dyDescent="0.25">
      <c r="E16725"/>
      <c r="M16725"/>
    </row>
    <row r="16726" spans="5:13" x14ac:dyDescent="0.25">
      <c r="E16726"/>
      <c r="M16726"/>
    </row>
    <row r="16727" spans="5:13" x14ac:dyDescent="0.25">
      <c r="E16727"/>
      <c r="M16727"/>
    </row>
    <row r="16728" spans="5:13" x14ac:dyDescent="0.25">
      <c r="E16728"/>
      <c r="M16728"/>
    </row>
    <row r="16729" spans="5:13" x14ac:dyDescent="0.25">
      <c r="E16729"/>
      <c r="M16729"/>
    </row>
    <row r="16730" spans="5:13" x14ac:dyDescent="0.25">
      <c r="E16730"/>
      <c r="M16730"/>
    </row>
    <row r="16731" spans="5:13" x14ac:dyDescent="0.25">
      <c r="E16731"/>
      <c r="M16731"/>
    </row>
    <row r="16732" spans="5:13" x14ac:dyDescent="0.25">
      <c r="E16732"/>
      <c r="M16732"/>
    </row>
    <row r="16733" spans="5:13" x14ac:dyDescent="0.25">
      <c r="E16733"/>
      <c r="M16733"/>
    </row>
    <row r="16734" spans="5:13" x14ac:dyDescent="0.25">
      <c r="E16734"/>
      <c r="M16734"/>
    </row>
    <row r="16735" spans="5:13" x14ac:dyDescent="0.25">
      <c r="E16735"/>
      <c r="M16735"/>
    </row>
    <row r="16736" spans="5:13" x14ac:dyDescent="0.25">
      <c r="E16736"/>
      <c r="M16736"/>
    </row>
    <row r="16737" spans="5:13" x14ac:dyDescent="0.25">
      <c r="E16737"/>
      <c r="M16737"/>
    </row>
    <row r="16738" spans="5:13" x14ac:dyDescent="0.25">
      <c r="E16738"/>
      <c r="M16738"/>
    </row>
    <row r="16739" spans="5:13" x14ac:dyDescent="0.25">
      <c r="E16739"/>
      <c r="M16739"/>
    </row>
    <row r="16740" spans="5:13" x14ac:dyDescent="0.25">
      <c r="E16740"/>
      <c r="M16740"/>
    </row>
    <row r="16741" spans="5:13" x14ac:dyDescent="0.25">
      <c r="E16741"/>
      <c r="M16741"/>
    </row>
    <row r="16742" spans="5:13" x14ac:dyDescent="0.25">
      <c r="E16742"/>
      <c r="M16742"/>
    </row>
    <row r="16743" spans="5:13" x14ac:dyDescent="0.25">
      <c r="E16743"/>
      <c r="M16743"/>
    </row>
    <row r="16744" spans="5:13" x14ac:dyDescent="0.25">
      <c r="E16744"/>
      <c r="M16744"/>
    </row>
    <row r="16745" spans="5:13" x14ac:dyDescent="0.25">
      <c r="E16745"/>
      <c r="M16745"/>
    </row>
    <row r="16746" spans="5:13" x14ac:dyDescent="0.25">
      <c r="E16746"/>
      <c r="M16746"/>
    </row>
    <row r="16747" spans="5:13" x14ac:dyDescent="0.25">
      <c r="E16747"/>
      <c r="M16747"/>
    </row>
    <row r="16748" spans="5:13" x14ac:dyDescent="0.25">
      <c r="E16748"/>
      <c r="M16748"/>
    </row>
    <row r="16749" spans="5:13" x14ac:dyDescent="0.25">
      <c r="E16749"/>
      <c r="M16749"/>
    </row>
    <row r="16750" spans="5:13" x14ac:dyDescent="0.25">
      <c r="E16750"/>
      <c r="M16750"/>
    </row>
    <row r="16751" spans="5:13" x14ac:dyDescent="0.25">
      <c r="E16751"/>
      <c r="M16751"/>
    </row>
    <row r="16752" spans="5:13" x14ac:dyDescent="0.25">
      <c r="E16752"/>
      <c r="M16752"/>
    </row>
    <row r="16753" spans="5:13" x14ac:dyDescent="0.25">
      <c r="E16753"/>
      <c r="M16753"/>
    </row>
    <row r="16754" spans="5:13" x14ac:dyDescent="0.25">
      <c r="E16754"/>
      <c r="M16754"/>
    </row>
    <row r="16755" spans="5:13" x14ac:dyDescent="0.25">
      <c r="E16755"/>
      <c r="M16755"/>
    </row>
    <row r="16756" spans="5:13" x14ac:dyDescent="0.25">
      <c r="E16756"/>
      <c r="M16756"/>
    </row>
    <row r="16757" spans="5:13" x14ac:dyDescent="0.25">
      <c r="E16757"/>
      <c r="M16757"/>
    </row>
    <row r="16758" spans="5:13" x14ac:dyDescent="0.25">
      <c r="E16758"/>
      <c r="M16758"/>
    </row>
    <row r="16759" spans="5:13" x14ac:dyDescent="0.25">
      <c r="E16759"/>
      <c r="M16759"/>
    </row>
    <row r="16760" spans="5:13" x14ac:dyDescent="0.25">
      <c r="E16760"/>
      <c r="M16760"/>
    </row>
    <row r="16761" spans="5:13" x14ac:dyDescent="0.25">
      <c r="E16761"/>
      <c r="M16761"/>
    </row>
    <row r="16762" spans="5:13" x14ac:dyDescent="0.25">
      <c r="E16762"/>
      <c r="M16762"/>
    </row>
    <row r="16763" spans="5:13" x14ac:dyDescent="0.25">
      <c r="E16763"/>
      <c r="M16763"/>
    </row>
    <row r="16764" spans="5:13" x14ac:dyDescent="0.25">
      <c r="E16764"/>
      <c r="M16764"/>
    </row>
    <row r="16765" spans="5:13" x14ac:dyDescent="0.25">
      <c r="E16765"/>
      <c r="M16765"/>
    </row>
    <row r="16766" spans="5:13" x14ac:dyDescent="0.25">
      <c r="E16766"/>
      <c r="M16766"/>
    </row>
    <row r="16767" spans="5:13" x14ac:dyDescent="0.25">
      <c r="E16767"/>
      <c r="M16767"/>
    </row>
    <row r="16768" spans="5:13" x14ac:dyDescent="0.25">
      <c r="E16768"/>
      <c r="M16768"/>
    </row>
    <row r="16769" spans="5:13" x14ac:dyDescent="0.25">
      <c r="E16769"/>
      <c r="M16769"/>
    </row>
    <row r="16770" spans="5:13" x14ac:dyDescent="0.25">
      <c r="E16770"/>
      <c r="M16770"/>
    </row>
    <row r="16771" spans="5:13" x14ac:dyDescent="0.25">
      <c r="E16771"/>
      <c r="M16771"/>
    </row>
    <row r="16772" spans="5:13" x14ac:dyDescent="0.25">
      <c r="E16772"/>
      <c r="M16772"/>
    </row>
    <row r="16773" spans="5:13" x14ac:dyDescent="0.25">
      <c r="E16773"/>
      <c r="M16773"/>
    </row>
    <row r="16774" spans="5:13" x14ac:dyDescent="0.25">
      <c r="E16774"/>
      <c r="M16774"/>
    </row>
    <row r="16775" spans="5:13" x14ac:dyDescent="0.25">
      <c r="E16775"/>
      <c r="M16775"/>
    </row>
    <row r="16776" spans="5:13" x14ac:dyDescent="0.25">
      <c r="E16776"/>
      <c r="M16776"/>
    </row>
    <row r="16777" spans="5:13" x14ac:dyDescent="0.25">
      <c r="E16777"/>
      <c r="M16777"/>
    </row>
    <row r="16778" spans="5:13" x14ac:dyDescent="0.25">
      <c r="E16778"/>
      <c r="M16778"/>
    </row>
    <row r="16779" spans="5:13" x14ac:dyDescent="0.25">
      <c r="E16779"/>
      <c r="M16779"/>
    </row>
    <row r="16780" spans="5:13" x14ac:dyDescent="0.25">
      <c r="E16780"/>
      <c r="M16780"/>
    </row>
    <row r="16781" spans="5:13" x14ac:dyDescent="0.25">
      <c r="E16781"/>
      <c r="M16781"/>
    </row>
    <row r="16782" spans="5:13" x14ac:dyDescent="0.25">
      <c r="E16782"/>
      <c r="M16782"/>
    </row>
    <row r="16783" spans="5:13" x14ac:dyDescent="0.25">
      <c r="E16783"/>
      <c r="M16783"/>
    </row>
    <row r="16784" spans="5:13" x14ac:dyDescent="0.25">
      <c r="E16784"/>
      <c r="M16784"/>
    </row>
    <row r="16785" spans="5:13" x14ac:dyDescent="0.25">
      <c r="E16785"/>
      <c r="M16785"/>
    </row>
    <row r="16786" spans="5:13" x14ac:dyDescent="0.25">
      <c r="E16786"/>
      <c r="M16786"/>
    </row>
    <row r="16787" spans="5:13" x14ac:dyDescent="0.25">
      <c r="E16787"/>
      <c r="M16787"/>
    </row>
    <row r="16788" spans="5:13" x14ac:dyDescent="0.25">
      <c r="E16788"/>
      <c r="M16788"/>
    </row>
    <row r="16789" spans="5:13" x14ac:dyDescent="0.25">
      <c r="E16789"/>
      <c r="M16789"/>
    </row>
    <row r="16790" spans="5:13" x14ac:dyDescent="0.25">
      <c r="E16790"/>
      <c r="M16790"/>
    </row>
    <row r="16791" spans="5:13" x14ac:dyDescent="0.25">
      <c r="E16791"/>
      <c r="M16791"/>
    </row>
    <row r="16792" spans="5:13" x14ac:dyDescent="0.25">
      <c r="E16792"/>
      <c r="M16792"/>
    </row>
    <row r="16793" spans="5:13" x14ac:dyDescent="0.25">
      <c r="E16793"/>
      <c r="M16793"/>
    </row>
    <row r="16794" spans="5:13" x14ac:dyDescent="0.25">
      <c r="E16794"/>
      <c r="M16794"/>
    </row>
    <row r="16795" spans="5:13" x14ac:dyDescent="0.25">
      <c r="E16795"/>
      <c r="M16795"/>
    </row>
    <row r="16796" spans="5:13" x14ac:dyDescent="0.25">
      <c r="E16796"/>
      <c r="M16796"/>
    </row>
    <row r="16797" spans="5:13" x14ac:dyDescent="0.25">
      <c r="E16797"/>
      <c r="M16797"/>
    </row>
    <row r="16798" spans="5:13" x14ac:dyDescent="0.25">
      <c r="E16798"/>
      <c r="M16798"/>
    </row>
    <row r="16799" spans="5:13" x14ac:dyDescent="0.25">
      <c r="E16799"/>
      <c r="M16799"/>
    </row>
    <row r="16800" spans="5:13" x14ac:dyDescent="0.25">
      <c r="E16800"/>
      <c r="M16800"/>
    </row>
    <row r="16801" spans="5:13" x14ac:dyDescent="0.25">
      <c r="E16801"/>
      <c r="M16801"/>
    </row>
    <row r="16802" spans="5:13" x14ac:dyDescent="0.25">
      <c r="E16802"/>
      <c r="M16802"/>
    </row>
    <row r="16803" spans="5:13" x14ac:dyDescent="0.25">
      <c r="E16803"/>
      <c r="M16803"/>
    </row>
    <row r="16804" spans="5:13" x14ac:dyDescent="0.25">
      <c r="E16804"/>
      <c r="M16804"/>
    </row>
    <row r="16805" spans="5:13" x14ac:dyDescent="0.25">
      <c r="E16805"/>
      <c r="M16805"/>
    </row>
    <row r="16806" spans="5:13" x14ac:dyDescent="0.25">
      <c r="E16806"/>
      <c r="M16806"/>
    </row>
    <row r="16807" spans="5:13" x14ac:dyDescent="0.25">
      <c r="E16807"/>
      <c r="M16807"/>
    </row>
    <row r="16808" spans="5:13" x14ac:dyDescent="0.25">
      <c r="E16808"/>
      <c r="M16808"/>
    </row>
    <row r="16809" spans="5:13" x14ac:dyDescent="0.25">
      <c r="E16809"/>
      <c r="M16809"/>
    </row>
    <row r="16810" spans="5:13" x14ac:dyDescent="0.25">
      <c r="E16810"/>
      <c r="M16810"/>
    </row>
    <row r="16811" spans="5:13" x14ac:dyDescent="0.25">
      <c r="E16811"/>
      <c r="M16811"/>
    </row>
    <row r="16812" spans="5:13" x14ac:dyDescent="0.25">
      <c r="E16812"/>
      <c r="M16812"/>
    </row>
    <row r="16813" spans="5:13" x14ac:dyDescent="0.25">
      <c r="E16813"/>
      <c r="M16813"/>
    </row>
    <row r="16814" spans="5:13" x14ac:dyDescent="0.25">
      <c r="E16814"/>
      <c r="M16814"/>
    </row>
    <row r="16815" spans="5:13" x14ac:dyDescent="0.25">
      <c r="E16815"/>
      <c r="M16815"/>
    </row>
    <row r="16816" spans="5:13" x14ac:dyDescent="0.25">
      <c r="E16816"/>
      <c r="M16816"/>
    </row>
    <row r="16817" spans="5:13" x14ac:dyDescent="0.25">
      <c r="E16817"/>
      <c r="M16817"/>
    </row>
    <row r="16818" spans="5:13" x14ac:dyDescent="0.25">
      <c r="E16818"/>
      <c r="M16818"/>
    </row>
    <row r="16819" spans="5:13" x14ac:dyDescent="0.25">
      <c r="E16819"/>
      <c r="M16819"/>
    </row>
    <row r="16820" spans="5:13" x14ac:dyDescent="0.25">
      <c r="E16820"/>
      <c r="M16820"/>
    </row>
    <row r="16821" spans="5:13" x14ac:dyDescent="0.25">
      <c r="E16821"/>
      <c r="M16821"/>
    </row>
    <row r="16822" spans="5:13" x14ac:dyDescent="0.25">
      <c r="E16822"/>
      <c r="M16822"/>
    </row>
    <row r="16823" spans="5:13" x14ac:dyDescent="0.25">
      <c r="E16823"/>
      <c r="M16823"/>
    </row>
    <row r="16824" spans="5:13" x14ac:dyDescent="0.25">
      <c r="E16824"/>
      <c r="M16824"/>
    </row>
    <row r="16825" spans="5:13" x14ac:dyDescent="0.25">
      <c r="E16825"/>
      <c r="M16825"/>
    </row>
    <row r="16826" spans="5:13" x14ac:dyDescent="0.25">
      <c r="E16826"/>
      <c r="M16826"/>
    </row>
    <row r="16827" spans="5:13" x14ac:dyDescent="0.25">
      <c r="E16827"/>
      <c r="M16827"/>
    </row>
    <row r="16828" spans="5:13" x14ac:dyDescent="0.25">
      <c r="E16828"/>
      <c r="M16828"/>
    </row>
    <row r="16829" spans="5:13" x14ac:dyDescent="0.25">
      <c r="E16829"/>
      <c r="M16829"/>
    </row>
    <row r="16830" spans="5:13" x14ac:dyDescent="0.25">
      <c r="E16830"/>
      <c r="M16830"/>
    </row>
    <row r="16831" spans="5:13" x14ac:dyDescent="0.25">
      <c r="E16831"/>
      <c r="M16831"/>
    </row>
    <row r="16832" spans="5:13" x14ac:dyDescent="0.25">
      <c r="E16832"/>
      <c r="M16832"/>
    </row>
    <row r="16833" spans="5:13" x14ac:dyDescent="0.25">
      <c r="E16833"/>
      <c r="M16833"/>
    </row>
    <row r="16834" spans="5:13" x14ac:dyDescent="0.25">
      <c r="E16834"/>
      <c r="M16834"/>
    </row>
    <row r="16835" spans="5:13" x14ac:dyDescent="0.25">
      <c r="E16835"/>
      <c r="M16835"/>
    </row>
    <row r="16836" spans="5:13" x14ac:dyDescent="0.25">
      <c r="E16836"/>
      <c r="M16836"/>
    </row>
    <row r="16837" spans="5:13" x14ac:dyDescent="0.25">
      <c r="E16837"/>
      <c r="M16837"/>
    </row>
    <row r="16838" spans="5:13" x14ac:dyDescent="0.25">
      <c r="E16838"/>
      <c r="M16838"/>
    </row>
    <row r="16839" spans="5:13" x14ac:dyDescent="0.25">
      <c r="E16839"/>
      <c r="M16839"/>
    </row>
    <row r="16840" spans="5:13" x14ac:dyDescent="0.25">
      <c r="E16840"/>
      <c r="M16840"/>
    </row>
    <row r="16841" spans="5:13" x14ac:dyDescent="0.25">
      <c r="E16841"/>
      <c r="M16841"/>
    </row>
    <row r="16842" spans="5:13" x14ac:dyDescent="0.25">
      <c r="E16842"/>
      <c r="M16842"/>
    </row>
    <row r="16843" spans="5:13" x14ac:dyDescent="0.25">
      <c r="E16843"/>
      <c r="M16843"/>
    </row>
    <row r="16844" spans="5:13" x14ac:dyDescent="0.25">
      <c r="E16844"/>
      <c r="M16844"/>
    </row>
    <row r="16845" spans="5:13" x14ac:dyDescent="0.25">
      <c r="E16845"/>
      <c r="M16845"/>
    </row>
    <row r="16846" spans="5:13" x14ac:dyDescent="0.25">
      <c r="E16846"/>
      <c r="M16846"/>
    </row>
    <row r="16847" spans="5:13" x14ac:dyDescent="0.25">
      <c r="E16847"/>
      <c r="M16847"/>
    </row>
    <row r="16848" spans="5:13" x14ac:dyDescent="0.25">
      <c r="E16848"/>
      <c r="M16848"/>
    </row>
    <row r="16849" spans="5:13" x14ac:dyDescent="0.25">
      <c r="E16849"/>
      <c r="M16849"/>
    </row>
    <row r="16850" spans="5:13" x14ac:dyDescent="0.25">
      <c r="E16850"/>
      <c r="M16850"/>
    </row>
    <row r="16851" spans="5:13" x14ac:dyDescent="0.25">
      <c r="E16851"/>
      <c r="M16851"/>
    </row>
    <row r="16852" spans="5:13" x14ac:dyDescent="0.25">
      <c r="E16852"/>
      <c r="M16852"/>
    </row>
    <row r="16853" spans="5:13" x14ac:dyDescent="0.25">
      <c r="E16853"/>
      <c r="M16853"/>
    </row>
    <row r="16854" spans="5:13" x14ac:dyDescent="0.25">
      <c r="E16854"/>
      <c r="M16854"/>
    </row>
    <row r="16855" spans="5:13" x14ac:dyDescent="0.25">
      <c r="E16855"/>
      <c r="M16855"/>
    </row>
    <row r="16856" spans="5:13" x14ac:dyDescent="0.25">
      <c r="E16856"/>
      <c r="M16856"/>
    </row>
    <row r="16857" spans="5:13" x14ac:dyDescent="0.25">
      <c r="E16857"/>
      <c r="M16857"/>
    </row>
    <row r="16858" spans="5:13" x14ac:dyDescent="0.25">
      <c r="E16858"/>
      <c r="M16858"/>
    </row>
    <row r="16859" spans="5:13" x14ac:dyDescent="0.25">
      <c r="E16859"/>
      <c r="M16859"/>
    </row>
    <row r="16860" spans="5:13" x14ac:dyDescent="0.25">
      <c r="E16860"/>
      <c r="M16860"/>
    </row>
    <row r="16861" spans="5:13" x14ac:dyDescent="0.25">
      <c r="E16861"/>
      <c r="M16861"/>
    </row>
    <row r="16862" spans="5:13" x14ac:dyDescent="0.25">
      <c r="E16862"/>
      <c r="M16862"/>
    </row>
    <row r="16863" spans="5:13" x14ac:dyDescent="0.25">
      <c r="E16863"/>
      <c r="M16863"/>
    </row>
    <row r="16864" spans="5:13" x14ac:dyDescent="0.25">
      <c r="E16864"/>
      <c r="M16864"/>
    </row>
    <row r="16865" spans="5:13" x14ac:dyDescent="0.25">
      <c r="E16865"/>
      <c r="M16865"/>
    </row>
    <row r="16866" spans="5:13" x14ac:dyDescent="0.25">
      <c r="E16866"/>
      <c r="M16866"/>
    </row>
    <row r="16867" spans="5:13" x14ac:dyDescent="0.25">
      <c r="E16867"/>
      <c r="M16867"/>
    </row>
    <row r="16868" spans="5:13" x14ac:dyDescent="0.25">
      <c r="E16868"/>
      <c r="M16868"/>
    </row>
    <row r="16869" spans="5:13" x14ac:dyDescent="0.25">
      <c r="E16869"/>
      <c r="M16869"/>
    </row>
    <row r="16870" spans="5:13" x14ac:dyDescent="0.25">
      <c r="E16870"/>
      <c r="M16870"/>
    </row>
    <row r="16871" spans="5:13" x14ac:dyDescent="0.25">
      <c r="E16871"/>
      <c r="M16871"/>
    </row>
    <row r="16872" spans="5:13" x14ac:dyDescent="0.25">
      <c r="E16872"/>
      <c r="M16872"/>
    </row>
    <row r="16873" spans="5:13" x14ac:dyDescent="0.25">
      <c r="E16873"/>
      <c r="M16873"/>
    </row>
    <row r="16874" spans="5:13" x14ac:dyDescent="0.25">
      <c r="E16874"/>
      <c r="M16874"/>
    </row>
    <row r="16875" spans="5:13" x14ac:dyDescent="0.25">
      <c r="E16875"/>
      <c r="M16875"/>
    </row>
    <row r="16876" spans="5:13" x14ac:dyDescent="0.25">
      <c r="E16876"/>
      <c r="M16876"/>
    </row>
    <row r="16877" spans="5:13" x14ac:dyDescent="0.25">
      <c r="E16877"/>
      <c r="M16877"/>
    </row>
    <row r="16878" spans="5:13" x14ac:dyDescent="0.25">
      <c r="E16878"/>
      <c r="M16878"/>
    </row>
    <row r="16879" spans="5:13" x14ac:dyDescent="0.25">
      <c r="E16879"/>
      <c r="M16879"/>
    </row>
    <row r="16880" spans="5:13" x14ac:dyDescent="0.25">
      <c r="E16880"/>
      <c r="M16880"/>
    </row>
    <row r="16881" spans="5:13" x14ac:dyDescent="0.25">
      <c r="E16881"/>
      <c r="M16881"/>
    </row>
    <row r="16882" spans="5:13" x14ac:dyDescent="0.25">
      <c r="E16882"/>
      <c r="M16882"/>
    </row>
    <row r="16883" spans="5:13" x14ac:dyDescent="0.25">
      <c r="E16883"/>
      <c r="M16883"/>
    </row>
    <row r="16884" spans="5:13" x14ac:dyDescent="0.25">
      <c r="E16884"/>
      <c r="M16884"/>
    </row>
    <row r="16885" spans="5:13" x14ac:dyDescent="0.25">
      <c r="E16885"/>
      <c r="M16885"/>
    </row>
    <row r="16886" spans="5:13" x14ac:dyDescent="0.25">
      <c r="E16886"/>
      <c r="M16886"/>
    </row>
    <row r="16887" spans="5:13" x14ac:dyDescent="0.25">
      <c r="E16887"/>
      <c r="M16887"/>
    </row>
    <row r="16888" spans="5:13" x14ac:dyDescent="0.25">
      <c r="E16888"/>
      <c r="M16888"/>
    </row>
    <row r="16889" spans="5:13" x14ac:dyDescent="0.25">
      <c r="E16889"/>
      <c r="M16889"/>
    </row>
    <row r="16890" spans="5:13" x14ac:dyDescent="0.25">
      <c r="E16890"/>
      <c r="M16890"/>
    </row>
    <row r="16891" spans="5:13" x14ac:dyDescent="0.25">
      <c r="E16891"/>
      <c r="M16891"/>
    </row>
    <row r="16892" spans="5:13" x14ac:dyDescent="0.25">
      <c r="E16892"/>
      <c r="M16892"/>
    </row>
    <row r="16893" spans="5:13" x14ac:dyDescent="0.25">
      <c r="E16893"/>
      <c r="M16893"/>
    </row>
    <row r="16894" spans="5:13" x14ac:dyDescent="0.25">
      <c r="E16894"/>
      <c r="M16894"/>
    </row>
    <row r="16895" spans="5:13" x14ac:dyDescent="0.25">
      <c r="E16895"/>
      <c r="M16895"/>
    </row>
    <row r="16896" spans="5:13" x14ac:dyDescent="0.25">
      <c r="E16896"/>
      <c r="M16896"/>
    </row>
    <row r="16897" spans="5:13" x14ac:dyDescent="0.25">
      <c r="E16897"/>
      <c r="M16897"/>
    </row>
    <row r="16898" spans="5:13" x14ac:dyDescent="0.25">
      <c r="E16898"/>
      <c r="M16898"/>
    </row>
    <row r="16899" spans="5:13" x14ac:dyDescent="0.25">
      <c r="E16899"/>
      <c r="M16899"/>
    </row>
    <row r="16900" spans="5:13" x14ac:dyDescent="0.25">
      <c r="E16900"/>
      <c r="M16900"/>
    </row>
    <row r="16901" spans="5:13" x14ac:dyDescent="0.25">
      <c r="E16901"/>
      <c r="M16901"/>
    </row>
    <row r="16902" spans="5:13" x14ac:dyDescent="0.25">
      <c r="E16902"/>
      <c r="M16902"/>
    </row>
    <row r="16903" spans="5:13" x14ac:dyDescent="0.25">
      <c r="E16903"/>
      <c r="M16903"/>
    </row>
    <row r="16904" spans="5:13" x14ac:dyDescent="0.25">
      <c r="E16904"/>
      <c r="M16904"/>
    </row>
    <row r="16905" spans="5:13" x14ac:dyDescent="0.25">
      <c r="E16905"/>
      <c r="M16905"/>
    </row>
    <row r="16906" spans="5:13" x14ac:dyDescent="0.25">
      <c r="E16906"/>
      <c r="M16906"/>
    </row>
    <row r="16907" spans="5:13" x14ac:dyDescent="0.25">
      <c r="E16907"/>
      <c r="M16907"/>
    </row>
    <row r="16908" spans="5:13" x14ac:dyDescent="0.25">
      <c r="E16908"/>
      <c r="M16908"/>
    </row>
    <row r="16909" spans="5:13" x14ac:dyDescent="0.25">
      <c r="E16909"/>
      <c r="M16909"/>
    </row>
    <row r="16910" spans="5:13" x14ac:dyDescent="0.25">
      <c r="E16910"/>
      <c r="M16910"/>
    </row>
    <row r="16911" spans="5:13" x14ac:dyDescent="0.25">
      <c r="E16911"/>
      <c r="M16911"/>
    </row>
    <row r="16912" spans="5:13" x14ac:dyDescent="0.25">
      <c r="E16912"/>
      <c r="M16912"/>
    </row>
    <row r="16913" spans="5:13" x14ac:dyDescent="0.25">
      <c r="E16913"/>
      <c r="M16913"/>
    </row>
    <row r="16914" spans="5:13" x14ac:dyDescent="0.25">
      <c r="E16914"/>
      <c r="M16914"/>
    </row>
    <row r="16915" spans="5:13" x14ac:dyDescent="0.25">
      <c r="E16915"/>
      <c r="M16915"/>
    </row>
    <row r="16916" spans="5:13" x14ac:dyDescent="0.25">
      <c r="E16916"/>
      <c r="M16916"/>
    </row>
    <row r="16917" spans="5:13" x14ac:dyDescent="0.25">
      <c r="E16917"/>
      <c r="M16917"/>
    </row>
    <row r="16918" spans="5:13" x14ac:dyDescent="0.25">
      <c r="E16918"/>
      <c r="M16918"/>
    </row>
    <row r="16919" spans="5:13" x14ac:dyDescent="0.25">
      <c r="E16919"/>
      <c r="M16919"/>
    </row>
    <row r="16920" spans="5:13" x14ac:dyDescent="0.25">
      <c r="E16920"/>
      <c r="M16920"/>
    </row>
    <row r="16921" spans="5:13" x14ac:dyDescent="0.25">
      <c r="E16921"/>
      <c r="M16921"/>
    </row>
    <row r="16922" spans="5:13" x14ac:dyDescent="0.25">
      <c r="E16922"/>
      <c r="M16922"/>
    </row>
    <row r="16923" spans="5:13" x14ac:dyDescent="0.25">
      <c r="E16923"/>
      <c r="M16923"/>
    </row>
    <row r="16924" spans="5:13" x14ac:dyDescent="0.25">
      <c r="E16924"/>
      <c r="M16924"/>
    </row>
    <row r="16925" spans="5:13" x14ac:dyDescent="0.25">
      <c r="E16925"/>
      <c r="M16925"/>
    </row>
    <row r="16926" spans="5:13" x14ac:dyDescent="0.25">
      <c r="E16926"/>
      <c r="M16926"/>
    </row>
    <row r="16927" spans="5:13" x14ac:dyDescent="0.25">
      <c r="E16927"/>
      <c r="M16927"/>
    </row>
    <row r="16928" spans="5:13" x14ac:dyDescent="0.25">
      <c r="E16928"/>
      <c r="M16928"/>
    </row>
    <row r="16929" spans="5:13" x14ac:dyDescent="0.25">
      <c r="E16929"/>
      <c r="M16929"/>
    </row>
    <row r="16930" spans="5:13" x14ac:dyDescent="0.25">
      <c r="E16930"/>
      <c r="M16930"/>
    </row>
    <row r="16931" spans="5:13" x14ac:dyDescent="0.25">
      <c r="E16931"/>
      <c r="M16931"/>
    </row>
    <row r="16932" spans="5:13" x14ac:dyDescent="0.25">
      <c r="E16932"/>
      <c r="M16932"/>
    </row>
    <row r="16933" spans="5:13" x14ac:dyDescent="0.25">
      <c r="E16933"/>
      <c r="M16933"/>
    </row>
    <row r="16934" spans="5:13" x14ac:dyDescent="0.25">
      <c r="E16934"/>
      <c r="M16934"/>
    </row>
    <row r="16935" spans="5:13" x14ac:dyDescent="0.25">
      <c r="E16935"/>
      <c r="M16935"/>
    </row>
    <row r="16936" spans="5:13" x14ac:dyDescent="0.25">
      <c r="E16936"/>
      <c r="M16936"/>
    </row>
    <row r="16937" spans="5:13" x14ac:dyDescent="0.25">
      <c r="E16937"/>
      <c r="M16937"/>
    </row>
    <row r="16938" spans="5:13" x14ac:dyDescent="0.25">
      <c r="E16938"/>
      <c r="M16938"/>
    </row>
    <row r="16939" spans="5:13" x14ac:dyDescent="0.25">
      <c r="E16939"/>
      <c r="M16939"/>
    </row>
    <row r="16940" spans="5:13" x14ac:dyDescent="0.25">
      <c r="E16940"/>
      <c r="M16940"/>
    </row>
    <row r="16941" spans="5:13" x14ac:dyDescent="0.25">
      <c r="E16941"/>
      <c r="M16941"/>
    </row>
    <row r="16942" spans="5:13" x14ac:dyDescent="0.25">
      <c r="E16942"/>
      <c r="M16942"/>
    </row>
    <row r="16943" spans="5:13" x14ac:dyDescent="0.25">
      <c r="E16943"/>
      <c r="M16943"/>
    </row>
    <row r="16944" spans="5:13" x14ac:dyDescent="0.25">
      <c r="E16944"/>
      <c r="M16944"/>
    </row>
    <row r="16945" spans="5:13" x14ac:dyDescent="0.25">
      <c r="E16945"/>
      <c r="M16945"/>
    </row>
    <row r="16946" spans="5:13" x14ac:dyDescent="0.25">
      <c r="E16946"/>
      <c r="M16946"/>
    </row>
    <row r="16947" spans="5:13" x14ac:dyDescent="0.25">
      <c r="E16947"/>
      <c r="M16947"/>
    </row>
    <row r="16948" spans="5:13" x14ac:dyDescent="0.25">
      <c r="E16948"/>
      <c r="M16948"/>
    </row>
    <row r="16949" spans="5:13" x14ac:dyDescent="0.25">
      <c r="E16949"/>
      <c r="M16949"/>
    </row>
    <row r="16950" spans="5:13" x14ac:dyDescent="0.25">
      <c r="E16950"/>
      <c r="M16950"/>
    </row>
    <row r="16951" spans="5:13" x14ac:dyDescent="0.25">
      <c r="E16951"/>
      <c r="M16951"/>
    </row>
    <row r="16952" spans="5:13" x14ac:dyDescent="0.25">
      <c r="E16952"/>
      <c r="M16952"/>
    </row>
    <row r="16953" spans="5:13" x14ac:dyDescent="0.25">
      <c r="E16953"/>
      <c r="M16953"/>
    </row>
    <row r="16954" spans="5:13" x14ac:dyDescent="0.25">
      <c r="E16954"/>
      <c r="M16954"/>
    </row>
    <row r="16955" spans="5:13" x14ac:dyDescent="0.25">
      <c r="E16955"/>
      <c r="M16955"/>
    </row>
    <row r="16956" spans="5:13" x14ac:dyDescent="0.25">
      <c r="E16956"/>
      <c r="M16956"/>
    </row>
    <row r="16957" spans="5:13" x14ac:dyDescent="0.25">
      <c r="E16957"/>
      <c r="M16957"/>
    </row>
    <row r="16958" spans="5:13" x14ac:dyDescent="0.25">
      <c r="E16958"/>
      <c r="M16958"/>
    </row>
    <row r="16959" spans="5:13" x14ac:dyDescent="0.25">
      <c r="E16959"/>
      <c r="M16959"/>
    </row>
    <row r="16960" spans="5:13" x14ac:dyDescent="0.25">
      <c r="E16960"/>
      <c r="M16960"/>
    </row>
    <row r="16961" spans="5:13" x14ac:dyDescent="0.25">
      <c r="E16961"/>
      <c r="M16961"/>
    </row>
    <row r="16962" spans="5:13" x14ac:dyDescent="0.25">
      <c r="E16962"/>
      <c r="M16962"/>
    </row>
    <row r="16963" spans="5:13" x14ac:dyDescent="0.25">
      <c r="E16963"/>
      <c r="M16963"/>
    </row>
    <row r="16964" spans="5:13" x14ac:dyDescent="0.25">
      <c r="E16964"/>
      <c r="M16964"/>
    </row>
    <row r="16965" spans="5:13" x14ac:dyDescent="0.25">
      <c r="E16965"/>
      <c r="M16965"/>
    </row>
    <row r="16966" spans="5:13" x14ac:dyDescent="0.25">
      <c r="E16966"/>
      <c r="M16966"/>
    </row>
    <row r="16967" spans="5:13" x14ac:dyDescent="0.25">
      <c r="E16967"/>
      <c r="M16967"/>
    </row>
    <row r="16968" spans="5:13" x14ac:dyDescent="0.25">
      <c r="E16968"/>
      <c r="M16968"/>
    </row>
    <row r="16969" spans="5:13" x14ac:dyDescent="0.25">
      <c r="E16969"/>
      <c r="M16969"/>
    </row>
    <row r="16970" spans="5:13" x14ac:dyDescent="0.25">
      <c r="E16970"/>
      <c r="M16970"/>
    </row>
    <row r="16971" spans="5:13" x14ac:dyDescent="0.25">
      <c r="E16971"/>
      <c r="M16971"/>
    </row>
    <row r="16972" spans="5:13" x14ac:dyDescent="0.25">
      <c r="E16972"/>
      <c r="M16972"/>
    </row>
    <row r="16973" spans="5:13" x14ac:dyDescent="0.25">
      <c r="E16973"/>
      <c r="M16973"/>
    </row>
    <row r="16974" spans="5:13" x14ac:dyDescent="0.25">
      <c r="E16974"/>
      <c r="M16974"/>
    </row>
    <row r="16975" spans="5:13" x14ac:dyDescent="0.25">
      <c r="E16975"/>
      <c r="M16975"/>
    </row>
    <row r="16976" spans="5:13" x14ac:dyDescent="0.25">
      <c r="E16976"/>
      <c r="M16976"/>
    </row>
    <row r="16977" spans="5:13" x14ac:dyDescent="0.25">
      <c r="E16977"/>
      <c r="M16977"/>
    </row>
    <row r="16978" spans="5:13" x14ac:dyDescent="0.25">
      <c r="E16978"/>
      <c r="M16978"/>
    </row>
    <row r="16979" spans="5:13" x14ac:dyDescent="0.25">
      <c r="E16979"/>
      <c r="M16979"/>
    </row>
    <row r="16980" spans="5:13" x14ac:dyDescent="0.25">
      <c r="E16980"/>
      <c r="M16980"/>
    </row>
    <row r="16981" spans="5:13" x14ac:dyDescent="0.25">
      <c r="E16981"/>
      <c r="M16981"/>
    </row>
    <row r="16982" spans="5:13" x14ac:dyDescent="0.25">
      <c r="E16982"/>
      <c r="M16982"/>
    </row>
    <row r="16983" spans="5:13" x14ac:dyDescent="0.25">
      <c r="E16983"/>
      <c r="M16983"/>
    </row>
    <row r="16984" spans="5:13" x14ac:dyDescent="0.25">
      <c r="E16984"/>
      <c r="M16984"/>
    </row>
    <row r="16985" spans="5:13" x14ac:dyDescent="0.25">
      <c r="E16985"/>
      <c r="M16985"/>
    </row>
    <row r="16986" spans="5:13" x14ac:dyDescent="0.25">
      <c r="E16986"/>
      <c r="M16986"/>
    </row>
    <row r="16987" spans="5:13" x14ac:dyDescent="0.25">
      <c r="E16987"/>
      <c r="M16987"/>
    </row>
    <row r="16988" spans="5:13" x14ac:dyDescent="0.25">
      <c r="E16988"/>
      <c r="M16988"/>
    </row>
    <row r="16989" spans="5:13" x14ac:dyDescent="0.25">
      <c r="E16989"/>
      <c r="M16989"/>
    </row>
    <row r="16990" spans="5:13" x14ac:dyDescent="0.25">
      <c r="E16990"/>
      <c r="M16990"/>
    </row>
    <row r="16991" spans="5:13" x14ac:dyDescent="0.25">
      <c r="E16991"/>
      <c r="M16991"/>
    </row>
    <row r="16992" spans="5:13" x14ac:dyDescent="0.25">
      <c r="E16992"/>
      <c r="M16992"/>
    </row>
    <row r="16993" spans="5:13" x14ac:dyDescent="0.25">
      <c r="E16993"/>
      <c r="M16993"/>
    </row>
    <row r="16994" spans="5:13" x14ac:dyDescent="0.25">
      <c r="E16994"/>
      <c r="M16994"/>
    </row>
    <row r="16995" spans="5:13" x14ac:dyDescent="0.25">
      <c r="E16995"/>
      <c r="M16995"/>
    </row>
    <row r="16996" spans="5:13" x14ac:dyDescent="0.25">
      <c r="E16996"/>
      <c r="M16996"/>
    </row>
    <row r="16997" spans="5:13" x14ac:dyDescent="0.25">
      <c r="E16997"/>
      <c r="M16997"/>
    </row>
    <row r="16998" spans="5:13" x14ac:dyDescent="0.25">
      <c r="E16998"/>
      <c r="M16998"/>
    </row>
    <row r="16999" spans="5:13" x14ac:dyDescent="0.25">
      <c r="E16999"/>
      <c r="M16999"/>
    </row>
    <row r="17000" spans="5:13" x14ac:dyDescent="0.25">
      <c r="E17000"/>
      <c r="M17000"/>
    </row>
    <row r="17001" spans="5:13" x14ac:dyDescent="0.25">
      <c r="E17001"/>
      <c r="M17001"/>
    </row>
    <row r="17002" spans="5:13" x14ac:dyDescent="0.25">
      <c r="E17002"/>
      <c r="M17002"/>
    </row>
    <row r="17003" spans="5:13" x14ac:dyDescent="0.25">
      <c r="E17003"/>
      <c r="M17003"/>
    </row>
    <row r="17004" spans="5:13" x14ac:dyDescent="0.25">
      <c r="E17004"/>
      <c r="M17004"/>
    </row>
    <row r="17005" spans="5:13" x14ac:dyDescent="0.25">
      <c r="E17005"/>
      <c r="M17005"/>
    </row>
    <row r="17006" spans="5:13" x14ac:dyDescent="0.25">
      <c r="E17006"/>
      <c r="M17006"/>
    </row>
    <row r="17007" spans="5:13" x14ac:dyDescent="0.25">
      <c r="E17007"/>
      <c r="M17007"/>
    </row>
    <row r="17008" spans="5:13" x14ac:dyDescent="0.25">
      <c r="E17008"/>
      <c r="M17008"/>
    </row>
    <row r="17009" spans="5:13" x14ac:dyDescent="0.25">
      <c r="E17009"/>
      <c r="M17009"/>
    </row>
    <row r="17010" spans="5:13" x14ac:dyDescent="0.25">
      <c r="E17010"/>
      <c r="M17010"/>
    </row>
    <row r="17011" spans="5:13" x14ac:dyDescent="0.25">
      <c r="E17011"/>
      <c r="M17011"/>
    </row>
    <row r="17012" spans="5:13" x14ac:dyDescent="0.25">
      <c r="E17012"/>
      <c r="M17012"/>
    </row>
    <row r="17013" spans="5:13" x14ac:dyDescent="0.25">
      <c r="E17013"/>
      <c r="M17013"/>
    </row>
    <row r="17014" spans="5:13" x14ac:dyDescent="0.25">
      <c r="E17014"/>
      <c r="M17014"/>
    </row>
    <row r="17015" spans="5:13" x14ac:dyDescent="0.25">
      <c r="E17015"/>
      <c r="M17015"/>
    </row>
    <row r="17016" spans="5:13" x14ac:dyDescent="0.25">
      <c r="E17016"/>
      <c r="M17016"/>
    </row>
    <row r="17017" spans="5:13" x14ac:dyDescent="0.25">
      <c r="E17017"/>
      <c r="M17017"/>
    </row>
    <row r="17018" spans="5:13" x14ac:dyDescent="0.25">
      <c r="E17018"/>
      <c r="M17018"/>
    </row>
    <row r="17019" spans="5:13" x14ac:dyDescent="0.25">
      <c r="E17019"/>
      <c r="M17019"/>
    </row>
    <row r="17020" spans="5:13" x14ac:dyDescent="0.25">
      <c r="E17020"/>
      <c r="M17020"/>
    </row>
    <row r="17021" spans="5:13" x14ac:dyDescent="0.25">
      <c r="E17021"/>
      <c r="M17021"/>
    </row>
    <row r="17022" spans="5:13" x14ac:dyDescent="0.25">
      <c r="E17022"/>
      <c r="M17022"/>
    </row>
    <row r="17023" spans="5:13" x14ac:dyDescent="0.25">
      <c r="E17023"/>
      <c r="M17023"/>
    </row>
    <row r="17024" spans="5:13" x14ac:dyDescent="0.25">
      <c r="E17024"/>
      <c r="M17024"/>
    </row>
    <row r="17025" spans="5:13" x14ac:dyDescent="0.25">
      <c r="E17025"/>
      <c r="M17025"/>
    </row>
    <row r="17026" spans="5:13" x14ac:dyDescent="0.25">
      <c r="E17026"/>
      <c r="M17026"/>
    </row>
    <row r="17027" spans="5:13" x14ac:dyDescent="0.25">
      <c r="E17027"/>
      <c r="M17027"/>
    </row>
    <row r="17028" spans="5:13" x14ac:dyDescent="0.25">
      <c r="E17028"/>
      <c r="M17028"/>
    </row>
    <row r="17029" spans="5:13" x14ac:dyDescent="0.25">
      <c r="E17029"/>
      <c r="M17029"/>
    </row>
    <row r="17030" spans="5:13" x14ac:dyDescent="0.25">
      <c r="E17030"/>
      <c r="M17030"/>
    </row>
    <row r="17031" spans="5:13" x14ac:dyDescent="0.25">
      <c r="E17031"/>
      <c r="M17031"/>
    </row>
    <row r="17032" spans="5:13" x14ac:dyDescent="0.25">
      <c r="E17032"/>
      <c r="M17032"/>
    </row>
    <row r="17033" spans="5:13" x14ac:dyDescent="0.25">
      <c r="E17033"/>
      <c r="M17033"/>
    </row>
    <row r="17034" spans="5:13" x14ac:dyDescent="0.25">
      <c r="E17034"/>
      <c r="M17034"/>
    </row>
    <row r="17035" spans="5:13" x14ac:dyDescent="0.25">
      <c r="E17035"/>
      <c r="M17035"/>
    </row>
    <row r="17036" spans="5:13" x14ac:dyDescent="0.25">
      <c r="E17036"/>
      <c r="M17036"/>
    </row>
    <row r="17037" spans="5:13" x14ac:dyDescent="0.25">
      <c r="E17037"/>
      <c r="M17037"/>
    </row>
    <row r="17038" spans="5:13" x14ac:dyDescent="0.25">
      <c r="E17038"/>
      <c r="M17038"/>
    </row>
    <row r="17039" spans="5:13" x14ac:dyDescent="0.25">
      <c r="E17039"/>
      <c r="M17039"/>
    </row>
    <row r="17040" spans="5:13" x14ac:dyDescent="0.25">
      <c r="E17040"/>
      <c r="M17040"/>
    </row>
    <row r="17041" spans="5:13" x14ac:dyDescent="0.25">
      <c r="E17041"/>
      <c r="M17041"/>
    </row>
    <row r="17042" spans="5:13" x14ac:dyDescent="0.25">
      <c r="E17042"/>
      <c r="M17042"/>
    </row>
    <row r="17043" spans="5:13" x14ac:dyDescent="0.25">
      <c r="E17043"/>
      <c r="M17043"/>
    </row>
    <row r="17044" spans="5:13" x14ac:dyDescent="0.25">
      <c r="E17044"/>
      <c r="M17044"/>
    </row>
    <row r="17045" spans="5:13" x14ac:dyDescent="0.25">
      <c r="E17045"/>
      <c r="M17045"/>
    </row>
    <row r="17046" spans="5:13" x14ac:dyDescent="0.25">
      <c r="E17046"/>
      <c r="M17046"/>
    </row>
    <row r="17047" spans="5:13" x14ac:dyDescent="0.25">
      <c r="E17047"/>
      <c r="M17047"/>
    </row>
    <row r="17048" spans="5:13" x14ac:dyDescent="0.25">
      <c r="E17048"/>
      <c r="M17048"/>
    </row>
    <row r="17049" spans="5:13" x14ac:dyDescent="0.25">
      <c r="E17049"/>
      <c r="M17049"/>
    </row>
    <row r="17050" spans="5:13" x14ac:dyDescent="0.25">
      <c r="E17050"/>
      <c r="M17050"/>
    </row>
    <row r="17051" spans="5:13" x14ac:dyDescent="0.25">
      <c r="E17051"/>
      <c r="M17051"/>
    </row>
    <row r="17052" spans="5:13" x14ac:dyDescent="0.25">
      <c r="E17052"/>
      <c r="M17052"/>
    </row>
    <row r="17053" spans="5:13" x14ac:dyDescent="0.25">
      <c r="E17053"/>
      <c r="M17053"/>
    </row>
    <row r="17054" spans="5:13" x14ac:dyDescent="0.25">
      <c r="E17054"/>
      <c r="M17054"/>
    </row>
    <row r="17055" spans="5:13" x14ac:dyDescent="0.25">
      <c r="E17055"/>
      <c r="M17055"/>
    </row>
    <row r="17056" spans="5:13" x14ac:dyDescent="0.25">
      <c r="E17056"/>
      <c r="M17056"/>
    </row>
    <row r="17057" spans="5:13" x14ac:dyDescent="0.25">
      <c r="E17057"/>
      <c r="M17057"/>
    </row>
    <row r="17058" spans="5:13" x14ac:dyDescent="0.25">
      <c r="E17058"/>
      <c r="M17058"/>
    </row>
    <row r="17059" spans="5:13" x14ac:dyDescent="0.25">
      <c r="E17059"/>
      <c r="M17059"/>
    </row>
    <row r="17060" spans="5:13" x14ac:dyDescent="0.25">
      <c r="E17060"/>
      <c r="M17060"/>
    </row>
    <row r="17061" spans="5:13" x14ac:dyDescent="0.25">
      <c r="E17061"/>
      <c r="M17061"/>
    </row>
    <row r="17062" spans="5:13" x14ac:dyDescent="0.25">
      <c r="E17062"/>
      <c r="M17062"/>
    </row>
    <row r="17063" spans="5:13" x14ac:dyDescent="0.25">
      <c r="E17063"/>
      <c r="M17063"/>
    </row>
    <row r="17064" spans="5:13" x14ac:dyDescent="0.25">
      <c r="E17064"/>
      <c r="M17064"/>
    </row>
    <row r="17065" spans="5:13" x14ac:dyDescent="0.25">
      <c r="E17065"/>
      <c r="M17065"/>
    </row>
    <row r="17066" spans="5:13" x14ac:dyDescent="0.25">
      <c r="E17066"/>
      <c r="M17066"/>
    </row>
    <row r="17067" spans="5:13" x14ac:dyDescent="0.25">
      <c r="E17067"/>
      <c r="M17067"/>
    </row>
    <row r="17068" spans="5:13" x14ac:dyDescent="0.25">
      <c r="E17068"/>
      <c r="M17068"/>
    </row>
    <row r="17069" spans="5:13" x14ac:dyDescent="0.25">
      <c r="E17069"/>
      <c r="M17069"/>
    </row>
    <row r="17070" spans="5:13" x14ac:dyDescent="0.25">
      <c r="E17070"/>
      <c r="M17070"/>
    </row>
    <row r="17071" spans="5:13" x14ac:dyDescent="0.25">
      <c r="E17071"/>
      <c r="M17071"/>
    </row>
    <row r="17072" spans="5:13" x14ac:dyDescent="0.25">
      <c r="E17072"/>
      <c r="M17072"/>
    </row>
    <row r="17073" spans="5:13" x14ac:dyDescent="0.25">
      <c r="E17073"/>
      <c r="M17073"/>
    </row>
    <row r="17074" spans="5:13" x14ac:dyDescent="0.25">
      <c r="E17074"/>
      <c r="M17074"/>
    </row>
    <row r="17075" spans="5:13" x14ac:dyDescent="0.25">
      <c r="E17075"/>
      <c r="M17075"/>
    </row>
    <row r="17076" spans="5:13" x14ac:dyDescent="0.25">
      <c r="E17076"/>
      <c r="M17076"/>
    </row>
    <row r="17077" spans="5:13" x14ac:dyDescent="0.25">
      <c r="E17077"/>
      <c r="M17077"/>
    </row>
    <row r="17078" spans="5:13" x14ac:dyDescent="0.25">
      <c r="E17078"/>
      <c r="M17078"/>
    </row>
    <row r="17079" spans="5:13" x14ac:dyDescent="0.25">
      <c r="E17079"/>
      <c r="M17079"/>
    </row>
    <row r="17080" spans="5:13" x14ac:dyDescent="0.25">
      <c r="E17080"/>
      <c r="M17080"/>
    </row>
    <row r="17081" spans="5:13" x14ac:dyDescent="0.25">
      <c r="E17081"/>
      <c r="M17081"/>
    </row>
    <row r="17082" spans="5:13" x14ac:dyDescent="0.25">
      <c r="E17082"/>
      <c r="M17082"/>
    </row>
    <row r="17083" spans="5:13" x14ac:dyDescent="0.25">
      <c r="E17083"/>
      <c r="M17083"/>
    </row>
    <row r="17084" spans="5:13" x14ac:dyDescent="0.25">
      <c r="E17084"/>
      <c r="M17084"/>
    </row>
    <row r="17085" spans="5:13" x14ac:dyDescent="0.25">
      <c r="E17085"/>
      <c r="M17085"/>
    </row>
    <row r="17086" spans="5:13" x14ac:dyDescent="0.25">
      <c r="E17086"/>
      <c r="M17086"/>
    </row>
    <row r="17087" spans="5:13" x14ac:dyDescent="0.25">
      <c r="E17087"/>
      <c r="M17087"/>
    </row>
    <row r="17088" spans="5:13" x14ac:dyDescent="0.25">
      <c r="E17088"/>
      <c r="M17088"/>
    </row>
    <row r="17089" spans="5:13" x14ac:dyDescent="0.25">
      <c r="E17089"/>
      <c r="M17089"/>
    </row>
    <row r="17090" spans="5:13" x14ac:dyDescent="0.25">
      <c r="E17090"/>
      <c r="M17090"/>
    </row>
    <row r="17091" spans="5:13" x14ac:dyDescent="0.25">
      <c r="E17091"/>
      <c r="M17091"/>
    </row>
    <row r="17092" spans="5:13" x14ac:dyDescent="0.25">
      <c r="E17092"/>
      <c r="M17092"/>
    </row>
    <row r="17093" spans="5:13" x14ac:dyDescent="0.25">
      <c r="E17093"/>
      <c r="M17093"/>
    </row>
    <row r="17094" spans="5:13" x14ac:dyDescent="0.25">
      <c r="E17094"/>
      <c r="M17094"/>
    </row>
    <row r="17095" spans="5:13" x14ac:dyDescent="0.25">
      <c r="E17095"/>
      <c r="M17095"/>
    </row>
    <row r="17096" spans="5:13" x14ac:dyDescent="0.25">
      <c r="E17096"/>
      <c r="M17096"/>
    </row>
    <row r="17097" spans="5:13" x14ac:dyDescent="0.25">
      <c r="E17097"/>
      <c r="M17097"/>
    </row>
    <row r="17098" spans="5:13" x14ac:dyDescent="0.25">
      <c r="E17098"/>
      <c r="M17098"/>
    </row>
    <row r="17099" spans="5:13" x14ac:dyDescent="0.25">
      <c r="E17099"/>
      <c r="M17099"/>
    </row>
    <row r="17100" spans="5:13" x14ac:dyDescent="0.25">
      <c r="E17100"/>
      <c r="M17100"/>
    </row>
    <row r="17101" spans="5:13" x14ac:dyDescent="0.25">
      <c r="E17101"/>
      <c r="M17101"/>
    </row>
    <row r="17102" spans="5:13" x14ac:dyDescent="0.25">
      <c r="E17102"/>
      <c r="M17102"/>
    </row>
    <row r="17103" spans="5:13" x14ac:dyDescent="0.25">
      <c r="E17103"/>
      <c r="M17103"/>
    </row>
    <row r="17104" spans="5:13" x14ac:dyDescent="0.25">
      <c r="E17104"/>
      <c r="M17104"/>
    </row>
    <row r="17105" spans="5:13" x14ac:dyDescent="0.25">
      <c r="E17105"/>
      <c r="M17105"/>
    </row>
    <row r="17106" spans="5:13" x14ac:dyDescent="0.25">
      <c r="E17106"/>
      <c r="M17106"/>
    </row>
    <row r="17107" spans="5:13" x14ac:dyDescent="0.25">
      <c r="E17107"/>
      <c r="M17107"/>
    </row>
    <row r="17108" spans="5:13" x14ac:dyDescent="0.25">
      <c r="E17108"/>
      <c r="M17108"/>
    </row>
    <row r="17109" spans="5:13" x14ac:dyDescent="0.25">
      <c r="E17109"/>
      <c r="M17109"/>
    </row>
    <row r="17110" spans="5:13" x14ac:dyDescent="0.25">
      <c r="E17110"/>
      <c r="M17110"/>
    </row>
    <row r="17111" spans="5:13" x14ac:dyDescent="0.25">
      <c r="E17111"/>
      <c r="M17111"/>
    </row>
    <row r="17112" spans="5:13" x14ac:dyDescent="0.25">
      <c r="E17112"/>
      <c r="M17112"/>
    </row>
    <row r="17113" spans="5:13" x14ac:dyDescent="0.25">
      <c r="E17113"/>
      <c r="M17113"/>
    </row>
    <row r="17114" spans="5:13" x14ac:dyDescent="0.25">
      <c r="E17114"/>
      <c r="M17114"/>
    </row>
    <row r="17115" spans="5:13" x14ac:dyDescent="0.25">
      <c r="E17115"/>
      <c r="M17115"/>
    </row>
    <row r="17116" spans="5:13" x14ac:dyDescent="0.25">
      <c r="E17116"/>
      <c r="M17116"/>
    </row>
    <row r="17117" spans="5:13" x14ac:dyDescent="0.25">
      <c r="E17117"/>
      <c r="M17117"/>
    </row>
    <row r="17118" spans="5:13" x14ac:dyDescent="0.25">
      <c r="E17118"/>
      <c r="M17118"/>
    </row>
    <row r="17119" spans="5:13" x14ac:dyDescent="0.25">
      <c r="E17119"/>
      <c r="M17119"/>
    </row>
    <row r="17120" spans="5:13" x14ac:dyDescent="0.25">
      <c r="E17120"/>
      <c r="M17120"/>
    </row>
    <row r="17121" spans="5:13" x14ac:dyDescent="0.25">
      <c r="E17121"/>
      <c r="M17121"/>
    </row>
    <row r="17122" spans="5:13" x14ac:dyDescent="0.25">
      <c r="E17122"/>
      <c r="M17122"/>
    </row>
    <row r="17123" spans="5:13" x14ac:dyDescent="0.25">
      <c r="E17123"/>
      <c r="M17123"/>
    </row>
    <row r="17124" spans="5:13" x14ac:dyDescent="0.25">
      <c r="E17124"/>
      <c r="M17124"/>
    </row>
    <row r="17125" spans="5:13" x14ac:dyDescent="0.25">
      <c r="E17125"/>
      <c r="M17125"/>
    </row>
    <row r="17126" spans="5:13" x14ac:dyDescent="0.25">
      <c r="E17126"/>
      <c r="M17126"/>
    </row>
    <row r="17127" spans="5:13" x14ac:dyDescent="0.25">
      <c r="E17127"/>
      <c r="M17127"/>
    </row>
    <row r="17128" spans="5:13" x14ac:dyDescent="0.25">
      <c r="E17128"/>
      <c r="M17128"/>
    </row>
    <row r="17129" spans="5:13" x14ac:dyDescent="0.25">
      <c r="E17129"/>
      <c r="M17129"/>
    </row>
    <row r="17130" spans="5:13" x14ac:dyDescent="0.25">
      <c r="E17130"/>
      <c r="M17130"/>
    </row>
    <row r="17131" spans="5:13" x14ac:dyDescent="0.25">
      <c r="E17131"/>
      <c r="M17131"/>
    </row>
    <row r="17132" spans="5:13" x14ac:dyDescent="0.25">
      <c r="E17132"/>
      <c r="M17132"/>
    </row>
    <row r="17133" spans="5:13" x14ac:dyDescent="0.25">
      <c r="E17133"/>
      <c r="M17133"/>
    </row>
    <row r="17134" spans="5:13" x14ac:dyDescent="0.25">
      <c r="E17134"/>
      <c r="M17134"/>
    </row>
    <row r="17135" spans="5:13" x14ac:dyDescent="0.25">
      <c r="E17135"/>
      <c r="M17135"/>
    </row>
    <row r="17136" spans="5:13" x14ac:dyDescent="0.25">
      <c r="E17136"/>
      <c r="M17136"/>
    </row>
    <row r="17137" spans="5:13" x14ac:dyDescent="0.25">
      <c r="E17137"/>
      <c r="M17137"/>
    </row>
    <row r="17138" spans="5:13" x14ac:dyDescent="0.25">
      <c r="E17138"/>
      <c r="M17138"/>
    </row>
    <row r="17139" spans="5:13" x14ac:dyDescent="0.25">
      <c r="E17139"/>
      <c r="M17139"/>
    </row>
    <row r="17140" spans="5:13" x14ac:dyDescent="0.25">
      <c r="E17140"/>
      <c r="M17140"/>
    </row>
    <row r="17141" spans="5:13" x14ac:dyDescent="0.25">
      <c r="E17141"/>
      <c r="M17141"/>
    </row>
    <row r="17142" spans="5:13" x14ac:dyDescent="0.25">
      <c r="E17142"/>
      <c r="M17142"/>
    </row>
    <row r="17143" spans="5:13" x14ac:dyDescent="0.25">
      <c r="E17143"/>
      <c r="M17143"/>
    </row>
    <row r="17144" spans="5:13" x14ac:dyDescent="0.25">
      <c r="E17144"/>
      <c r="M17144"/>
    </row>
    <row r="17145" spans="5:13" x14ac:dyDescent="0.25">
      <c r="E17145"/>
      <c r="M17145"/>
    </row>
    <row r="17146" spans="5:13" x14ac:dyDescent="0.25">
      <c r="E17146"/>
      <c r="M17146"/>
    </row>
    <row r="17147" spans="5:13" x14ac:dyDescent="0.25">
      <c r="E17147"/>
      <c r="M17147"/>
    </row>
    <row r="17148" spans="5:13" x14ac:dyDescent="0.25">
      <c r="E17148"/>
      <c r="M17148"/>
    </row>
    <row r="17149" spans="5:13" x14ac:dyDescent="0.25">
      <c r="E17149"/>
      <c r="M17149"/>
    </row>
    <row r="17150" spans="5:13" x14ac:dyDescent="0.25">
      <c r="E17150"/>
      <c r="M17150"/>
    </row>
    <row r="17151" spans="5:13" x14ac:dyDescent="0.25">
      <c r="E17151"/>
      <c r="M17151"/>
    </row>
    <row r="17152" spans="5:13" x14ac:dyDescent="0.25">
      <c r="E17152"/>
      <c r="M17152"/>
    </row>
    <row r="17153" spans="5:13" x14ac:dyDescent="0.25">
      <c r="E17153"/>
      <c r="M17153"/>
    </row>
    <row r="17154" spans="5:13" x14ac:dyDescent="0.25">
      <c r="E17154"/>
      <c r="M17154"/>
    </row>
    <row r="17155" spans="5:13" x14ac:dyDescent="0.25">
      <c r="E17155"/>
      <c r="M17155"/>
    </row>
    <row r="17156" spans="5:13" x14ac:dyDescent="0.25">
      <c r="E17156"/>
      <c r="M17156"/>
    </row>
    <row r="17157" spans="5:13" x14ac:dyDescent="0.25">
      <c r="E17157"/>
      <c r="M17157"/>
    </row>
    <row r="17158" spans="5:13" x14ac:dyDescent="0.25">
      <c r="E17158"/>
      <c r="M17158"/>
    </row>
    <row r="17159" spans="5:13" x14ac:dyDescent="0.25">
      <c r="E17159"/>
      <c r="M17159"/>
    </row>
    <row r="17160" spans="5:13" x14ac:dyDescent="0.25">
      <c r="E17160"/>
      <c r="M17160"/>
    </row>
    <row r="17161" spans="5:13" x14ac:dyDescent="0.25">
      <c r="E17161"/>
      <c r="M17161"/>
    </row>
    <row r="17162" spans="5:13" x14ac:dyDescent="0.25">
      <c r="E17162"/>
      <c r="M17162"/>
    </row>
    <row r="17163" spans="5:13" x14ac:dyDescent="0.25">
      <c r="E17163"/>
      <c r="M17163"/>
    </row>
    <row r="17164" spans="5:13" x14ac:dyDescent="0.25">
      <c r="E17164"/>
      <c r="M17164"/>
    </row>
    <row r="17165" spans="5:13" x14ac:dyDescent="0.25">
      <c r="E17165"/>
      <c r="M17165"/>
    </row>
    <row r="17166" spans="5:13" x14ac:dyDescent="0.25">
      <c r="E17166"/>
      <c r="M17166"/>
    </row>
    <row r="17167" spans="5:13" x14ac:dyDescent="0.25">
      <c r="E17167"/>
      <c r="M17167"/>
    </row>
    <row r="17168" spans="5:13" x14ac:dyDescent="0.25">
      <c r="E17168"/>
      <c r="M17168"/>
    </row>
    <row r="17169" spans="5:13" x14ac:dyDescent="0.25">
      <c r="E17169"/>
      <c r="M17169"/>
    </row>
    <row r="17170" spans="5:13" x14ac:dyDescent="0.25">
      <c r="E17170"/>
      <c r="M17170"/>
    </row>
    <row r="17171" spans="5:13" x14ac:dyDescent="0.25">
      <c r="E17171"/>
      <c r="M17171"/>
    </row>
    <row r="17172" spans="5:13" x14ac:dyDescent="0.25">
      <c r="E17172"/>
      <c r="M17172"/>
    </row>
    <row r="17173" spans="5:13" x14ac:dyDescent="0.25">
      <c r="E17173"/>
      <c r="M17173"/>
    </row>
    <row r="17174" spans="5:13" x14ac:dyDescent="0.25">
      <c r="E17174"/>
      <c r="M17174"/>
    </row>
    <row r="17175" spans="5:13" x14ac:dyDescent="0.25">
      <c r="E17175"/>
      <c r="M17175"/>
    </row>
    <row r="17176" spans="5:13" x14ac:dyDescent="0.25">
      <c r="E17176"/>
      <c r="M17176"/>
    </row>
    <row r="17177" spans="5:13" x14ac:dyDescent="0.25">
      <c r="E17177"/>
      <c r="M17177"/>
    </row>
    <row r="17178" spans="5:13" x14ac:dyDescent="0.25">
      <c r="E17178"/>
      <c r="M17178"/>
    </row>
    <row r="17179" spans="5:13" x14ac:dyDescent="0.25">
      <c r="E17179"/>
      <c r="M17179"/>
    </row>
    <row r="17180" spans="5:13" x14ac:dyDescent="0.25">
      <c r="E17180"/>
      <c r="M17180"/>
    </row>
    <row r="17181" spans="5:13" x14ac:dyDescent="0.25">
      <c r="E17181"/>
      <c r="M17181"/>
    </row>
    <row r="17182" spans="5:13" x14ac:dyDescent="0.25">
      <c r="E17182"/>
      <c r="M17182"/>
    </row>
    <row r="17183" spans="5:13" x14ac:dyDescent="0.25">
      <c r="E17183"/>
      <c r="M17183"/>
    </row>
    <row r="17184" spans="5:13" x14ac:dyDescent="0.25">
      <c r="E17184"/>
      <c r="M17184"/>
    </row>
    <row r="17185" spans="5:13" x14ac:dyDescent="0.25">
      <c r="E17185"/>
      <c r="M17185"/>
    </row>
    <row r="17186" spans="5:13" x14ac:dyDescent="0.25">
      <c r="E17186"/>
      <c r="M17186"/>
    </row>
    <row r="17187" spans="5:13" x14ac:dyDescent="0.25">
      <c r="E17187"/>
      <c r="M17187"/>
    </row>
    <row r="17188" spans="5:13" x14ac:dyDescent="0.25">
      <c r="E17188"/>
      <c r="M17188"/>
    </row>
    <row r="17189" spans="5:13" x14ac:dyDescent="0.25">
      <c r="E17189"/>
      <c r="M17189"/>
    </row>
    <row r="17190" spans="5:13" x14ac:dyDescent="0.25">
      <c r="E17190"/>
      <c r="M17190"/>
    </row>
    <row r="17191" spans="5:13" x14ac:dyDescent="0.25">
      <c r="E17191"/>
      <c r="M17191"/>
    </row>
    <row r="17192" spans="5:13" x14ac:dyDescent="0.25">
      <c r="E17192"/>
      <c r="M17192"/>
    </row>
    <row r="17193" spans="5:13" x14ac:dyDescent="0.25">
      <c r="E17193"/>
      <c r="M17193"/>
    </row>
    <row r="17194" spans="5:13" x14ac:dyDescent="0.25">
      <c r="E17194"/>
      <c r="M17194"/>
    </row>
    <row r="17195" spans="5:13" x14ac:dyDescent="0.25">
      <c r="E17195"/>
      <c r="M17195"/>
    </row>
    <row r="17196" spans="5:13" x14ac:dyDescent="0.25">
      <c r="E17196"/>
      <c r="M17196"/>
    </row>
    <row r="17197" spans="5:13" x14ac:dyDescent="0.25">
      <c r="E17197"/>
      <c r="M17197"/>
    </row>
    <row r="17198" spans="5:13" x14ac:dyDescent="0.25">
      <c r="E17198"/>
      <c r="M17198"/>
    </row>
    <row r="17199" spans="5:13" x14ac:dyDescent="0.25">
      <c r="E17199"/>
      <c r="M17199"/>
    </row>
    <row r="17200" spans="5:13" x14ac:dyDescent="0.25">
      <c r="E17200"/>
      <c r="M17200"/>
    </row>
    <row r="17201" spans="5:13" x14ac:dyDescent="0.25">
      <c r="E17201"/>
      <c r="M17201"/>
    </row>
    <row r="17202" spans="5:13" x14ac:dyDescent="0.25">
      <c r="E17202"/>
      <c r="M17202"/>
    </row>
    <row r="17203" spans="5:13" x14ac:dyDescent="0.25">
      <c r="E17203"/>
      <c r="M17203"/>
    </row>
    <row r="17204" spans="5:13" x14ac:dyDescent="0.25">
      <c r="E17204"/>
      <c r="M17204"/>
    </row>
    <row r="17205" spans="5:13" x14ac:dyDescent="0.25">
      <c r="E17205"/>
      <c r="M17205"/>
    </row>
    <row r="17206" spans="5:13" x14ac:dyDescent="0.25">
      <c r="E17206"/>
      <c r="M17206"/>
    </row>
    <row r="17207" spans="5:13" x14ac:dyDescent="0.25">
      <c r="E17207"/>
      <c r="M17207"/>
    </row>
    <row r="17208" spans="5:13" x14ac:dyDescent="0.25">
      <c r="E17208"/>
      <c r="M17208"/>
    </row>
    <row r="17209" spans="5:13" x14ac:dyDescent="0.25">
      <c r="E17209"/>
      <c r="M17209"/>
    </row>
    <row r="17210" spans="5:13" x14ac:dyDescent="0.25">
      <c r="E17210"/>
      <c r="M17210"/>
    </row>
    <row r="17211" spans="5:13" x14ac:dyDescent="0.25">
      <c r="E17211"/>
      <c r="M17211"/>
    </row>
    <row r="17212" spans="5:13" x14ac:dyDescent="0.25">
      <c r="E17212"/>
      <c r="M17212"/>
    </row>
    <row r="17213" spans="5:13" x14ac:dyDescent="0.25">
      <c r="E17213"/>
      <c r="M17213"/>
    </row>
    <row r="17214" spans="5:13" x14ac:dyDescent="0.25">
      <c r="E17214"/>
      <c r="M17214"/>
    </row>
    <row r="17215" spans="5:13" x14ac:dyDescent="0.25">
      <c r="E17215"/>
      <c r="M17215"/>
    </row>
    <row r="17216" spans="5:13" x14ac:dyDescent="0.25">
      <c r="E17216"/>
      <c r="M17216"/>
    </row>
    <row r="17217" spans="5:13" x14ac:dyDescent="0.25">
      <c r="E17217"/>
      <c r="M17217"/>
    </row>
    <row r="17218" spans="5:13" x14ac:dyDescent="0.25">
      <c r="E17218"/>
      <c r="M17218"/>
    </row>
    <row r="17219" spans="5:13" x14ac:dyDescent="0.25">
      <c r="E17219"/>
      <c r="M17219"/>
    </row>
    <row r="17220" spans="5:13" x14ac:dyDescent="0.25">
      <c r="E17220"/>
      <c r="M17220"/>
    </row>
    <row r="17221" spans="5:13" x14ac:dyDescent="0.25">
      <c r="E17221"/>
      <c r="M17221"/>
    </row>
    <row r="17222" spans="5:13" x14ac:dyDescent="0.25">
      <c r="E17222"/>
      <c r="M17222"/>
    </row>
    <row r="17223" spans="5:13" x14ac:dyDescent="0.25">
      <c r="E17223"/>
      <c r="M17223"/>
    </row>
    <row r="17224" spans="5:13" x14ac:dyDescent="0.25">
      <c r="E17224"/>
      <c r="M17224"/>
    </row>
    <row r="17225" spans="5:13" x14ac:dyDescent="0.25">
      <c r="E17225"/>
      <c r="M17225"/>
    </row>
    <row r="17226" spans="5:13" x14ac:dyDescent="0.25">
      <c r="E17226"/>
      <c r="M17226"/>
    </row>
    <row r="17227" spans="5:13" x14ac:dyDescent="0.25">
      <c r="E17227"/>
      <c r="M17227"/>
    </row>
    <row r="17228" spans="5:13" x14ac:dyDescent="0.25">
      <c r="E17228"/>
      <c r="M17228"/>
    </row>
    <row r="17229" spans="5:13" x14ac:dyDescent="0.25">
      <c r="E17229"/>
      <c r="M17229"/>
    </row>
    <row r="17230" spans="5:13" x14ac:dyDescent="0.25">
      <c r="E17230"/>
      <c r="M17230"/>
    </row>
    <row r="17231" spans="5:13" x14ac:dyDescent="0.25">
      <c r="E17231"/>
      <c r="M17231"/>
    </row>
    <row r="17232" spans="5:13" x14ac:dyDescent="0.25">
      <c r="E17232"/>
      <c r="M17232"/>
    </row>
    <row r="17233" spans="5:13" x14ac:dyDescent="0.25">
      <c r="E17233"/>
      <c r="M17233"/>
    </row>
    <row r="17234" spans="5:13" x14ac:dyDescent="0.25">
      <c r="E17234"/>
      <c r="M17234"/>
    </row>
    <row r="17235" spans="5:13" x14ac:dyDescent="0.25">
      <c r="E17235"/>
      <c r="M17235"/>
    </row>
    <row r="17236" spans="5:13" x14ac:dyDescent="0.25">
      <c r="E17236"/>
      <c r="M17236"/>
    </row>
    <row r="17237" spans="5:13" x14ac:dyDescent="0.25">
      <c r="E17237"/>
      <c r="M17237"/>
    </row>
    <row r="17238" spans="5:13" x14ac:dyDescent="0.25">
      <c r="E17238"/>
      <c r="M17238"/>
    </row>
    <row r="17239" spans="5:13" x14ac:dyDescent="0.25">
      <c r="E17239"/>
      <c r="M17239"/>
    </row>
    <row r="17240" spans="5:13" x14ac:dyDescent="0.25">
      <c r="E17240"/>
      <c r="M17240"/>
    </row>
    <row r="17241" spans="5:13" x14ac:dyDescent="0.25">
      <c r="E17241"/>
      <c r="M17241"/>
    </row>
    <row r="17242" spans="5:13" x14ac:dyDescent="0.25">
      <c r="E17242"/>
      <c r="M17242"/>
    </row>
    <row r="17243" spans="5:13" x14ac:dyDescent="0.25">
      <c r="E17243"/>
      <c r="M17243"/>
    </row>
    <row r="17244" spans="5:13" x14ac:dyDescent="0.25">
      <c r="E17244"/>
      <c r="M17244"/>
    </row>
    <row r="17245" spans="5:13" x14ac:dyDescent="0.25">
      <c r="E17245"/>
      <c r="M17245"/>
    </row>
    <row r="17246" spans="5:13" x14ac:dyDescent="0.25">
      <c r="E17246"/>
      <c r="M17246"/>
    </row>
    <row r="17247" spans="5:13" x14ac:dyDescent="0.25">
      <c r="E17247"/>
      <c r="M17247"/>
    </row>
    <row r="17248" spans="5:13" x14ac:dyDescent="0.25">
      <c r="E17248"/>
      <c r="M17248"/>
    </row>
    <row r="17249" spans="5:13" x14ac:dyDescent="0.25">
      <c r="E17249"/>
      <c r="M17249"/>
    </row>
    <row r="17250" spans="5:13" x14ac:dyDescent="0.25">
      <c r="E17250"/>
      <c r="M17250"/>
    </row>
    <row r="17251" spans="5:13" x14ac:dyDescent="0.25">
      <c r="E17251"/>
      <c r="M17251"/>
    </row>
    <row r="17252" spans="5:13" x14ac:dyDescent="0.25">
      <c r="E17252"/>
      <c r="M17252"/>
    </row>
    <row r="17253" spans="5:13" x14ac:dyDescent="0.25">
      <c r="E17253"/>
      <c r="M17253"/>
    </row>
    <row r="17254" spans="5:13" x14ac:dyDescent="0.25">
      <c r="E17254"/>
      <c r="M17254"/>
    </row>
    <row r="17255" spans="5:13" x14ac:dyDescent="0.25">
      <c r="E17255"/>
      <c r="M17255"/>
    </row>
    <row r="17256" spans="5:13" x14ac:dyDescent="0.25">
      <c r="E17256"/>
      <c r="M17256"/>
    </row>
    <row r="17257" spans="5:13" x14ac:dyDescent="0.25">
      <c r="E17257"/>
      <c r="M17257"/>
    </row>
    <row r="17258" spans="5:13" x14ac:dyDescent="0.25">
      <c r="E17258"/>
      <c r="M17258"/>
    </row>
    <row r="17259" spans="5:13" x14ac:dyDescent="0.25">
      <c r="E17259"/>
      <c r="M17259"/>
    </row>
    <row r="17260" spans="5:13" x14ac:dyDescent="0.25">
      <c r="E17260"/>
      <c r="M17260"/>
    </row>
    <row r="17261" spans="5:13" x14ac:dyDescent="0.25">
      <c r="E17261"/>
      <c r="M17261"/>
    </row>
    <row r="17262" spans="5:13" x14ac:dyDescent="0.25">
      <c r="E17262"/>
      <c r="M17262"/>
    </row>
    <row r="17263" spans="5:13" x14ac:dyDescent="0.25">
      <c r="E17263"/>
      <c r="M17263"/>
    </row>
    <row r="17264" spans="5:13" x14ac:dyDescent="0.25">
      <c r="E17264"/>
      <c r="M17264"/>
    </row>
    <row r="17265" spans="5:13" x14ac:dyDescent="0.25">
      <c r="E17265"/>
      <c r="M17265"/>
    </row>
    <row r="17266" spans="5:13" x14ac:dyDescent="0.25">
      <c r="E17266"/>
      <c r="M17266"/>
    </row>
    <row r="17267" spans="5:13" x14ac:dyDescent="0.25">
      <c r="E17267"/>
      <c r="M17267"/>
    </row>
    <row r="17268" spans="5:13" x14ac:dyDescent="0.25">
      <c r="E17268"/>
      <c r="M17268"/>
    </row>
    <row r="17269" spans="5:13" x14ac:dyDescent="0.25">
      <c r="E17269"/>
      <c r="M17269"/>
    </row>
    <row r="17270" spans="5:13" x14ac:dyDescent="0.25">
      <c r="E17270"/>
      <c r="M17270"/>
    </row>
    <row r="17271" spans="5:13" x14ac:dyDescent="0.25">
      <c r="E17271"/>
      <c r="M17271"/>
    </row>
    <row r="17272" spans="5:13" x14ac:dyDescent="0.25">
      <c r="E17272"/>
      <c r="M17272"/>
    </row>
    <row r="17273" spans="5:13" x14ac:dyDescent="0.25">
      <c r="E17273"/>
      <c r="M17273"/>
    </row>
    <row r="17274" spans="5:13" x14ac:dyDescent="0.25">
      <c r="E17274"/>
      <c r="M17274"/>
    </row>
    <row r="17275" spans="5:13" x14ac:dyDescent="0.25">
      <c r="E17275"/>
      <c r="M17275"/>
    </row>
    <row r="17276" spans="5:13" x14ac:dyDescent="0.25">
      <c r="E17276"/>
      <c r="M17276"/>
    </row>
    <row r="17277" spans="5:13" x14ac:dyDescent="0.25">
      <c r="E17277"/>
      <c r="M17277"/>
    </row>
    <row r="17278" spans="5:13" x14ac:dyDescent="0.25">
      <c r="E17278"/>
      <c r="M17278"/>
    </row>
    <row r="17279" spans="5:13" x14ac:dyDescent="0.25">
      <c r="E17279"/>
      <c r="M17279"/>
    </row>
    <row r="17280" spans="5:13" x14ac:dyDescent="0.25">
      <c r="E17280"/>
      <c r="M17280"/>
    </row>
    <row r="17281" spans="5:13" x14ac:dyDescent="0.25">
      <c r="E17281"/>
      <c r="M17281"/>
    </row>
    <row r="17282" spans="5:13" x14ac:dyDescent="0.25">
      <c r="E17282"/>
      <c r="M17282"/>
    </row>
    <row r="17283" spans="5:13" x14ac:dyDescent="0.25">
      <c r="E17283"/>
      <c r="M17283"/>
    </row>
    <row r="17284" spans="5:13" x14ac:dyDescent="0.25">
      <c r="E17284"/>
      <c r="M17284"/>
    </row>
    <row r="17285" spans="5:13" x14ac:dyDescent="0.25">
      <c r="E17285"/>
      <c r="M17285"/>
    </row>
    <row r="17286" spans="5:13" x14ac:dyDescent="0.25">
      <c r="E17286"/>
      <c r="M17286"/>
    </row>
    <row r="17287" spans="5:13" x14ac:dyDescent="0.25">
      <c r="E17287"/>
      <c r="M17287"/>
    </row>
    <row r="17288" spans="5:13" x14ac:dyDescent="0.25">
      <c r="E17288"/>
      <c r="M17288"/>
    </row>
    <row r="17289" spans="5:13" x14ac:dyDescent="0.25">
      <c r="E17289"/>
      <c r="M17289"/>
    </row>
    <row r="17290" spans="5:13" x14ac:dyDescent="0.25">
      <c r="E17290"/>
      <c r="M17290"/>
    </row>
    <row r="17291" spans="5:13" x14ac:dyDescent="0.25">
      <c r="E17291"/>
      <c r="M17291"/>
    </row>
    <row r="17292" spans="5:13" x14ac:dyDescent="0.25">
      <c r="E17292"/>
      <c r="M17292"/>
    </row>
    <row r="17293" spans="5:13" x14ac:dyDescent="0.25">
      <c r="E17293"/>
      <c r="M17293"/>
    </row>
    <row r="17294" spans="5:13" x14ac:dyDescent="0.25">
      <c r="E17294"/>
      <c r="M17294"/>
    </row>
    <row r="17295" spans="5:13" x14ac:dyDescent="0.25">
      <c r="E17295"/>
      <c r="M17295"/>
    </row>
    <row r="17296" spans="5:13" x14ac:dyDescent="0.25">
      <c r="E17296"/>
      <c r="M17296"/>
    </row>
    <row r="17297" spans="5:13" x14ac:dyDescent="0.25">
      <c r="E17297"/>
      <c r="M17297"/>
    </row>
    <row r="17298" spans="5:13" x14ac:dyDescent="0.25">
      <c r="E17298"/>
      <c r="M17298"/>
    </row>
    <row r="17299" spans="5:13" x14ac:dyDescent="0.25">
      <c r="E17299"/>
      <c r="M17299"/>
    </row>
    <row r="17300" spans="5:13" x14ac:dyDescent="0.25">
      <c r="E17300"/>
      <c r="M17300"/>
    </row>
    <row r="17301" spans="5:13" x14ac:dyDescent="0.25">
      <c r="E17301"/>
      <c r="M17301"/>
    </row>
    <row r="17302" spans="5:13" x14ac:dyDescent="0.25">
      <c r="E17302"/>
      <c r="M17302"/>
    </row>
    <row r="17303" spans="5:13" x14ac:dyDescent="0.25">
      <c r="E17303"/>
      <c r="M17303"/>
    </row>
    <row r="17304" spans="5:13" x14ac:dyDescent="0.25">
      <c r="E17304"/>
      <c r="M17304"/>
    </row>
    <row r="17305" spans="5:13" x14ac:dyDescent="0.25">
      <c r="E17305"/>
      <c r="M17305"/>
    </row>
    <row r="17306" spans="5:13" x14ac:dyDescent="0.25">
      <c r="E17306"/>
      <c r="M17306"/>
    </row>
    <row r="17307" spans="5:13" x14ac:dyDescent="0.25">
      <c r="E17307"/>
      <c r="M17307"/>
    </row>
    <row r="17308" spans="5:13" x14ac:dyDescent="0.25">
      <c r="E17308"/>
      <c r="M17308"/>
    </row>
    <row r="17309" spans="5:13" x14ac:dyDescent="0.25">
      <c r="E17309"/>
      <c r="M17309"/>
    </row>
    <row r="17310" spans="5:13" x14ac:dyDescent="0.25">
      <c r="E17310"/>
      <c r="M17310"/>
    </row>
    <row r="17311" spans="5:13" x14ac:dyDescent="0.25">
      <c r="E17311"/>
      <c r="M17311"/>
    </row>
    <row r="17312" spans="5:13" x14ac:dyDescent="0.25">
      <c r="E17312"/>
      <c r="M17312"/>
    </row>
    <row r="17313" spans="5:13" x14ac:dyDescent="0.25">
      <c r="E17313"/>
      <c r="M17313"/>
    </row>
    <row r="17314" spans="5:13" x14ac:dyDescent="0.25">
      <c r="E17314"/>
      <c r="M17314"/>
    </row>
    <row r="17315" spans="5:13" x14ac:dyDescent="0.25">
      <c r="E17315"/>
      <c r="M17315"/>
    </row>
    <row r="17316" spans="5:13" x14ac:dyDescent="0.25">
      <c r="E17316"/>
      <c r="M17316"/>
    </row>
    <row r="17317" spans="5:13" x14ac:dyDescent="0.25">
      <c r="E17317"/>
      <c r="M17317"/>
    </row>
    <row r="17318" spans="5:13" x14ac:dyDescent="0.25">
      <c r="E17318"/>
      <c r="M17318"/>
    </row>
    <row r="17319" spans="5:13" x14ac:dyDescent="0.25">
      <c r="E17319"/>
      <c r="M17319"/>
    </row>
    <row r="17320" spans="5:13" x14ac:dyDescent="0.25">
      <c r="E17320"/>
      <c r="M17320"/>
    </row>
    <row r="17321" spans="5:13" x14ac:dyDescent="0.25">
      <c r="E17321"/>
      <c r="M17321"/>
    </row>
    <row r="17322" spans="5:13" x14ac:dyDescent="0.25">
      <c r="E17322"/>
      <c r="M17322"/>
    </row>
    <row r="17323" spans="5:13" x14ac:dyDescent="0.25">
      <c r="E17323"/>
      <c r="M17323"/>
    </row>
    <row r="17324" spans="5:13" x14ac:dyDescent="0.25">
      <c r="E17324"/>
      <c r="M17324"/>
    </row>
    <row r="17325" spans="5:13" x14ac:dyDescent="0.25">
      <c r="E17325"/>
      <c r="M17325"/>
    </row>
    <row r="17326" spans="5:13" x14ac:dyDescent="0.25">
      <c r="E17326"/>
      <c r="M17326"/>
    </row>
    <row r="17327" spans="5:13" x14ac:dyDescent="0.25">
      <c r="E17327"/>
      <c r="M17327"/>
    </row>
    <row r="17328" spans="5:13" x14ac:dyDescent="0.25">
      <c r="E17328"/>
      <c r="M17328"/>
    </row>
    <row r="17329" spans="5:13" x14ac:dyDescent="0.25">
      <c r="E17329"/>
      <c r="M17329"/>
    </row>
    <row r="17330" spans="5:13" x14ac:dyDescent="0.25">
      <c r="E17330"/>
      <c r="M17330"/>
    </row>
    <row r="17331" spans="5:13" x14ac:dyDescent="0.25">
      <c r="E17331"/>
      <c r="M17331"/>
    </row>
    <row r="17332" spans="5:13" x14ac:dyDescent="0.25">
      <c r="E17332"/>
      <c r="M17332"/>
    </row>
    <row r="17333" spans="5:13" x14ac:dyDescent="0.25">
      <c r="E17333"/>
      <c r="M17333"/>
    </row>
    <row r="17334" spans="5:13" x14ac:dyDescent="0.25">
      <c r="E17334"/>
      <c r="M17334"/>
    </row>
    <row r="17335" spans="5:13" x14ac:dyDescent="0.25">
      <c r="E17335"/>
      <c r="M17335"/>
    </row>
    <row r="17336" spans="5:13" x14ac:dyDescent="0.25">
      <c r="E17336"/>
      <c r="M17336"/>
    </row>
    <row r="17337" spans="5:13" x14ac:dyDescent="0.25">
      <c r="E17337"/>
      <c r="M17337"/>
    </row>
    <row r="17338" spans="5:13" x14ac:dyDescent="0.25">
      <c r="E17338"/>
      <c r="M17338"/>
    </row>
    <row r="17339" spans="5:13" x14ac:dyDescent="0.25">
      <c r="E17339"/>
      <c r="M17339"/>
    </row>
    <row r="17340" spans="5:13" x14ac:dyDescent="0.25">
      <c r="E17340"/>
      <c r="M17340"/>
    </row>
    <row r="17341" spans="5:13" x14ac:dyDescent="0.25">
      <c r="E17341"/>
      <c r="M17341"/>
    </row>
    <row r="17342" spans="5:13" x14ac:dyDescent="0.25">
      <c r="E17342"/>
      <c r="M17342"/>
    </row>
    <row r="17343" spans="5:13" x14ac:dyDescent="0.25">
      <c r="E17343"/>
      <c r="M17343"/>
    </row>
    <row r="17344" spans="5:13" x14ac:dyDescent="0.25">
      <c r="E17344"/>
      <c r="M17344"/>
    </row>
    <row r="17345" spans="5:13" x14ac:dyDescent="0.25">
      <c r="E17345"/>
      <c r="M17345"/>
    </row>
    <row r="17346" spans="5:13" x14ac:dyDescent="0.25">
      <c r="E17346"/>
      <c r="M17346"/>
    </row>
    <row r="17347" spans="5:13" x14ac:dyDescent="0.25">
      <c r="E17347"/>
      <c r="M17347"/>
    </row>
    <row r="17348" spans="5:13" x14ac:dyDescent="0.25">
      <c r="E17348"/>
      <c r="M17348"/>
    </row>
    <row r="17349" spans="5:13" x14ac:dyDescent="0.25">
      <c r="E17349"/>
      <c r="M17349"/>
    </row>
    <row r="17350" spans="5:13" x14ac:dyDescent="0.25">
      <c r="E17350"/>
      <c r="M17350"/>
    </row>
    <row r="17351" spans="5:13" x14ac:dyDescent="0.25">
      <c r="E17351"/>
      <c r="M17351"/>
    </row>
    <row r="17352" spans="5:13" x14ac:dyDescent="0.25">
      <c r="E17352"/>
      <c r="M17352"/>
    </row>
    <row r="17353" spans="5:13" x14ac:dyDescent="0.25">
      <c r="E17353"/>
      <c r="M17353"/>
    </row>
    <row r="17354" spans="5:13" x14ac:dyDescent="0.25">
      <c r="E17354"/>
      <c r="M17354"/>
    </row>
    <row r="17355" spans="5:13" x14ac:dyDescent="0.25">
      <c r="E17355"/>
      <c r="M17355"/>
    </row>
    <row r="17356" spans="5:13" x14ac:dyDescent="0.25">
      <c r="E17356"/>
      <c r="M17356"/>
    </row>
    <row r="17357" spans="5:13" x14ac:dyDescent="0.25">
      <c r="E17357"/>
      <c r="M17357"/>
    </row>
    <row r="17358" spans="5:13" x14ac:dyDescent="0.25">
      <c r="E17358"/>
      <c r="M17358"/>
    </row>
    <row r="17359" spans="5:13" x14ac:dyDescent="0.25">
      <c r="E17359"/>
      <c r="M17359"/>
    </row>
    <row r="17360" spans="5:13" x14ac:dyDescent="0.25">
      <c r="E17360"/>
      <c r="M17360"/>
    </row>
    <row r="17361" spans="5:13" x14ac:dyDescent="0.25">
      <c r="E17361"/>
      <c r="M17361"/>
    </row>
    <row r="17362" spans="5:13" x14ac:dyDescent="0.25">
      <c r="E17362"/>
      <c r="M17362"/>
    </row>
    <row r="17363" spans="5:13" x14ac:dyDescent="0.25">
      <c r="E17363"/>
      <c r="M17363"/>
    </row>
    <row r="17364" spans="5:13" x14ac:dyDescent="0.25">
      <c r="E17364"/>
      <c r="M17364"/>
    </row>
    <row r="17365" spans="5:13" x14ac:dyDescent="0.25">
      <c r="E17365"/>
      <c r="M17365"/>
    </row>
    <row r="17366" spans="5:13" x14ac:dyDescent="0.25">
      <c r="E17366"/>
      <c r="M17366"/>
    </row>
    <row r="17367" spans="5:13" x14ac:dyDescent="0.25">
      <c r="E17367"/>
      <c r="M17367"/>
    </row>
    <row r="17368" spans="5:13" x14ac:dyDescent="0.25">
      <c r="E17368"/>
      <c r="M17368"/>
    </row>
    <row r="17369" spans="5:13" x14ac:dyDescent="0.25">
      <c r="E17369"/>
      <c r="M17369"/>
    </row>
    <row r="17370" spans="5:13" x14ac:dyDescent="0.25">
      <c r="E17370"/>
      <c r="M17370"/>
    </row>
    <row r="17371" spans="5:13" x14ac:dyDescent="0.25">
      <c r="E17371"/>
      <c r="M17371"/>
    </row>
    <row r="17372" spans="5:13" x14ac:dyDescent="0.25">
      <c r="E17372"/>
      <c r="M17372"/>
    </row>
    <row r="17373" spans="5:13" x14ac:dyDescent="0.25">
      <c r="E17373"/>
      <c r="M17373"/>
    </row>
    <row r="17374" spans="5:13" x14ac:dyDescent="0.25">
      <c r="E17374"/>
      <c r="M17374"/>
    </row>
    <row r="17375" spans="5:13" x14ac:dyDescent="0.25">
      <c r="E17375"/>
      <c r="M17375"/>
    </row>
    <row r="17376" spans="5:13" x14ac:dyDescent="0.25">
      <c r="E17376"/>
      <c r="M17376"/>
    </row>
    <row r="17377" spans="5:13" x14ac:dyDescent="0.25">
      <c r="E17377"/>
      <c r="M17377"/>
    </row>
    <row r="17378" spans="5:13" x14ac:dyDescent="0.25">
      <c r="E17378"/>
      <c r="M17378"/>
    </row>
    <row r="17379" spans="5:13" x14ac:dyDescent="0.25">
      <c r="E17379"/>
      <c r="M17379"/>
    </row>
    <row r="17380" spans="5:13" x14ac:dyDescent="0.25">
      <c r="E17380"/>
      <c r="M17380"/>
    </row>
    <row r="17381" spans="5:13" x14ac:dyDescent="0.25">
      <c r="E17381"/>
      <c r="M17381"/>
    </row>
    <row r="17382" spans="5:13" x14ac:dyDescent="0.25">
      <c r="E17382"/>
      <c r="M17382"/>
    </row>
    <row r="17383" spans="5:13" x14ac:dyDescent="0.25">
      <c r="E17383"/>
      <c r="M17383"/>
    </row>
    <row r="17384" spans="5:13" x14ac:dyDescent="0.25">
      <c r="E17384"/>
      <c r="M17384"/>
    </row>
    <row r="17385" spans="5:13" x14ac:dyDescent="0.25">
      <c r="E17385"/>
      <c r="M17385"/>
    </row>
    <row r="17386" spans="5:13" x14ac:dyDescent="0.25">
      <c r="E17386"/>
      <c r="M17386"/>
    </row>
    <row r="17387" spans="5:13" x14ac:dyDescent="0.25">
      <c r="E17387"/>
      <c r="M17387"/>
    </row>
    <row r="17388" spans="5:13" x14ac:dyDescent="0.25">
      <c r="E17388"/>
      <c r="M17388"/>
    </row>
    <row r="17389" spans="5:13" x14ac:dyDescent="0.25">
      <c r="E17389"/>
      <c r="M17389"/>
    </row>
    <row r="17390" spans="5:13" x14ac:dyDescent="0.25">
      <c r="E17390"/>
      <c r="M17390"/>
    </row>
    <row r="17391" spans="5:13" x14ac:dyDescent="0.25">
      <c r="E17391"/>
      <c r="M17391"/>
    </row>
    <row r="17392" spans="5:13" x14ac:dyDescent="0.25">
      <c r="E17392"/>
      <c r="M17392"/>
    </row>
    <row r="17393" spans="5:13" x14ac:dyDescent="0.25">
      <c r="E17393"/>
      <c r="M17393"/>
    </row>
    <row r="17394" spans="5:13" x14ac:dyDescent="0.25">
      <c r="E17394"/>
      <c r="M17394"/>
    </row>
    <row r="17395" spans="5:13" x14ac:dyDescent="0.25">
      <c r="E17395"/>
      <c r="M17395"/>
    </row>
    <row r="17396" spans="5:13" x14ac:dyDescent="0.25">
      <c r="E17396"/>
      <c r="M17396"/>
    </row>
    <row r="17397" spans="5:13" x14ac:dyDescent="0.25">
      <c r="E17397"/>
      <c r="M17397"/>
    </row>
    <row r="17398" spans="5:13" x14ac:dyDescent="0.25">
      <c r="E17398"/>
      <c r="M17398"/>
    </row>
    <row r="17399" spans="5:13" x14ac:dyDescent="0.25">
      <c r="E17399"/>
      <c r="M17399"/>
    </row>
    <row r="17400" spans="5:13" x14ac:dyDescent="0.25">
      <c r="E17400"/>
      <c r="M17400"/>
    </row>
    <row r="17401" spans="5:13" x14ac:dyDescent="0.25">
      <c r="E17401"/>
      <c r="M17401"/>
    </row>
    <row r="17402" spans="5:13" x14ac:dyDescent="0.25">
      <c r="E17402"/>
      <c r="M17402"/>
    </row>
    <row r="17403" spans="5:13" x14ac:dyDescent="0.25">
      <c r="E17403"/>
      <c r="M17403"/>
    </row>
    <row r="17404" spans="5:13" x14ac:dyDescent="0.25">
      <c r="E17404"/>
      <c r="M17404"/>
    </row>
    <row r="17405" spans="5:13" x14ac:dyDescent="0.25">
      <c r="E17405"/>
      <c r="M17405"/>
    </row>
    <row r="17406" spans="5:13" x14ac:dyDescent="0.25">
      <c r="E17406"/>
      <c r="M17406"/>
    </row>
    <row r="17407" spans="5:13" x14ac:dyDescent="0.25">
      <c r="E17407"/>
      <c r="M17407"/>
    </row>
    <row r="17408" spans="5:13" x14ac:dyDescent="0.25">
      <c r="E17408"/>
      <c r="M17408"/>
    </row>
    <row r="17409" spans="5:13" x14ac:dyDescent="0.25">
      <c r="E17409"/>
      <c r="M17409"/>
    </row>
    <row r="17410" spans="5:13" x14ac:dyDescent="0.25">
      <c r="E17410"/>
      <c r="M17410"/>
    </row>
    <row r="17411" spans="5:13" x14ac:dyDescent="0.25">
      <c r="E17411"/>
      <c r="M17411"/>
    </row>
    <row r="17412" spans="5:13" x14ac:dyDescent="0.25">
      <c r="E17412"/>
      <c r="M17412"/>
    </row>
    <row r="17413" spans="5:13" x14ac:dyDescent="0.25">
      <c r="E17413"/>
      <c r="M17413"/>
    </row>
    <row r="17414" spans="5:13" x14ac:dyDescent="0.25">
      <c r="E17414"/>
      <c r="M17414"/>
    </row>
    <row r="17415" spans="5:13" x14ac:dyDescent="0.25">
      <c r="E17415"/>
      <c r="M17415"/>
    </row>
    <row r="17416" spans="5:13" x14ac:dyDescent="0.25">
      <c r="E17416"/>
      <c r="M17416"/>
    </row>
    <row r="17417" spans="5:13" x14ac:dyDescent="0.25">
      <c r="E17417"/>
      <c r="M17417"/>
    </row>
    <row r="17418" spans="5:13" x14ac:dyDescent="0.25">
      <c r="E17418"/>
      <c r="M17418"/>
    </row>
    <row r="17419" spans="5:13" x14ac:dyDescent="0.25">
      <c r="E17419"/>
      <c r="M17419"/>
    </row>
    <row r="17420" spans="5:13" x14ac:dyDescent="0.25">
      <c r="E17420"/>
      <c r="M17420"/>
    </row>
    <row r="17421" spans="5:13" x14ac:dyDescent="0.25">
      <c r="E17421"/>
      <c r="M17421"/>
    </row>
    <row r="17422" spans="5:13" x14ac:dyDescent="0.25">
      <c r="E17422"/>
      <c r="M17422"/>
    </row>
    <row r="17423" spans="5:13" x14ac:dyDescent="0.25">
      <c r="E17423"/>
      <c r="M17423"/>
    </row>
    <row r="17424" spans="5:13" x14ac:dyDescent="0.25">
      <c r="E17424"/>
      <c r="M17424"/>
    </row>
    <row r="17425" spans="5:13" x14ac:dyDescent="0.25">
      <c r="E17425"/>
      <c r="M17425"/>
    </row>
    <row r="17426" spans="5:13" x14ac:dyDescent="0.25">
      <c r="E17426"/>
      <c r="M17426"/>
    </row>
    <row r="17427" spans="5:13" x14ac:dyDescent="0.25">
      <c r="E17427"/>
      <c r="M17427"/>
    </row>
    <row r="17428" spans="5:13" x14ac:dyDescent="0.25">
      <c r="E17428"/>
      <c r="M17428"/>
    </row>
    <row r="17429" spans="5:13" x14ac:dyDescent="0.25">
      <c r="E17429"/>
      <c r="M17429"/>
    </row>
    <row r="17430" spans="5:13" x14ac:dyDescent="0.25">
      <c r="E17430"/>
      <c r="M17430"/>
    </row>
    <row r="17431" spans="5:13" x14ac:dyDescent="0.25">
      <c r="E17431"/>
      <c r="M17431"/>
    </row>
    <row r="17432" spans="5:13" x14ac:dyDescent="0.25">
      <c r="E17432"/>
      <c r="M17432"/>
    </row>
    <row r="17433" spans="5:13" x14ac:dyDescent="0.25">
      <c r="E17433"/>
      <c r="M17433"/>
    </row>
    <row r="17434" spans="5:13" x14ac:dyDescent="0.25">
      <c r="E17434"/>
      <c r="M17434"/>
    </row>
    <row r="17435" spans="5:13" x14ac:dyDescent="0.25">
      <c r="E17435"/>
      <c r="M17435"/>
    </row>
    <row r="17436" spans="5:13" x14ac:dyDescent="0.25">
      <c r="E17436"/>
      <c r="M17436"/>
    </row>
    <row r="17437" spans="5:13" x14ac:dyDescent="0.25">
      <c r="E17437"/>
      <c r="M17437"/>
    </row>
    <row r="17438" spans="5:13" x14ac:dyDescent="0.25">
      <c r="E17438"/>
      <c r="M17438"/>
    </row>
    <row r="17439" spans="5:13" x14ac:dyDescent="0.25">
      <c r="E17439"/>
      <c r="M17439"/>
    </row>
    <row r="17440" spans="5:13" x14ac:dyDescent="0.25">
      <c r="E17440"/>
      <c r="M17440"/>
    </row>
    <row r="17441" spans="5:13" x14ac:dyDescent="0.25">
      <c r="E17441"/>
      <c r="M17441"/>
    </row>
    <row r="17442" spans="5:13" x14ac:dyDescent="0.25">
      <c r="E17442"/>
      <c r="M17442"/>
    </row>
    <row r="17443" spans="5:13" x14ac:dyDescent="0.25">
      <c r="E17443"/>
      <c r="M17443"/>
    </row>
    <row r="17444" spans="5:13" x14ac:dyDescent="0.25">
      <c r="E17444"/>
      <c r="M17444"/>
    </row>
    <row r="17445" spans="5:13" x14ac:dyDescent="0.25">
      <c r="E17445"/>
      <c r="M17445"/>
    </row>
    <row r="17446" spans="5:13" x14ac:dyDescent="0.25">
      <c r="E17446"/>
      <c r="M17446"/>
    </row>
    <row r="17447" spans="5:13" x14ac:dyDescent="0.25">
      <c r="E17447"/>
      <c r="M17447"/>
    </row>
    <row r="17448" spans="5:13" x14ac:dyDescent="0.25">
      <c r="E17448"/>
      <c r="M17448"/>
    </row>
    <row r="17449" spans="5:13" x14ac:dyDescent="0.25">
      <c r="E17449"/>
      <c r="M17449"/>
    </row>
    <row r="17450" spans="5:13" x14ac:dyDescent="0.25">
      <c r="E17450"/>
      <c r="M17450"/>
    </row>
    <row r="17451" spans="5:13" x14ac:dyDescent="0.25">
      <c r="E17451"/>
      <c r="M17451"/>
    </row>
    <row r="17452" spans="5:13" x14ac:dyDescent="0.25">
      <c r="E17452"/>
      <c r="M17452"/>
    </row>
    <row r="17453" spans="5:13" x14ac:dyDescent="0.25">
      <c r="E17453"/>
      <c r="M17453"/>
    </row>
    <row r="17454" spans="5:13" x14ac:dyDescent="0.25">
      <c r="E17454"/>
      <c r="M17454"/>
    </row>
    <row r="17455" spans="5:13" x14ac:dyDescent="0.25">
      <c r="E17455"/>
      <c r="M17455"/>
    </row>
    <row r="17456" spans="5:13" x14ac:dyDescent="0.25">
      <c r="E17456"/>
      <c r="M17456"/>
    </row>
    <row r="17457" spans="5:13" x14ac:dyDescent="0.25">
      <c r="E17457"/>
      <c r="M17457"/>
    </row>
    <row r="17458" spans="5:13" x14ac:dyDescent="0.25">
      <c r="E17458"/>
      <c r="M17458"/>
    </row>
    <row r="17459" spans="5:13" x14ac:dyDescent="0.25">
      <c r="E17459"/>
      <c r="M17459"/>
    </row>
    <row r="17460" spans="5:13" x14ac:dyDescent="0.25">
      <c r="E17460"/>
      <c r="M17460"/>
    </row>
    <row r="17461" spans="5:13" x14ac:dyDescent="0.25">
      <c r="E17461"/>
      <c r="M17461"/>
    </row>
    <row r="17462" spans="5:13" x14ac:dyDescent="0.25">
      <c r="E17462"/>
      <c r="M17462"/>
    </row>
    <row r="17463" spans="5:13" x14ac:dyDescent="0.25">
      <c r="E17463"/>
      <c r="M17463"/>
    </row>
    <row r="17464" spans="5:13" x14ac:dyDescent="0.25">
      <c r="E17464"/>
      <c r="M17464"/>
    </row>
    <row r="17465" spans="5:13" x14ac:dyDescent="0.25">
      <c r="E17465"/>
      <c r="M17465"/>
    </row>
    <row r="17466" spans="5:13" x14ac:dyDescent="0.25">
      <c r="E17466"/>
      <c r="M17466"/>
    </row>
    <row r="17467" spans="5:13" x14ac:dyDescent="0.25">
      <c r="E17467"/>
      <c r="M17467"/>
    </row>
    <row r="17468" spans="5:13" x14ac:dyDescent="0.25">
      <c r="E17468"/>
      <c r="M17468"/>
    </row>
    <row r="17469" spans="5:13" x14ac:dyDescent="0.25">
      <c r="E17469"/>
      <c r="M17469"/>
    </row>
    <row r="17470" spans="5:13" x14ac:dyDescent="0.25">
      <c r="E17470"/>
      <c r="M17470"/>
    </row>
    <row r="17471" spans="5:13" x14ac:dyDescent="0.25">
      <c r="E17471"/>
      <c r="M17471"/>
    </row>
    <row r="17472" spans="5:13" x14ac:dyDescent="0.25">
      <c r="E17472"/>
      <c r="M17472"/>
    </row>
    <row r="17473" spans="5:13" x14ac:dyDescent="0.25">
      <c r="E17473"/>
      <c r="M17473"/>
    </row>
    <row r="17474" spans="5:13" x14ac:dyDescent="0.25">
      <c r="E17474"/>
      <c r="M17474"/>
    </row>
    <row r="17475" spans="5:13" x14ac:dyDescent="0.25">
      <c r="E17475"/>
      <c r="M17475"/>
    </row>
    <row r="17476" spans="5:13" x14ac:dyDescent="0.25">
      <c r="E17476"/>
      <c r="M17476"/>
    </row>
    <row r="17477" spans="5:13" x14ac:dyDescent="0.25">
      <c r="E17477"/>
      <c r="M17477"/>
    </row>
    <row r="17478" spans="5:13" x14ac:dyDescent="0.25">
      <c r="E17478"/>
      <c r="M17478"/>
    </row>
    <row r="17479" spans="5:13" x14ac:dyDescent="0.25">
      <c r="E17479"/>
      <c r="M17479"/>
    </row>
    <row r="17480" spans="5:13" x14ac:dyDescent="0.25">
      <c r="E17480"/>
      <c r="M17480"/>
    </row>
    <row r="17481" spans="5:13" x14ac:dyDescent="0.25">
      <c r="E17481"/>
      <c r="M17481"/>
    </row>
    <row r="17482" spans="5:13" x14ac:dyDescent="0.25">
      <c r="E17482"/>
      <c r="M17482"/>
    </row>
    <row r="17483" spans="5:13" x14ac:dyDescent="0.25">
      <c r="E17483"/>
      <c r="M17483"/>
    </row>
    <row r="17484" spans="5:13" x14ac:dyDescent="0.25">
      <c r="E17484"/>
      <c r="M17484"/>
    </row>
    <row r="17485" spans="5:13" x14ac:dyDescent="0.25">
      <c r="E17485"/>
      <c r="M17485"/>
    </row>
    <row r="17486" spans="5:13" x14ac:dyDescent="0.25">
      <c r="E17486"/>
      <c r="M17486"/>
    </row>
    <row r="17487" spans="5:13" x14ac:dyDescent="0.25">
      <c r="E17487"/>
      <c r="M17487"/>
    </row>
    <row r="17488" spans="5:13" x14ac:dyDescent="0.25">
      <c r="E17488"/>
      <c r="M17488"/>
    </row>
    <row r="17489" spans="5:13" x14ac:dyDescent="0.25">
      <c r="E17489"/>
      <c r="M17489"/>
    </row>
    <row r="17490" spans="5:13" x14ac:dyDescent="0.25">
      <c r="E17490"/>
      <c r="M17490"/>
    </row>
    <row r="17491" spans="5:13" x14ac:dyDescent="0.25">
      <c r="E17491"/>
      <c r="M17491"/>
    </row>
    <row r="17492" spans="5:13" x14ac:dyDescent="0.25">
      <c r="E17492"/>
      <c r="M17492"/>
    </row>
    <row r="17493" spans="5:13" x14ac:dyDescent="0.25">
      <c r="E17493"/>
      <c r="M17493"/>
    </row>
    <row r="17494" spans="5:13" x14ac:dyDescent="0.25">
      <c r="E17494"/>
      <c r="M17494"/>
    </row>
    <row r="17495" spans="5:13" x14ac:dyDescent="0.25">
      <c r="E17495"/>
      <c r="M17495"/>
    </row>
    <row r="17496" spans="5:13" x14ac:dyDescent="0.25">
      <c r="E17496"/>
      <c r="M17496"/>
    </row>
    <row r="17497" spans="5:13" x14ac:dyDescent="0.25">
      <c r="E17497"/>
      <c r="M17497"/>
    </row>
    <row r="17498" spans="5:13" x14ac:dyDescent="0.25">
      <c r="E17498"/>
      <c r="M17498"/>
    </row>
    <row r="17499" spans="5:13" x14ac:dyDescent="0.25">
      <c r="E17499"/>
      <c r="M17499"/>
    </row>
    <row r="17500" spans="5:13" x14ac:dyDescent="0.25">
      <c r="E17500"/>
      <c r="M17500"/>
    </row>
    <row r="17501" spans="5:13" x14ac:dyDescent="0.25">
      <c r="E17501"/>
      <c r="M17501"/>
    </row>
    <row r="17502" spans="5:13" x14ac:dyDescent="0.25">
      <c r="E17502"/>
      <c r="M17502"/>
    </row>
    <row r="17503" spans="5:13" x14ac:dyDescent="0.25">
      <c r="E17503"/>
      <c r="M17503"/>
    </row>
    <row r="17504" spans="5:13" x14ac:dyDescent="0.25">
      <c r="E17504"/>
      <c r="M17504"/>
    </row>
    <row r="17505" spans="5:13" x14ac:dyDescent="0.25">
      <c r="E17505"/>
      <c r="M17505"/>
    </row>
    <row r="17506" spans="5:13" x14ac:dyDescent="0.25">
      <c r="E17506"/>
      <c r="M17506"/>
    </row>
    <row r="17507" spans="5:13" x14ac:dyDescent="0.25">
      <c r="E17507"/>
      <c r="M17507"/>
    </row>
    <row r="17508" spans="5:13" x14ac:dyDescent="0.25">
      <c r="E17508"/>
      <c r="M17508"/>
    </row>
    <row r="17509" spans="5:13" x14ac:dyDescent="0.25">
      <c r="E17509"/>
      <c r="M17509"/>
    </row>
    <row r="17510" spans="5:13" x14ac:dyDescent="0.25">
      <c r="E17510"/>
      <c r="M17510"/>
    </row>
    <row r="17511" spans="5:13" x14ac:dyDescent="0.25">
      <c r="E17511"/>
      <c r="M17511"/>
    </row>
    <row r="17512" spans="5:13" x14ac:dyDescent="0.25">
      <c r="E17512"/>
      <c r="M17512"/>
    </row>
    <row r="17513" spans="5:13" x14ac:dyDescent="0.25">
      <c r="E17513"/>
      <c r="M17513"/>
    </row>
    <row r="17514" spans="5:13" x14ac:dyDescent="0.25">
      <c r="E17514"/>
      <c r="M17514"/>
    </row>
    <row r="17515" spans="5:13" x14ac:dyDescent="0.25">
      <c r="E17515"/>
      <c r="M17515"/>
    </row>
    <row r="17516" spans="5:13" x14ac:dyDescent="0.25">
      <c r="E17516"/>
      <c r="M17516"/>
    </row>
    <row r="17517" spans="5:13" x14ac:dyDescent="0.25">
      <c r="E17517"/>
      <c r="M17517"/>
    </row>
    <row r="17518" spans="5:13" x14ac:dyDescent="0.25">
      <c r="E17518"/>
      <c r="M17518"/>
    </row>
    <row r="17519" spans="5:13" x14ac:dyDescent="0.25">
      <c r="E17519"/>
      <c r="M17519"/>
    </row>
    <row r="17520" spans="5:13" x14ac:dyDescent="0.25">
      <c r="E17520"/>
      <c r="M17520"/>
    </row>
    <row r="17521" spans="5:13" x14ac:dyDescent="0.25">
      <c r="E17521"/>
      <c r="M17521"/>
    </row>
    <row r="17522" spans="5:13" x14ac:dyDescent="0.25">
      <c r="E17522"/>
      <c r="M17522"/>
    </row>
    <row r="17523" spans="5:13" x14ac:dyDescent="0.25">
      <c r="E17523"/>
      <c r="M17523"/>
    </row>
    <row r="17524" spans="5:13" x14ac:dyDescent="0.25">
      <c r="E17524"/>
      <c r="M17524"/>
    </row>
    <row r="17525" spans="5:13" x14ac:dyDescent="0.25">
      <c r="E17525"/>
      <c r="M17525"/>
    </row>
    <row r="17526" spans="5:13" x14ac:dyDescent="0.25">
      <c r="E17526"/>
      <c r="M17526"/>
    </row>
    <row r="17527" spans="5:13" x14ac:dyDescent="0.25">
      <c r="E17527"/>
      <c r="M17527"/>
    </row>
    <row r="17528" spans="5:13" x14ac:dyDescent="0.25">
      <c r="E17528"/>
      <c r="M17528"/>
    </row>
    <row r="17529" spans="5:13" x14ac:dyDescent="0.25">
      <c r="E17529"/>
      <c r="M17529"/>
    </row>
    <row r="17530" spans="5:13" x14ac:dyDescent="0.25">
      <c r="E17530"/>
      <c r="M17530"/>
    </row>
    <row r="17531" spans="5:13" x14ac:dyDescent="0.25">
      <c r="E17531"/>
      <c r="M17531"/>
    </row>
    <row r="17532" spans="5:13" x14ac:dyDescent="0.25">
      <c r="E17532"/>
      <c r="M17532"/>
    </row>
    <row r="17533" spans="5:13" x14ac:dyDescent="0.25">
      <c r="E17533"/>
      <c r="M17533"/>
    </row>
    <row r="17534" spans="5:13" x14ac:dyDescent="0.25">
      <c r="E17534"/>
      <c r="M17534"/>
    </row>
    <row r="17535" spans="5:13" x14ac:dyDescent="0.25">
      <c r="E17535"/>
      <c r="M17535"/>
    </row>
    <row r="17536" spans="5:13" x14ac:dyDescent="0.25">
      <c r="E17536"/>
      <c r="M17536"/>
    </row>
    <row r="17537" spans="5:13" x14ac:dyDescent="0.25">
      <c r="E17537"/>
      <c r="M17537"/>
    </row>
    <row r="17538" spans="5:13" x14ac:dyDescent="0.25">
      <c r="E17538"/>
      <c r="M17538"/>
    </row>
    <row r="17539" spans="5:13" x14ac:dyDescent="0.25">
      <c r="E17539"/>
      <c r="M17539"/>
    </row>
    <row r="17540" spans="5:13" x14ac:dyDescent="0.25">
      <c r="E17540"/>
      <c r="M17540"/>
    </row>
    <row r="17541" spans="5:13" x14ac:dyDescent="0.25">
      <c r="E17541"/>
      <c r="M17541"/>
    </row>
    <row r="17542" spans="5:13" x14ac:dyDescent="0.25">
      <c r="E17542"/>
      <c r="M17542"/>
    </row>
    <row r="17543" spans="5:13" x14ac:dyDescent="0.25">
      <c r="E17543"/>
      <c r="M17543"/>
    </row>
    <row r="17544" spans="5:13" x14ac:dyDescent="0.25">
      <c r="E17544"/>
      <c r="M17544"/>
    </row>
    <row r="17545" spans="5:13" x14ac:dyDescent="0.25">
      <c r="E17545"/>
      <c r="M17545"/>
    </row>
    <row r="17546" spans="5:13" x14ac:dyDescent="0.25">
      <c r="E17546"/>
      <c r="M17546"/>
    </row>
    <row r="17547" spans="5:13" x14ac:dyDescent="0.25">
      <c r="E17547"/>
      <c r="M17547"/>
    </row>
    <row r="17548" spans="5:13" x14ac:dyDescent="0.25">
      <c r="E17548"/>
      <c r="M17548"/>
    </row>
    <row r="17549" spans="5:13" x14ac:dyDescent="0.25">
      <c r="E17549"/>
      <c r="M17549"/>
    </row>
    <row r="17550" spans="5:13" x14ac:dyDescent="0.25">
      <c r="E17550"/>
      <c r="M17550"/>
    </row>
    <row r="17551" spans="5:13" x14ac:dyDescent="0.25">
      <c r="E17551"/>
      <c r="M17551"/>
    </row>
    <row r="17552" spans="5:13" x14ac:dyDescent="0.25">
      <c r="E17552"/>
      <c r="M17552"/>
    </row>
    <row r="17553" spans="5:13" x14ac:dyDescent="0.25">
      <c r="E17553"/>
      <c r="M17553"/>
    </row>
    <row r="17554" spans="5:13" x14ac:dyDescent="0.25">
      <c r="E17554"/>
      <c r="M17554"/>
    </row>
    <row r="17555" spans="5:13" x14ac:dyDescent="0.25">
      <c r="E17555"/>
      <c r="M17555"/>
    </row>
    <row r="17556" spans="5:13" x14ac:dyDescent="0.25">
      <c r="E17556"/>
      <c r="M17556"/>
    </row>
    <row r="17557" spans="5:13" x14ac:dyDescent="0.25">
      <c r="E17557"/>
      <c r="M17557"/>
    </row>
    <row r="17558" spans="5:13" x14ac:dyDescent="0.25">
      <c r="E17558"/>
      <c r="M17558"/>
    </row>
    <row r="17559" spans="5:13" x14ac:dyDescent="0.25">
      <c r="E17559"/>
      <c r="M17559"/>
    </row>
    <row r="17560" spans="5:13" x14ac:dyDescent="0.25">
      <c r="E17560"/>
      <c r="M17560"/>
    </row>
    <row r="17561" spans="5:13" x14ac:dyDescent="0.25">
      <c r="E17561"/>
      <c r="M17561"/>
    </row>
    <row r="17562" spans="5:13" x14ac:dyDescent="0.25">
      <c r="E17562"/>
      <c r="M17562"/>
    </row>
    <row r="17563" spans="5:13" x14ac:dyDescent="0.25">
      <c r="E17563"/>
      <c r="M17563"/>
    </row>
    <row r="17564" spans="5:13" x14ac:dyDescent="0.25">
      <c r="E17564"/>
      <c r="M17564"/>
    </row>
    <row r="17565" spans="5:13" x14ac:dyDescent="0.25">
      <c r="E17565"/>
      <c r="M17565"/>
    </row>
    <row r="17566" spans="5:13" x14ac:dyDescent="0.25">
      <c r="E17566"/>
      <c r="M17566"/>
    </row>
    <row r="17567" spans="5:13" x14ac:dyDescent="0.25">
      <c r="E17567"/>
      <c r="M17567"/>
    </row>
    <row r="17568" spans="5:13" x14ac:dyDescent="0.25">
      <c r="E17568"/>
      <c r="M17568"/>
    </row>
    <row r="17569" spans="5:13" x14ac:dyDescent="0.25">
      <c r="E17569"/>
      <c r="M17569"/>
    </row>
    <row r="17570" spans="5:13" x14ac:dyDescent="0.25">
      <c r="E17570"/>
      <c r="M17570"/>
    </row>
    <row r="17571" spans="5:13" x14ac:dyDescent="0.25">
      <c r="E17571"/>
      <c r="M17571"/>
    </row>
    <row r="17572" spans="5:13" x14ac:dyDescent="0.25">
      <c r="E17572"/>
      <c r="M17572"/>
    </row>
    <row r="17573" spans="5:13" x14ac:dyDescent="0.25">
      <c r="E17573"/>
      <c r="M17573"/>
    </row>
    <row r="17574" spans="5:13" x14ac:dyDescent="0.25">
      <c r="E17574"/>
      <c r="M17574"/>
    </row>
    <row r="17575" spans="5:13" x14ac:dyDescent="0.25">
      <c r="E17575"/>
      <c r="M17575"/>
    </row>
    <row r="17576" spans="5:13" x14ac:dyDescent="0.25">
      <c r="E17576"/>
      <c r="M17576"/>
    </row>
    <row r="17577" spans="5:13" x14ac:dyDescent="0.25">
      <c r="E17577"/>
      <c r="M17577"/>
    </row>
    <row r="17578" spans="5:13" x14ac:dyDescent="0.25">
      <c r="E17578"/>
      <c r="M17578"/>
    </row>
    <row r="17579" spans="5:13" x14ac:dyDescent="0.25">
      <c r="E17579"/>
      <c r="M17579"/>
    </row>
    <row r="17580" spans="5:13" x14ac:dyDescent="0.25">
      <c r="E17580"/>
      <c r="M17580"/>
    </row>
    <row r="17581" spans="5:13" x14ac:dyDescent="0.25">
      <c r="E17581"/>
      <c r="M17581"/>
    </row>
    <row r="17582" spans="5:13" x14ac:dyDescent="0.25">
      <c r="E17582"/>
      <c r="M17582"/>
    </row>
    <row r="17583" spans="5:13" x14ac:dyDescent="0.25">
      <c r="E17583"/>
      <c r="M17583"/>
    </row>
    <row r="17584" spans="5:13" x14ac:dyDescent="0.25">
      <c r="E17584"/>
      <c r="M17584"/>
    </row>
    <row r="17585" spans="5:13" x14ac:dyDescent="0.25">
      <c r="E17585"/>
      <c r="M17585"/>
    </row>
    <row r="17586" spans="5:13" x14ac:dyDescent="0.25">
      <c r="E17586"/>
      <c r="M17586"/>
    </row>
    <row r="17587" spans="5:13" x14ac:dyDescent="0.25">
      <c r="E17587"/>
      <c r="M17587"/>
    </row>
    <row r="17588" spans="5:13" x14ac:dyDescent="0.25">
      <c r="E17588"/>
      <c r="M17588"/>
    </row>
    <row r="17589" spans="5:13" x14ac:dyDescent="0.25">
      <c r="E17589"/>
      <c r="M17589"/>
    </row>
    <row r="17590" spans="5:13" x14ac:dyDescent="0.25">
      <c r="E17590"/>
      <c r="M17590"/>
    </row>
    <row r="17591" spans="5:13" x14ac:dyDescent="0.25">
      <c r="E17591"/>
      <c r="M17591"/>
    </row>
    <row r="17592" spans="5:13" x14ac:dyDescent="0.25">
      <c r="E17592"/>
      <c r="M17592"/>
    </row>
    <row r="17593" spans="5:13" x14ac:dyDescent="0.25">
      <c r="E17593"/>
      <c r="M17593"/>
    </row>
    <row r="17594" spans="5:13" x14ac:dyDescent="0.25">
      <c r="E17594"/>
      <c r="M17594"/>
    </row>
    <row r="17595" spans="5:13" x14ac:dyDescent="0.25">
      <c r="E17595"/>
      <c r="M17595"/>
    </row>
    <row r="17596" spans="5:13" x14ac:dyDescent="0.25">
      <c r="E17596"/>
      <c r="M17596"/>
    </row>
    <row r="17597" spans="5:13" x14ac:dyDescent="0.25">
      <c r="E17597"/>
      <c r="M17597"/>
    </row>
    <row r="17598" spans="5:13" x14ac:dyDescent="0.25">
      <c r="E17598"/>
      <c r="M17598"/>
    </row>
    <row r="17599" spans="5:13" x14ac:dyDescent="0.25">
      <c r="E17599"/>
      <c r="M17599"/>
    </row>
    <row r="17600" spans="5:13" x14ac:dyDescent="0.25">
      <c r="E17600"/>
      <c r="M17600"/>
    </row>
    <row r="17601" spans="5:13" x14ac:dyDescent="0.25">
      <c r="E17601"/>
      <c r="M17601"/>
    </row>
    <row r="17602" spans="5:13" x14ac:dyDescent="0.25">
      <c r="E17602"/>
      <c r="M17602"/>
    </row>
    <row r="17603" spans="5:13" x14ac:dyDescent="0.25">
      <c r="E17603"/>
      <c r="M17603"/>
    </row>
    <row r="17604" spans="5:13" x14ac:dyDescent="0.25">
      <c r="E17604"/>
      <c r="M17604"/>
    </row>
    <row r="17605" spans="5:13" x14ac:dyDescent="0.25">
      <c r="E17605"/>
      <c r="M17605"/>
    </row>
    <row r="17606" spans="5:13" x14ac:dyDescent="0.25">
      <c r="E17606"/>
      <c r="M17606"/>
    </row>
    <row r="17607" spans="5:13" x14ac:dyDescent="0.25">
      <c r="E17607"/>
      <c r="M17607"/>
    </row>
    <row r="17608" spans="5:13" x14ac:dyDescent="0.25">
      <c r="E17608"/>
      <c r="M17608"/>
    </row>
    <row r="17609" spans="5:13" x14ac:dyDescent="0.25">
      <c r="E17609"/>
      <c r="M17609"/>
    </row>
    <row r="17610" spans="5:13" x14ac:dyDescent="0.25">
      <c r="E17610"/>
      <c r="M17610"/>
    </row>
    <row r="17611" spans="5:13" x14ac:dyDescent="0.25">
      <c r="E17611"/>
      <c r="M17611"/>
    </row>
    <row r="17612" spans="5:13" x14ac:dyDescent="0.25">
      <c r="E17612"/>
      <c r="M17612"/>
    </row>
    <row r="17613" spans="5:13" x14ac:dyDescent="0.25">
      <c r="E17613"/>
      <c r="M17613"/>
    </row>
    <row r="17614" spans="5:13" x14ac:dyDescent="0.25">
      <c r="E17614"/>
      <c r="M17614"/>
    </row>
    <row r="17615" spans="5:13" x14ac:dyDescent="0.25">
      <c r="E17615"/>
      <c r="M17615"/>
    </row>
    <row r="17616" spans="5:13" x14ac:dyDescent="0.25">
      <c r="E17616"/>
      <c r="M17616"/>
    </row>
    <row r="17617" spans="5:13" x14ac:dyDescent="0.25">
      <c r="E17617"/>
      <c r="M17617"/>
    </row>
    <row r="17618" spans="5:13" x14ac:dyDescent="0.25">
      <c r="E17618"/>
      <c r="M17618"/>
    </row>
    <row r="17619" spans="5:13" x14ac:dyDescent="0.25">
      <c r="E17619"/>
      <c r="M17619"/>
    </row>
    <row r="17620" spans="5:13" x14ac:dyDescent="0.25">
      <c r="E17620"/>
      <c r="M17620"/>
    </row>
    <row r="17621" spans="5:13" x14ac:dyDescent="0.25">
      <c r="E17621"/>
      <c r="M17621"/>
    </row>
    <row r="17622" spans="5:13" x14ac:dyDescent="0.25">
      <c r="E17622"/>
      <c r="M17622"/>
    </row>
    <row r="17623" spans="5:13" x14ac:dyDescent="0.25">
      <c r="E17623"/>
      <c r="M17623"/>
    </row>
    <row r="17624" spans="5:13" x14ac:dyDescent="0.25">
      <c r="E17624"/>
      <c r="M17624"/>
    </row>
    <row r="17625" spans="5:13" x14ac:dyDescent="0.25">
      <c r="E17625"/>
      <c r="M17625"/>
    </row>
    <row r="17626" spans="5:13" x14ac:dyDescent="0.25">
      <c r="E17626"/>
      <c r="M17626"/>
    </row>
    <row r="17627" spans="5:13" x14ac:dyDescent="0.25">
      <c r="E17627"/>
      <c r="M17627"/>
    </row>
    <row r="17628" spans="5:13" x14ac:dyDescent="0.25">
      <c r="E17628"/>
      <c r="M17628"/>
    </row>
    <row r="17629" spans="5:13" x14ac:dyDescent="0.25">
      <c r="E17629"/>
      <c r="M17629"/>
    </row>
    <row r="17630" spans="5:13" x14ac:dyDescent="0.25">
      <c r="E17630"/>
      <c r="M17630"/>
    </row>
    <row r="17631" spans="5:13" x14ac:dyDescent="0.25">
      <c r="E17631"/>
      <c r="M17631"/>
    </row>
    <row r="17632" spans="5:13" x14ac:dyDescent="0.25">
      <c r="E17632"/>
      <c r="M17632"/>
    </row>
    <row r="17633" spans="5:13" x14ac:dyDescent="0.25">
      <c r="E17633"/>
      <c r="M17633"/>
    </row>
    <row r="17634" spans="5:13" x14ac:dyDescent="0.25">
      <c r="E17634"/>
      <c r="M17634"/>
    </row>
    <row r="17635" spans="5:13" x14ac:dyDescent="0.25">
      <c r="E17635"/>
      <c r="M17635"/>
    </row>
    <row r="17636" spans="5:13" x14ac:dyDescent="0.25">
      <c r="E17636"/>
      <c r="M17636"/>
    </row>
    <row r="17637" spans="5:13" x14ac:dyDescent="0.25">
      <c r="E17637"/>
      <c r="M17637"/>
    </row>
    <row r="17638" spans="5:13" x14ac:dyDescent="0.25">
      <c r="E17638"/>
      <c r="M17638"/>
    </row>
    <row r="17639" spans="5:13" x14ac:dyDescent="0.25">
      <c r="E17639"/>
      <c r="M17639"/>
    </row>
    <row r="17640" spans="5:13" x14ac:dyDescent="0.25">
      <c r="E17640"/>
      <c r="M17640"/>
    </row>
    <row r="17641" spans="5:13" x14ac:dyDescent="0.25">
      <c r="E17641"/>
      <c r="M17641"/>
    </row>
    <row r="17642" spans="5:13" x14ac:dyDescent="0.25">
      <c r="E17642"/>
      <c r="M17642"/>
    </row>
    <row r="17643" spans="5:13" x14ac:dyDescent="0.25">
      <c r="E17643"/>
      <c r="M17643"/>
    </row>
    <row r="17644" spans="5:13" x14ac:dyDescent="0.25">
      <c r="E17644"/>
      <c r="M17644"/>
    </row>
    <row r="17645" spans="5:13" x14ac:dyDescent="0.25">
      <c r="E17645"/>
      <c r="M17645"/>
    </row>
    <row r="17646" spans="5:13" x14ac:dyDescent="0.25">
      <c r="E17646"/>
      <c r="M17646"/>
    </row>
    <row r="17647" spans="5:13" x14ac:dyDescent="0.25">
      <c r="E17647"/>
      <c r="M17647"/>
    </row>
    <row r="17648" spans="5:13" x14ac:dyDescent="0.25">
      <c r="E17648"/>
      <c r="M17648"/>
    </row>
    <row r="17649" spans="5:13" x14ac:dyDescent="0.25">
      <c r="E17649"/>
      <c r="M17649"/>
    </row>
    <row r="17650" spans="5:13" x14ac:dyDescent="0.25">
      <c r="E17650"/>
      <c r="M17650"/>
    </row>
    <row r="17651" spans="5:13" x14ac:dyDescent="0.25">
      <c r="E17651"/>
      <c r="M17651"/>
    </row>
    <row r="17652" spans="5:13" x14ac:dyDescent="0.25">
      <c r="E17652"/>
      <c r="M17652"/>
    </row>
    <row r="17653" spans="5:13" x14ac:dyDescent="0.25">
      <c r="E17653"/>
      <c r="M17653"/>
    </row>
    <row r="17654" spans="5:13" x14ac:dyDescent="0.25">
      <c r="E17654"/>
      <c r="M17654"/>
    </row>
    <row r="17655" spans="5:13" x14ac:dyDescent="0.25">
      <c r="E17655"/>
      <c r="M17655"/>
    </row>
    <row r="17656" spans="5:13" x14ac:dyDescent="0.25">
      <c r="E17656"/>
      <c r="M17656"/>
    </row>
    <row r="17657" spans="5:13" x14ac:dyDescent="0.25">
      <c r="E17657"/>
      <c r="M17657"/>
    </row>
    <row r="17658" spans="5:13" x14ac:dyDescent="0.25">
      <c r="E17658"/>
      <c r="M17658"/>
    </row>
    <row r="17659" spans="5:13" x14ac:dyDescent="0.25">
      <c r="E17659"/>
      <c r="M17659"/>
    </row>
    <row r="17660" spans="5:13" x14ac:dyDescent="0.25">
      <c r="E17660"/>
      <c r="M17660"/>
    </row>
    <row r="17661" spans="5:13" x14ac:dyDescent="0.25">
      <c r="E17661"/>
      <c r="M17661"/>
    </row>
    <row r="17662" spans="5:13" x14ac:dyDescent="0.25">
      <c r="E17662"/>
      <c r="M17662"/>
    </row>
    <row r="17663" spans="5:13" x14ac:dyDescent="0.25">
      <c r="E17663"/>
      <c r="M17663"/>
    </row>
    <row r="17664" spans="5:13" x14ac:dyDescent="0.25">
      <c r="E17664"/>
      <c r="M17664"/>
    </row>
    <row r="17665" spans="5:13" x14ac:dyDescent="0.25">
      <c r="E17665"/>
      <c r="M17665"/>
    </row>
    <row r="17666" spans="5:13" x14ac:dyDescent="0.25">
      <c r="E17666"/>
      <c r="M17666"/>
    </row>
    <row r="17667" spans="5:13" x14ac:dyDescent="0.25">
      <c r="E17667"/>
      <c r="M17667"/>
    </row>
    <row r="17668" spans="5:13" x14ac:dyDescent="0.25">
      <c r="E17668"/>
      <c r="M17668"/>
    </row>
    <row r="17669" spans="5:13" x14ac:dyDescent="0.25">
      <c r="E17669"/>
      <c r="M17669"/>
    </row>
    <row r="17670" spans="5:13" x14ac:dyDescent="0.25">
      <c r="E17670"/>
      <c r="M17670"/>
    </row>
    <row r="17671" spans="5:13" x14ac:dyDescent="0.25">
      <c r="E17671"/>
      <c r="M17671"/>
    </row>
    <row r="17672" spans="5:13" x14ac:dyDescent="0.25">
      <c r="E17672"/>
      <c r="M17672"/>
    </row>
    <row r="17673" spans="5:13" x14ac:dyDescent="0.25">
      <c r="E17673"/>
      <c r="M17673"/>
    </row>
    <row r="17674" spans="5:13" x14ac:dyDescent="0.25">
      <c r="E17674"/>
      <c r="M17674"/>
    </row>
    <row r="17675" spans="5:13" x14ac:dyDescent="0.25">
      <c r="E17675"/>
      <c r="M17675"/>
    </row>
    <row r="17676" spans="5:13" x14ac:dyDescent="0.25">
      <c r="E17676"/>
      <c r="M17676"/>
    </row>
    <row r="17677" spans="5:13" x14ac:dyDescent="0.25">
      <c r="E17677"/>
      <c r="M17677"/>
    </row>
    <row r="17678" spans="5:13" x14ac:dyDescent="0.25">
      <c r="E17678"/>
      <c r="M17678"/>
    </row>
    <row r="17679" spans="5:13" x14ac:dyDescent="0.25">
      <c r="E17679"/>
      <c r="M17679"/>
    </row>
    <row r="17680" spans="5:13" x14ac:dyDescent="0.25">
      <c r="E17680"/>
      <c r="M17680"/>
    </row>
    <row r="17681" spans="5:13" x14ac:dyDescent="0.25">
      <c r="E17681"/>
      <c r="M17681"/>
    </row>
    <row r="17682" spans="5:13" x14ac:dyDescent="0.25">
      <c r="E17682"/>
      <c r="M17682"/>
    </row>
    <row r="17683" spans="5:13" x14ac:dyDescent="0.25">
      <c r="E17683"/>
      <c r="M17683"/>
    </row>
    <row r="17684" spans="5:13" x14ac:dyDescent="0.25">
      <c r="E17684"/>
      <c r="M17684"/>
    </row>
    <row r="17685" spans="5:13" x14ac:dyDescent="0.25">
      <c r="E17685"/>
      <c r="M17685"/>
    </row>
    <row r="17686" spans="5:13" x14ac:dyDescent="0.25">
      <c r="E17686"/>
      <c r="M17686"/>
    </row>
    <row r="17687" spans="5:13" x14ac:dyDescent="0.25">
      <c r="E17687"/>
      <c r="M17687"/>
    </row>
    <row r="17688" spans="5:13" x14ac:dyDescent="0.25">
      <c r="E17688"/>
      <c r="M17688"/>
    </row>
    <row r="17689" spans="5:13" x14ac:dyDescent="0.25">
      <c r="E17689"/>
      <c r="M17689"/>
    </row>
    <row r="17690" spans="5:13" x14ac:dyDescent="0.25">
      <c r="E17690"/>
      <c r="M17690"/>
    </row>
    <row r="17691" spans="5:13" x14ac:dyDescent="0.25">
      <c r="E17691"/>
      <c r="M17691"/>
    </row>
    <row r="17692" spans="5:13" x14ac:dyDescent="0.25">
      <c r="E17692"/>
      <c r="M17692"/>
    </row>
    <row r="17693" spans="5:13" x14ac:dyDescent="0.25">
      <c r="E17693"/>
      <c r="M17693"/>
    </row>
    <row r="17694" spans="5:13" x14ac:dyDescent="0.25">
      <c r="E17694"/>
      <c r="M17694"/>
    </row>
    <row r="17695" spans="5:13" x14ac:dyDescent="0.25">
      <c r="E17695"/>
      <c r="M17695"/>
    </row>
    <row r="17696" spans="5:13" x14ac:dyDescent="0.25">
      <c r="E17696"/>
      <c r="M17696"/>
    </row>
    <row r="17697" spans="5:13" x14ac:dyDescent="0.25">
      <c r="E17697"/>
      <c r="M17697"/>
    </row>
    <row r="17698" spans="5:13" x14ac:dyDescent="0.25">
      <c r="E17698"/>
      <c r="M17698"/>
    </row>
    <row r="17699" spans="5:13" x14ac:dyDescent="0.25">
      <c r="E17699"/>
      <c r="M17699"/>
    </row>
    <row r="17700" spans="5:13" x14ac:dyDescent="0.25">
      <c r="E17700"/>
      <c r="M17700"/>
    </row>
    <row r="17701" spans="5:13" x14ac:dyDescent="0.25">
      <c r="E17701"/>
      <c r="M17701"/>
    </row>
    <row r="17702" spans="5:13" x14ac:dyDescent="0.25">
      <c r="E17702"/>
      <c r="M17702"/>
    </row>
    <row r="17703" spans="5:13" x14ac:dyDescent="0.25">
      <c r="E17703"/>
      <c r="M17703"/>
    </row>
    <row r="17704" spans="5:13" x14ac:dyDescent="0.25">
      <c r="E17704"/>
      <c r="M17704"/>
    </row>
    <row r="17705" spans="5:13" x14ac:dyDescent="0.25">
      <c r="E17705"/>
      <c r="M17705"/>
    </row>
    <row r="17706" spans="5:13" x14ac:dyDescent="0.25">
      <c r="E17706"/>
      <c r="M17706"/>
    </row>
    <row r="17707" spans="5:13" x14ac:dyDescent="0.25">
      <c r="E17707"/>
      <c r="M17707"/>
    </row>
    <row r="17708" spans="5:13" x14ac:dyDescent="0.25">
      <c r="E17708"/>
      <c r="M17708"/>
    </row>
    <row r="17709" spans="5:13" x14ac:dyDescent="0.25">
      <c r="E17709"/>
      <c r="M17709"/>
    </row>
    <row r="17710" spans="5:13" x14ac:dyDescent="0.25">
      <c r="E17710"/>
      <c r="M17710"/>
    </row>
    <row r="17711" spans="5:13" x14ac:dyDescent="0.25">
      <c r="E17711"/>
      <c r="M17711"/>
    </row>
    <row r="17712" spans="5:13" x14ac:dyDescent="0.25">
      <c r="E17712"/>
      <c r="M17712"/>
    </row>
    <row r="17713" spans="5:13" x14ac:dyDescent="0.25">
      <c r="E17713"/>
      <c r="M17713"/>
    </row>
    <row r="17714" spans="5:13" x14ac:dyDescent="0.25">
      <c r="E17714"/>
      <c r="M17714"/>
    </row>
    <row r="17715" spans="5:13" x14ac:dyDescent="0.25">
      <c r="E17715"/>
      <c r="M17715"/>
    </row>
    <row r="17716" spans="5:13" x14ac:dyDescent="0.25">
      <c r="E17716"/>
      <c r="M17716"/>
    </row>
    <row r="17717" spans="5:13" x14ac:dyDescent="0.25">
      <c r="E17717"/>
      <c r="M17717"/>
    </row>
    <row r="17718" spans="5:13" x14ac:dyDescent="0.25">
      <c r="E17718"/>
      <c r="M17718"/>
    </row>
    <row r="17719" spans="5:13" x14ac:dyDescent="0.25">
      <c r="E17719"/>
      <c r="M17719"/>
    </row>
    <row r="17720" spans="5:13" x14ac:dyDescent="0.25">
      <c r="E17720"/>
      <c r="M17720"/>
    </row>
    <row r="17721" spans="5:13" x14ac:dyDescent="0.25">
      <c r="E17721"/>
      <c r="M17721"/>
    </row>
    <row r="17722" spans="5:13" x14ac:dyDescent="0.25">
      <c r="E17722"/>
      <c r="M17722"/>
    </row>
    <row r="17723" spans="5:13" x14ac:dyDescent="0.25">
      <c r="E17723"/>
      <c r="M17723"/>
    </row>
    <row r="17724" spans="5:13" x14ac:dyDescent="0.25">
      <c r="E17724"/>
      <c r="M17724"/>
    </row>
    <row r="17725" spans="5:13" x14ac:dyDescent="0.25">
      <c r="E17725"/>
      <c r="M17725"/>
    </row>
    <row r="17726" spans="5:13" x14ac:dyDescent="0.25">
      <c r="E17726"/>
      <c r="M17726"/>
    </row>
    <row r="17727" spans="5:13" x14ac:dyDescent="0.25">
      <c r="E17727"/>
      <c r="M17727"/>
    </row>
    <row r="17728" spans="5:13" x14ac:dyDescent="0.25">
      <c r="E17728"/>
      <c r="M17728"/>
    </row>
    <row r="17729" spans="5:13" x14ac:dyDescent="0.25">
      <c r="E17729"/>
      <c r="M17729"/>
    </row>
    <row r="17730" spans="5:13" x14ac:dyDescent="0.25">
      <c r="E17730"/>
      <c r="M17730"/>
    </row>
    <row r="17731" spans="5:13" x14ac:dyDescent="0.25">
      <c r="E17731"/>
      <c r="M17731"/>
    </row>
    <row r="17732" spans="5:13" x14ac:dyDescent="0.25">
      <c r="E17732"/>
      <c r="M17732"/>
    </row>
    <row r="17733" spans="5:13" x14ac:dyDescent="0.25">
      <c r="E17733"/>
      <c r="M17733"/>
    </row>
    <row r="17734" spans="5:13" x14ac:dyDescent="0.25">
      <c r="E17734"/>
      <c r="M17734"/>
    </row>
    <row r="17735" spans="5:13" x14ac:dyDescent="0.25">
      <c r="E17735"/>
      <c r="M17735"/>
    </row>
    <row r="17736" spans="5:13" x14ac:dyDescent="0.25">
      <c r="E17736"/>
      <c r="M17736"/>
    </row>
    <row r="17737" spans="5:13" x14ac:dyDescent="0.25">
      <c r="E17737"/>
      <c r="M17737"/>
    </row>
    <row r="17738" spans="5:13" x14ac:dyDescent="0.25">
      <c r="E17738"/>
      <c r="M17738"/>
    </row>
    <row r="17739" spans="5:13" x14ac:dyDescent="0.25">
      <c r="E17739"/>
      <c r="M17739"/>
    </row>
    <row r="17740" spans="5:13" x14ac:dyDescent="0.25">
      <c r="E17740"/>
      <c r="M17740"/>
    </row>
    <row r="17741" spans="5:13" x14ac:dyDescent="0.25">
      <c r="E17741"/>
      <c r="M17741"/>
    </row>
    <row r="17742" spans="5:13" x14ac:dyDescent="0.25">
      <c r="E17742"/>
      <c r="M17742"/>
    </row>
    <row r="17743" spans="5:13" x14ac:dyDescent="0.25">
      <c r="E17743"/>
      <c r="M17743"/>
    </row>
    <row r="17744" spans="5:13" x14ac:dyDescent="0.25">
      <c r="E17744"/>
      <c r="M17744"/>
    </row>
    <row r="17745" spans="5:13" x14ac:dyDescent="0.25">
      <c r="E17745"/>
      <c r="M17745"/>
    </row>
    <row r="17746" spans="5:13" x14ac:dyDescent="0.25">
      <c r="E17746"/>
      <c r="M17746"/>
    </row>
    <row r="17747" spans="5:13" x14ac:dyDescent="0.25">
      <c r="E17747"/>
      <c r="M17747"/>
    </row>
    <row r="17748" spans="5:13" x14ac:dyDescent="0.25">
      <c r="E17748"/>
      <c r="M17748"/>
    </row>
    <row r="17749" spans="5:13" x14ac:dyDescent="0.25">
      <c r="E17749"/>
      <c r="M17749"/>
    </row>
    <row r="17750" spans="5:13" x14ac:dyDescent="0.25">
      <c r="E17750"/>
      <c r="M17750"/>
    </row>
    <row r="17751" spans="5:13" x14ac:dyDescent="0.25">
      <c r="E17751"/>
      <c r="M17751"/>
    </row>
    <row r="17752" spans="5:13" x14ac:dyDescent="0.25">
      <c r="E17752"/>
      <c r="M17752"/>
    </row>
    <row r="17753" spans="5:13" x14ac:dyDescent="0.25">
      <c r="E17753"/>
      <c r="M17753"/>
    </row>
    <row r="17754" spans="5:13" x14ac:dyDescent="0.25">
      <c r="E17754"/>
      <c r="M17754"/>
    </row>
    <row r="17755" spans="5:13" x14ac:dyDescent="0.25">
      <c r="E17755"/>
      <c r="M17755"/>
    </row>
    <row r="17756" spans="5:13" x14ac:dyDescent="0.25">
      <c r="E17756"/>
      <c r="M17756"/>
    </row>
    <row r="17757" spans="5:13" x14ac:dyDescent="0.25">
      <c r="E17757"/>
      <c r="M17757"/>
    </row>
    <row r="17758" spans="5:13" x14ac:dyDescent="0.25">
      <c r="E17758"/>
      <c r="M17758"/>
    </row>
    <row r="17759" spans="5:13" x14ac:dyDescent="0.25">
      <c r="E17759"/>
      <c r="M17759"/>
    </row>
    <row r="17760" spans="5:13" x14ac:dyDescent="0.25">
      <c r="E17760"/>
      <c r="M17760"/>
    </row>
    <row r="17761" spans="5:13" x14ac:dyDescent="0.25">
      <c r="E17761"/>
      <c r="M17761"/>
    </row>
    <row r="17762" spans="5:13" x14ac:dyDescent="0.25">
      <c r="E17762"/>
      <c r="M17762"/>
    </row>
    <row r="17763" spans="5:13" x14ac:dyDescent="0.25">
      <c r="E17763"/>
      <c r="M17763"/>
    </row>
    <row r="17764" spans="5:13" x14ac:dyDescent="0.25">
      <c r="E17764"/>
      <c r="M17764"/>
    </row>
    <row r="17765" spans="5:13" x14ac:dyDescent="0.25">
      <c r="E17765"/>
      <c r="M17765"/>
    </row>
    <row r="17766" spans="5:13" x14ac:dyDescent="0.25">
      <c r="E17766"/>
      <c r="M17766"/>
    </row>
    <row r="17767" spans="5:13" x14ac:dyDescent="0.25">
      <c r="E17767"/>
      <c r="M17767"/>
    </row>
    <row r="17768" spans="5:13" x14ac:dyDescent="0.25">
      <c r="E17768"/>
      <c r="M17768"/>
    </row>
    <row r="17769" spans="5:13" x14ac:dyDescent="0.25">
      <c r="E17769"/>
      <c r="M17769"/>
    </row>
    <row r="17770" spans="5:13" x14ac:dyDescent="0.25">
      <c r="E17770"/>
      <c r="M17770"/>
    </row>
    <row r="17771" spans="5:13" x14ac:dyDescent="0.25">
      <c r="E17771"/>
      <c r="M17771"/>
    </row>
    <row r="17772" spans="5:13" x14ac:dyDescent="0.25">
      <c r="E17772"/>
      <c r="M17772"/>
    </row>
    <row r="17773" spans="5:13" x14ac:dyDescent="0.25">
      <c r="E17773"/>
      <c r="M17773"/>
    </row>
    <row r="17774" spans="5:13" x14ac:dyDescent="0.25">
      <c r="E17774"/>
      <c r="M17774"/>
    </row>
    <row r="17775" spans="5:13" x14ac:dyDescent="0.25">
      <c r="E17775"/>
      <c r="M17775"/>
    </row>
    <row r="17776" spans="5:13" x14ac:dyDescent="0.25">
      <c r="E17776"/>
      <c r="M17776"/>
    </row>
    <row r="17777" spans="5:13" x14ac:dyDescent="0.25">
      <c r="E17777"/>
      <c r="M17777"/>
    </row>
    <row r="17778" spans="5:13" x14ac:dyDescent="0.25">
      <c r="E17778"/>
      <c r="M17778"/>
    </row>
    <row r="17779" spans="5:13" x14ac:dyDescent="0.25">
      <c r="E17779"/>
      <c r="M17779"/>
    </row>
    <row r="17780" spans="5:13" x14ac:dyDescent="0.25">
      <c r="E17780"/>
      <c r="M17780"/>
    </row>
    <row r="17781" spans="5:13" x14ac:dyDescent="0.25">
      <c r="E17781"/>
      <c r="M17781"/>
    </row>
    <row r="17782" spans="5:13" x14ac:dyDescent="0.25">
      <c r="E17782"/>
      <c r="M17782"/>
    </row>
    <row r="17783" spans="5:13" x14ac:dyDescent="0.25">
      <c r="E17783"/>
      <c r="M17783"/>
    </row>
    <row r="17784" spans="5:13" x14ac:dyDescent="0.25">
      <c r="E17784"/>
      <c r="M17784"/>
    </row>
    <row r="17785" spans="5:13" x14ac:dyDescent="0.25">
      <c r="E17785"/>
      <c r="M17785"/>
    </row>
    <row r="17786" spans="5:13" x14ac:dyDescent="0.25">
      <c r="E17786"/>
      <c r="M17786"/>
    </row>
    <row r="17787" spans="5:13" x14ac:dyDescent="0.25">
      <c r="E17787"/>
      <c r="M17787"/>
    </row>
    <row r="17788" spans="5:13" x14ac:dyDescent="0.25">
      <c r="E17788"/>
      <c r="M17788"/>
    </row>
    <row r="17789" spans="5:13" x14ac:dyDescent="0.25">
      <c r="E17789"/>
      <c r="M17789"/>
    </row>
    <row r="17790" spans="5:13" x14ac:dyDescent="0.25">
      <c r="E17790"/>
      <c r="M17790"/>
    </row>
    <row r="17791" spans="5:13" x14ac:dyDescent="0.25">
      <c r="E17791"/>
      <c r="M17791"/>
    </row>
    <row r="17792" spans="5:13" x14ac:dyDescent="0.25">
      <c r="E17792"/>
      <c r="M17792"/>
    </row>
    <row r="17793" spans="5:13" x14ac:dyDescent="0.25">
      <c r="E17793"/>
      <c r="M17793"/>
    </row>
    <row r="17794" spans="5:13" x14ac:dyDescent="0.25">
      <c r="E17794"/>
      <c r="M17794"/>
    </row>
    <row r="17795" spans="5:13" x14ac:dyDescent="0.25">
      <c r="E17795"/>
      <c r="M17795"/>
    </row>
    <row r="17796" spans="5:13" x14ac:dyDescent="0.25">
      <c r="E17796"/>
      <c r="M17796"/>
    </row>
    <row r="17797" spans="5:13" x14ac:dyDescent="0.25">
      <c r="E17797"/>
      <c r="M17797"/>
    </row>
    <row r="17798" spans="5:13" x14ac:dyDescent="0.25">
      <c r="E17798"/>
      <c r="M17798"/>
    </row>
    <row r="17799" spans="5:13" x14ac:dyDescent="0.25">
      <c r="E17799"/>
      <c r="M17799"/>
    </row>
    <row r="17800" spans="5:13" x14ac:dyDescent="0.25">
      <c r="E17800"/>
      <c r="M17800"/>
    </row>
    <row r="17801" spans="5:13" x14ac:dyDescent="0.25">
      <c r="E17801"/>
      <c r="M17801"/>
    </row>
    <row r="17802" spans="5:13" x14ac:dyDescent="0.25">
      <c r="E17802"/>
      <c r="M17802"/>
    </row>
    <row r="17803" spans="5:13" x14ac:dyDescent="0.25">
      <c r="E17803"/>
      <c r="M17803"/>
    </row>
    <row r="17804" spans="5:13" x14ac:dyDescent="0.25">
      <c r="E17804"/>
      <c r="M17804"/>
    </row>
    <row r="17805" spans="5:13" x14ac:dyDescent="0.25">
      <c r="E17805"/>
      <c r="M17805"/>
    </row>
    <row r="17806" spans="5:13" x14ac:dyDescent="0.25">
      <c r="E17806"/>
      <c r="M17806"/>
    </row>
    <row r="17807" spans="5:13" x14ac:dyDescent="0.25">
      <c r="E17807"/>
      <c r="M17807"/>
    </row>
    <row r="17808" spans="5:13" x14ac:dyDescent="0.25">
      <c r="E17808"/>
      <c r="M17808"/>
    </row>
    <row r="17809" spans="5:13" x14ac:dyDescent="0.25">
      <c r="E17809"/>
      <c r="M17809"/>
    </row>
    <row r="17810" spans="5:13" x14ac:dyDescent="0.25">
      <c r="E17810"/>
      <c r="M17810"/>
    </row>
    <row r="17811" spans="5:13" x14ac:dyDescent="0.25">
      <c r="E17811"/>
      <c r="M17811"/>
    </row>
    <row r="17812" spans="5:13" x14ac:dyDescent="0.25">
      <c r="E17812"/>
      <c r="M17812"/>
    </row>
    <row r="17813" spans="5:13" x14ac:dyDescent="0.25">
      <c r="E17813"/>
      <c r="M17813"/>
    </row>
    <row r="17814" spans="5:13" x14ac:dyDescent="0.25">
      <c r="E17814"/>
      <c r="M17814"/>
    </row>
    <row r="17815" spans="5:13" x14ac:dyDescent="0.25">
      <c r="E17815"/>
      <c r="M17815"/>
    </row>
    <row r="17816" spans="5:13" x14ac:dyDescent="0.25">
      <c r="E17816"/>
      <c r="M17816"/>
    </row>
    <row r="17817" spans="5:13" x14ac:dyDescent="0.25">
      <c r="E17817"/>
      <c r="M17817"/>
    </row>
    <row r="17818" spans="5:13" x14ac:dyDescent="0.25">
      <c r="E17818"/>
      <c r="M17818"/>
    </row>
    <row r="17819" spans="5:13" x14ac:dyDescent="0.25">
      <c r="E17819"/>
      <c r="M17819"/>
    </row>
    <row r="17820" spans="5:13" x14ac:dyDescent="0.25">
      <c r="E17820"/>
      <c r="M17820"/>
    </row>
    <row r="17821" spans="5:13" x14ac:dyDescent="0.25">
      <c r="E17821"/>
      <c r="M17821"/>
    </row>
    <row r="17822" spans="5:13" x14ac:dyDescent="0.25">
      <c r="E17822"/>
      <c r="M17822"/>
    </row>
    <row r="17823" spans="5:13" x14ac:dyDescent="0.25">
      <c r="E17823"/>
      <c r="M17823"/>
    </row>
    <row r="17824" spans="5:13" x14ac:dyDescent="0.25">
      <c r="E17824"/>
      <c r="M17824"/>
    </row>
    <row r="17825" spans="5:13" x14ac:dyDescent="0.25">
      <c r="E17825"/>
      <c r="M17825"/>
    </row>
    <row r="17826" spans="5:13" x14ac:dyDescent="0.25">
      <c r="E17826"/>
      <c r="M17826"/>
    </row>
    <row r="17827" spans="5:13" x14ac:dyDescent="0.25">
      <c r="E17827"/>
      <c r="M17827"/>
    </row>
    <row r="17828" spans="5:13" x14ac:dyDescent="0.25">
      <c r="E17828"/>
      <c r="M17828"/>
    </row>
    <row r="17829" spans="5:13" x14ac:dyDescent="0.25">
      <c r="E17829"/>
      <c r="M17829"/>
    </row>
    <row r="17830" spans="5:13" x14ac:dyDescent="0.25">
      <c r="E17830"/>
      <c r="M17830"/>
    </row>
    <row r="17831" spans="5:13" x14ac:dyDescent="0.25">
      <c r="E17831"/>
      <c r="M17831"/>
    </row>
    <row r="17832" spans="5:13" x14ac:dyDescent="0.25">
      <c r="E17832"/>
      <c r="M17832"/>
    </row>
    <row r="17833" spans="5:13" x14ac:dyDescent="0.25">
      <c r="E17833"/>
      <c r="M17833"/>
    </row>
    <row r="17834" spans="5:13" x14ac:dyDescent="0.25">
      <c r="E17834"/>
      <c r="M17834"/>
    </row>
    <row r="17835" spans="5:13" x14ac:dyDescent="0.25">
      <c r="E17835"/>
      <c r="M17835"/>
    </row>
    <row r="17836" spans="5:13" x14ac:dyDescent="0.25">
      <c r="E17836"/>
      <c r="M17836"/>
    </row>
    <row r="17837" spans="5:13" x14ac:dyDescent="0.25">
      <c r="E17837"/>
      <c r="M17837"/>
    </row>
    <row r="17838" spans="5:13" x14ac:dyDescent="0.25">
      <c r="E17838"/>
      <c r="M17838"/>
    </row>
    <row r="17839" spans="5:13" x14ac:dyDescent="0.25">
      <c r="E17839"/>
      <c r="M17839"/>
    </row>
    <row r="17840" spans="5:13" x14ac:dyDescent="0.25">
      <c r="E17840"/>
      <c r="M17840"/>
    </row>
    <row r="17841" spans="5:13" x14ac:dyDescent="0.25">
      <c r="E17841"/>
      <c r="M17841"/>
    </row>
    <row r="17842" spans="5:13" x14ac:dyDescent="0.25">
      <c r="E17842"/>
      <c r="M17842"/>
    </row>
    <row r="17843" spans="5:13" x14ac:dyDescent="0.25">
      <c r="E17843"/>
      <c r="M17843"/>
    </row>
    <row r="17844" spans="5:13" x14ac:dyDescent="0.25">
      <c r="E17844"/>
      <c r="M17844"/>
    </row>
    <row r="17845" spans="5:13" x14ac:dyDescent="0.25">
      <c r="E17845"/>
      <c r="M17845"/>
    </row>
    <row r="17846" spans="5:13" x14ac:dyDescent="0.25">
      <c r="E17846"/>
      <c r="M17846"/>
    </row>
    <row r="17847" spans="5:13" x14ac:dyDescent="0.25">
      <c r="E17847"/>
      <c r="M17847"/>
    </row>
    <row r="17848" spans="5:13" x14ac:dyDescent="0.25">
      <c r="E17848"/>
      <c r="M17848"/>
    </row>
    <row r="17849" spans="5:13" x14ac:dyDescent="0.25">
      <c r="E17849"/>
      <c r="M17849"/>
    </row>
    <row r="17850" spans="5:13" x14ac:dyDescent="0.25">
      <c r="E17850"/>
      <c r="M17850"/>
    </row>
    <row r="17851" spans="5:13" x14ac:dyDescent="0.25">
      <c r="E17851"/>
      <c r="M17851"/>
    </row>
    <row r="17852" spans="5:13" x14ac:dyDescent="0.25">
      <c r="E17852"/>
      <c r="M17852"/>
    </row>
    <row r="17853" spans="5:13" x14ac:dyDescent="0.25">
      <c r="E17853"/>
      <c r="M17853"/>
    </row>
    <row r="17854" spans="5:13" x14ac:dyDescent="0.25">
      <c r="E17854"/>
      <c r="M17854"/>
    </row>
    <row r="17855" spans="5:13" x14ac:dyDescent="0.25">
      <c r="E17855"/>
      <c r="M17855"/>
    </row>
    <row r="17856" spans="5:13" x14ac:dyDescent="0.25">
      <c r="E17856"/>
      <c r="M17856"/>
    </row>
    <row r="17857" spans="5:13" x14ac:dyDescent="0.25">
      <c r="E17857"/>
      <c r="M17857"/>
    </row>
    <row r="17858" spans="5:13" x14ac:dyDescent="0.25">
      <c r="E17858"/>
      <c r="M17858"/>
    </row>
    <row r="17859" spans="5:13" x14ac:dyDescent="0.25">
      <c r="E17859"/>
      <c r="M17859"/>
    </row>
    <row r="17860" spans="5:13" x14ac:dyDescent="0.25">
      <c r="E17860"/>
      <c r="M17860"/>
    </row>
    <row r="17861" spans="5:13" x14ac:dyDescent="0.25">
      <c r="E17861"/>
      <c r="M17861"/>
    </row>
    <row r="17862" spans="5:13" x14ac:dyDescent="0.25">
      <c r="E17862"/>
      <c r="M17862"/>
    </row>
    <row r="17863" spans="5:13" x14ac:dyDescent="0.25">
      <c r="E17863"/>
      <c r="M17863"/>
    </row>
    <row r="17864" spans="5:13" x14ac:dyDescent="0.25">
      <c r="E17864"/>
      <c r="M17864"/>
    </row>
    <row r="17865" spans="5:13" x14ac:dyDescent="0.25">
      <c r="E17865"/>
      <c r="M17865"/>
    </row>
    <row r="17866" spans="5:13" x14ac:dyDescent="0.25">
      <c r="E17866"/>
      <c r="M17866"/>
    </row>
    <row r="17867" spans="5:13" x14ac:dyDescent="0.25">
      <c r="E17867"/>
      <c r="M17867"/>
    </row>
    <row r="17868" spans="5:13" x14ac:dyDescent="0.25">
      <c r="E17868"/>
      <c r="M17868"/>
    </row>
    <row r="17869" spans="5:13" x14ac:dyDescent="0.25">
      <c r="E17869"/>
      <c r="M17869"/>
    </row>
    <row r="17870" spans="5:13" x14ac:dyDescent="0.25">
      <c r="E17870"/>
      <c r="M17870"/>
    </row>
    <row r="17871" spans="5:13" x14ac:dyDescent="0.25">
      <c r="E17871"/>
      <c r="M17871"/>
    </row>
    <row r="17872" spans="5:13" x14ac:dyDescent="0.25">
      <c r="E17872"/>
      <c r="M17872"/>
    </row>
    <row r="17873" spans="5:13" x14ac:dyDescent="0.25">
      <c r="E17873"/>
      <c r="M17873"/>
    </row>
    <row r="17874" spans="5:13" x14ac:dyDescent="0.25">
      <c r="E17874"/>
      <c r="M17874"/>
    </row>
    <row r="17875" spans="5:13" x14ac:dyDescent="0.25">
      <c r="E17875"/>
      <c r="M17875"/>
    </row>
    <row r="17876" spans="5:13" x14ac:dyDescent="0.25">
      <c r="E17876"/>
      <c r="M17876"/>
    </row>
    <row r="17877" spans="5:13" x14ac:dyDescent="0.25">
      <c r="E17877"/>
      <c r="M17877"/>
    </row>
    <row r="17878" spans="5:13" x14ac:dyDescent="0.25">
      <c r="E17878"/>
      <c r="M17878"/>
    </row>
    <row r="17879" spans="5:13" x14ac:dyDescent="0.25">
      <c r="E17879"/>
      <c r="M17879"/>
    </row>
    <row r="17880" spans="5:13" x14ac:dyDescent="0.25">
      <c r="E17880"/>
      <c r="M17880"/>
    </row>
    <row r="17881" spans="5:13" x14ac:dyDescent="0.25">
      <c r="E17881"/>
      <c r="M17881"/>
    </row>
    <row r="17882" spans="5:13" x14ac:dyDescent="0.25">
      <c r="E17882"/>
      <c r="M17882"/>
    </row>
    <row r="17883" spans="5:13" x14ac:dyDescent="0.25">
      <c r="E17883"/>
      <c r="M17883"/>
    </row>
    <row r="17884" spans="5:13" x14ac:dyDescent="0.25">
      <c r="E17884"/>
      <c r="M17884"/>
    </row>
    <row r="17885" spans="5:13" x14ac:dyDescent="0.25">
      <c r="E17885"/>
      <c r="M17885"/>
    </row>
    <row r="17886" spans="5:13" x14ac:dyDescent="0.25">
      <c r="E17886"/>
      <c r="M17886"/>
    </row>
    <row r="17887" spans="5:13" x14ac:dyDescent="0.25">
      <c r="E17887"/>
      <c r="M17887"/>
    </row>
    <row r="17888" spans="5:13" x14ac:dyDescent="0.25">
      <c r="E17888"/>
      <c r="M17888"/>
    </row>
    <row r="17889" spans="5:13" x14ac:dyDescent="0.25">
      <c r="E17889"/>
      <c r="M17889"/>
    </row>
    <row r="17890" spans="5:13" x14ac:dyDescent="0.25">
      <c r="E17890"/>
      <c r="M17890"/>
    </row>
    <row r="17891" spans="5:13" x14ac:dyDescent="0.25">
      <c r="E17891"/>
      <c r="M17891"/>
    </row>
    <row r="17892" spans="5:13" x14ac:dyDescent="0.25">
      <c r="E17892"/>
      <c r="M17892"/>
    </row>
    <row r="17893" spans="5:13" x14ac:dyDescent="0.25">
      <c r="E17893"/>
      <c r="M17893"/>
    </row>
    <row r="17894" spans="5:13" x14ac:dyDescent="0.25">
      <c r="E17894"/>
      <c r="M17894"/>
    </row>
    <row r="17895" spans="5:13" x14ac:dyDescent="0.25">
      <c r="E17895"/>
      <c r="M17895"/>
    </row>
    <row r="17896" spans="5:13" x14ac:dyDescent="0.25">
      <c r="E17896"/>
      <c r="M17896"/>
    </row>
    <row r="17897" spans="5:13" x14ac:dyDescent="0.25">
      <c r="E17897"/>
      <c r="M17897"/>
    </row>
    <row r="17898" spans="5:13" x14ac:dyDescent="0.25">
      <c r="E17898"/>
      <c r="M17898"/>
    </row>
    <row r="17899" spans="5:13" x14ac:dyDescent="0.25">
      <c r="E17899"/>
      <c r="M17899"/>
    </row>
    <row r="17900" spans="5:13" x14ac:dyDescent="0.25">
      <c r="E17900"/>
      <c r="M17900"/>
    </row>
    <row r="17901" spans="5:13" x14ac:dyDescent="0.25">
      <c r="E17901"/>
      <c r="M17901"/>
    </row>
    <row r="17902" spans="5:13" x14ac:dyDescent="0.25">
      <c r="E17902"/>
      <c r="M17902"/>
    </row>
    <row r="17903" spans="5:13" x14ac:dyDescent="0.25">
      <c r="E17903"/>
      <c r="M17903"/>
    </row>
    <row r="17904" spans="5:13" x14ac:dyDescent="0.25">
      <c r="E17904"/>
      <c r="M17904"/>
    </row>
    <row r="17905" spans="5:13" x14ac:dyDescent="0.25">
      <c r="E17905"/>
      <c r="M17905"/>
    </row>
    <row r="17906" spans="5:13" x14ac:dyDescent="0.25">
      <c r="E17906"/>
      <c r="M17906"/>
    </row>
    <row r="17907" spans="5:13" x14ac:dyDescent="0.25">
      <c r="E17907"/>
      <c r="M17907"/>
    </row>
    <row r="17908" spans="5:13" x14ac:dyDescent="0.25">
      <c r="E17908"/>
      <c r="M17908"/>
    </row>
    <row r="17909" spans="5:13" x14ac:dyDescent="0.25">
      <c r="E17909"/>
      <c r="M17909"/>
    </row>
    <row r="17910" spans="5:13" x14ac:dyDescent="0.25">
      <c r="E17910"/>
      <c r="M17910"/>
    </row>
    <row r="17911" spans="5:13" x14ac:dyDescent="0.25">
      <c r="E17911"/>
      <c r="M17911"/>
    </row>
    <row r="17912" spans="5:13" x14ac:dyDescent="0.25">
      <c r="E17912"/>
      <c r="M17912"/>
    </row>
    <row r="17913" spans="5:13" x14ac:dyDescent="0.25">
      <c r="E17913"/>
      <c r="M17913"/>
    </row>
    <row r="17914" spans="5:13" x14ac:dyDescent="0.25">
      <c r="E17914"/>
      <c r="M17914"/>
    </row>
    <row r="17915" spans="5:13" x14ac:dyDescent="0.25">
      <c r="E17915"/>
      <c r="M17915"/>
    </row>
    <row r="17916" spans="5:13" x14ac:dyDescent="0.25">
      <c r="E17916"/>
      <c r="M17916"/>
    </row>
    <row r="17917" spans="5:13" x14ac:dyDescent="0.25">
      <c r="E17917"/>
      <c r="M17917"/>
    </row>
    <row r="17918" spans="5:13" x14ac:dyDescent="0.25">
      <c r="E17918"/>
      <c r="M17918"/>
    </row>
    <row r="17919" spans="5:13" x14ac:dyDescent="0.25">
      <c r="E17919"/>
      <c r="M17919"/>
    </row>
    <row r="17920" spans="5:13" x14ac:dyDescent="0.25">
      <c r="E17920"/>
      <c r="M17920"/>
    </row>
    <row r="17921" spans="5:13" x14ac:dyDescent="0.25">
      <c r="E17921"/>
      <c r="M17921"/>
    </row>
    <row r="17922" spans="5:13" x14ac:dyDescent="0.25">
      <c r="E17922"/>
      <c r="M17922"/>
    </row>
    <row r="17923" spans="5:13" x14ac:dyDescent="0.25">
      <c r="E17923"/>
      <c r="M17923"/>
    </row>
    <row r="17924" spans="5:13" x14ac:dyDescent="0.25">
      <c r="E17924"/>
      <c r="M17924"/>
    </row>
    <row r="17925" spans="5:13" x14ac:dyDescent="0.25">
      <c r="E17925"/>
      <c r="M17925"/>
    </row>
    <row r="17926" spans="5:13" x14ac:dyDescent="0.25">
      <c r="E17926"/>
      <c r="M17926"/>
    </row>
    <row r="17927" spans="5:13" x14ac:dyDescent="0.25">
      <c r="E17927"/>
      <c r="M17927"/>
    </row>
    <row r="17928" spans="5:13" x14ac:dyDescent="0.25">
      <c r="E17928"/>
      <c r="M17928"/>
    </row>
    <row r="17929" spans="5:13" x14ac:dyDescent="0.25">
      <c r="E17929"/>
      <c r="M17929"/>
    </row>
    <row r="17930" spans="5:13" x14ac:dyDescent="0.25">
      <c r="E17930"/>
      <c r="M17930"/>
    </row>
    <row r="17931" spans="5:13" x14ac:dyDescent="0.25">
      <c r="E17931"/>
      <c r="M17931"/>
    </row>
    <row r="17932" spans="5:13" x14ac:dyDescent="0.25">
      <c r="E17932"/>
      <c r="M17932"/>
    </row>
    <row r="17933" spans="5:13" x14ac:dyDescent="0.25">
      <c r="E17933"/>
      <c r="M17933"/>
    </row>
    <row r="17934" spans="5:13" x14ac:dyDescent="0.25">
      <c r="E17934"/>
      <c r="M17934"/>
    </row>
    <row r="17935" spans="5:13" x14ac:dyDescent="0.25">
      <c r="E17935"/>
      <c r="M17935"/>
    </row>
    <row r="17936" spans="5:13" x14ac:dyDescent="0.25">
      <c r="E17936"/>
      <c r="M17936"/>
    </row>
    <row r="17937" spans="5:13" x14ac:dyDescent="0.25">
      <c r="E17937"/>
      <c r="M17937"/>
    </row>
    <row r="17938" spans="5:13" x14ac:dyDescent="0.25">
      <c r="E17938"/>
      <c r="M17938"/>
    </row>
    <row r="17939" spans="5:13" x14ac:dyDescent="0.25">
      <c r="E17939"/>
      <c r="M17939"/>
    </row>
    <row r="17940" spans="5:13" x14ac:dyDescent="0.25">
      <c r="E17940"/>
      <c r="M17940"/>
    </row>
    <row r="17941" spans="5:13" x14ac:dyDescent="0.25">
      <c r="E17941"/>
      <c r="M17941"/>
    </row>
    <row r="17942" spans="5:13" x14ac:dyDescent="0.25">
      <c r="E17942"/>
      <c r="M17942"/>
    </row>
    <row r="17943" spans="5:13" x14ac:dyDescent="0.25">
      <c r="E17943"/>
      <c r="M17943"/>
    </row>
    <row r="17944" spans="5:13" x14ac:dyDescent="0.25">
      <c r="E17944"/>
      <c r="M17944"/>
    </row>
    <row r="17945" spans="5:13" x14ac:dyDescent="0.25">
      <c r="E17945"/>
      <c r="M17945"/>
    </row>
    <row r="17946" spans="5:13" x14ac:dyDescent="0.25">
      <c r="E17946"/>
      <c r="M17946"/>
    </row>
    <row r="17947" spans="5:13" x14ac:dyDescent="0.25">
      <c r="E17947"/>
      <c r="M17947"/>
    </row>
    <row r="17948" spans="5:13" x14ac:dyDescent="0.25">
      <c r="E17948"/>
      <c r="M17948"/>
    </row>
    <row r="17949" spans="5:13" x14ac:dyDescent="0.25">
      <c r="E17949"/>
      <c r="M17949"/>
    </row>
    <row r="17950" spans="5:13" x14ac:dyDescent="0.25">
      <c r="E17950"/>
      <c r="M17950"/>
    </row>
    <row r="17951" spans="5:13" x14ac:dyDescent="0.25">
      <c r="E17951"/>
      <c r="M17951"/>
    </row>
    <row r="17952" spans="5:13" x14ac:dyDescent="0.25">
      <c r="E17952"/>
      <c r="M17952"/>
    </row>
    <row r="17953" spans="5:13" x14ac:dyDescent="0.25">
      <c r="E17953"/>
      <c r="M17953"/>
    </row>
    <row r="17954" spans="5:13" x14ac:dyDescent="0.25">
      <c r="E17954"/>
      <c r="M17954"/>
    </row>
    <row r="17955" spans="5:13" x14ac:dyDescent="0.25">
      <c r="E17955"/>
      <c r="M17955"/>
    </row>
    <row r="17956" spans="5:13" x14ac:dyDescent="0.25">
      <c r="E17956"/>
      <c r="M17956"/>
    </row>
    <row r="17957" spans="5:13" x14ac:dyDescent="0.25">
      <c r="E17957"/>
      <c r="M17957"/>
    </row>
    <row r="17958" spans="5:13" x14ac:dyDescent="0.25">
      <c r="E17958"/>
      <c r="M17958"/>
    </row>
    <row r="17959" spans="5:13" x14ac:dyDescent="0.25">
      <c r="E17959"/>
      <c r="M17959"/>
    </row>
    <row r="17960" spans="5:13" x14ac:dyDescent="0.25">
      <c r="E17960"/>
      <c r="M17960"/>
    </row>
    <row r="17961" spans="5:13" x14ac:dyDescent="0.25">
      <c r="E17961"/>
      <c r="M17961"/>
    </row>
    <row r="17962" spans="5:13" x14ac:dyDescent="0.25">
      <c r="E17962"/>
      <c r="M17962"/>
    </row>
    <row r="17963" spans="5:13" x14ac:dyDescent="0.25">
      <c r="E17963"/>
      <c r="M17963"/>
    </row>
    <row r="17964" spans="5:13" x14ac:dyDescent="0.25">
      <c r="E17964"/>
      <c r="M17964"/>
    </row>
    <row r="17965" spans="5:13" x14ac:dyDescent="0.25">
      <c r="E17965"/>
      <c r="M17965"/>
    </row>
    <row r="17966" spans="5:13" x14ac:dyDescent="0.25">
      <c r="E17966"/>
      <c r="M17966"/>
    </row>
    <row r="17967" spans="5:13" x14ac:dyDescent="0.25">
      <c r="E17967"/>
      <c r="M17967"/>
    </row>
    <row r="17968" spans="5:13" x14ac:dyDescent="0.25">
      <c r="E17968"/>
      <c r="M17968"/>
    </row>
    <row r="17969" spans="5:13" x14ac:dyDescent="0.25">
      <c r="E17969"/>
      <c r="M17969"/>
    </row>
    <row r="17970" spans="5:13" x14ac:dyDescent="0.25">
      <c r="E17970"/>
      <c r="M17970"/>
    </row>
    <row r="17971" spans="5:13" x14ac:dyDescent="0.25">
      <c r="E17971"/>
      <c r="M17971"/>
    </row>
    <row r="17972" spans="5:13" x14ac:dyDescent="0.25">
      <c r="E17972"/>
      <c r="M17972"/>
    </row>
    <row r="17973" spans="5:13" x14ac:dyDescent="0.25">
      <c r="E17973"/>
      <c r="M17973"/>
    </row>
    <row r="17974" spans="5:13" x14ac:dyDescent="0.25">
      <c r="E17974"/>
      <c r="M17974"/>
    </row>
    <row r="17975" spans="5:13" x14ac:dyDescent="0.25">
      <c r="E17975"/>
      <c r="M17975"/>
    </row>
    <row r="17976" spans="5:13" x14ac:dyDescent="0.25">
      <c r="E17976"/>
      <c r="M17976"/>
    </row>
    <row r="17977" spans="5:13" x14ac:dyDescent="0.25">
      <c r="E17977"/>
      <c r="M17977"/>
    </row>
    <row r="17978" spans="5:13" x14ac:dyDescent="0.25">
      <c r="E17978"/>
      <c r="M17978"/>
    </row>
    <row r="17979" spans="5:13" x14ac:dyDescent="0.25">
      <c r="E17979"/>
      <c r="M17979"/>
    </row>
    <row r="17980" spans="5:13" x14ac:dyDescent="0.25">
      <c r="E17980"/>
      <c r="M17980"/>
    </row>
    <row r="17981" spans="5:13" x14ac:dyDescent="0.25">
      <c r="E17981"/>
      <c r="M17981"/>
    </row>
    <row r="17982" spans="5:13" x14ac:dyDescent="0.25">
      <c r="E17982"/>
      <c r="M17982"/>
    </row>
    <row r="17983" spans="5:13" x14ac:dyDescent="0.25">
      <c r="E17983"/>
      <c r="M17983"/>
    </row>
    <row r="17984" spans="5:13" x14ac:dyDescent="0.25">
      <c r="E17984"/>
      <c r="M17984"/>
    </row>
    <row r="17985" spans="5:13" x14ac:dyDescent="0.25">
      <c r="E17985"/>
      <c r="M17985"/>
    </row>
    <row r="17986" spans="5:13" x14ac:dyDescent="0.25">
      <c r="E17986"/>
      <c r="M17986"/>
    </row>
    <row r="17987" spans="5:13" x14ac:dyDescent="0.25">
      <c r="E17987"/>
      <c r="M17987"/>
    </row>
    <row r="17988" spans="5:13" x14ac:dyDescent="0.25">
      <c r="E17988"/>
      <c r="M17988"/>
    </row>
    <row r="17989" spans="5:13" x14ac:dyDescent="0.25">
      <c r="E17989"/>
      <c r="M17989"/>
    </row>
    <row r="17990" spans="5:13" x14ac:dyDescent="0.25">
      <c r="E17990"/>
      <c r="M17990"/>
    </row>
    <row r="17991" spans="5:13" x14ac:dyDescent="0.25">
      <c r="E17991"/>
      <c r="M17991"/>
    </row>
    <row r="17992" spans="5:13" x14ac:dyDescent="0.25">
      <c r="E17992"/>
      <c r="M17992"/>
    </row>
    <row r="17993" spans="5:13" x14ac:dyDescent="0.25">
      <c r="E17993"/>
      <c r="M17993"/>
    </row>
    <row r="17994" spans="5:13" x14ac:dyDescent="0.25">
      <c r="E17994"/>
      <c r="M17994"/>
    </row>
    <row r="17995" spans="5:13" x14ac:dyDescent="0.25">
      <c r="E17995"/>
      <c r="M17995"/>
    </row>
    <row r="17996" spans="5:13" x14ac:dyDescent="0.25">
      <c r="E17996"/>
      <c r="M17996"/>
    </row>
    <row r="17997" spans="5:13" x14ac:dyDescent="0.25">
      <c r="E17997"/>
      <c r="M17997"/>
    </row>
    <row r="17998" spans="5:13" x14ac:dyDescent="0.25">
      <c r="E17998"/>
      <c r="M17998"/>
    </row>
    <row r="17999" spans="5:13" x14ac:dyDescent="0.25">
      <c r="E17999"/>
      <c r="M17999"/>
    </row>
    <row r="18000" spans="5:13" x14ac:dyDescent="0.25">
      <c r="E18000"/>
      <c r="M18000"/>
    </row>
    <row r="18001" spans="5:13" x14ac:dyDescent="0.25">
      <c r="E18001"/>
      <c r="M18001"/>
    </row>
    <row r="18002" spans="5:13" x14ac:dyDescent="0.25">
      <c r="E18002"/>
      <c r="M18002"/>
    </row>
    <row r="18003" spans="5:13" x14ac:dyDescent="0.25">
      <c r="E18003"/>
      <c r="M18003"/>
    </row>
    <row r="18004" spans="5:13" x14ac:dyDescent="0.25">
      <c r="E18004"/>
      <c r="M18004"/>
    </row>
    <row r="18005" spans="5:13" x14ac:dyDescent="0.25">
      <c r="E18005"/>
      <c r="M18005"/>
    </row>
    <row r="18006" spans="5:13" x14ac:dyDescent="0.25">
      <c r="E18006"/>
      <c r="M18006"/>
    </row>
    <row r="18007" spans="5:13" x14ac:dyDescent="0.25">
      <c r="E18007"/>
      <c r="M18007"/>
    </row>
    <row r="18008" spans="5:13" x14ac:dyDescent="0.25">
      <c r="E18008"/>
      <c r="M18008"/>
    </row>
    <row r="18009" spans="5:13" x14ac:dyDescent="0.25">
      <c r="E18009"/>
      <c r="M18009"/>
    </row>
    <row r="18010" spans="5:13" x14ac:dyDescent="0.25">
      <c r="E18010"/>
      <c r="M18010"/>
    </row>
    <row r="18011" spans="5:13" x14ac:dyDescent="0.25">
      <c r="E18011"/>
      <c r="M18011"/>
    </row>
    <row r="18012" spans="5:13" x14ac:dyDescent="0.25">
      <c r="E18012"/>
      <c r="M18012"/>
    </row>
    <row r="18013" spans="5:13" x14ac:dyDescent="0.25">
      <c r="E18013"/>
      <c r="M18013"/>
    </row>
    <row r="18014" spans="5:13" x14ac:dyDescent="0.25">
      <c r="E18014"/>
      <c r="M18014"/>
    </row>
    <row r="18015" spans="5:13" x14ac:dyDescent="0.25">
      <c r="E18015"/>
      <c r="M18015"/>
    </row>
    <row r="18016" spans="5:13" x14ac:dyDescent="0.25">
      <c r="E18016"/>
      <c r="M18016"/>
    </row>
    <row r="18017" spans="5:13" x14ac:dyDescent="0.25">
      <c r="E18017"/>
      <c r="M18017"/>
    </row>
    <row r="18018" spans="5:13" x14ac:dyDescent="0.25">
      <c r="E18018"/>
      <c r="M18018"/>
    </row>
    <row r="18019" spans="5:13" x14ac:dyDescent="0.25">
      <c r="E18019"/>
      <c r="M18019"/>
    </row>
    <row r="18020" spans="5:13" x14ac:dyDescent="0.25">
      <c r="E18020"/>
      <c r="M18020"/>
    </row>
    <row r="18021" spans="5:13" x14ac:dyDescent="0.25">
      <c r="E18021"/>
      <c r="M18021"/>
    </row>
    <row r="18022" spans="5:13" x14ac:dyDescent="0.25">
      <c r="E18022"/>
      <c r="M18022"/>
    </row>
    <row r="18023" spans="5:13" x14ac:dyDescent="0.25">
      <c r="E18023"/>
      <c r="M18023"/>
    </row>
    <row r="18024" spans="5:13" x14ac:dyDescent="0.25">
      <c r="E18024"/>
      <c r="M18024"/>
    </row>
    <row r="18025" spans="5:13" x14ac:dyDescent="0.25">
      <c r="E18025"/>
      <c r="M18025"/>
    </row>
    <row r="18026" spans="5:13" x14ac:dyDescent="0.25">
      <c r="E18026"/>
      <c r="M18026"/>
    </row>
    <row r="18027" spans="5:13" x14ac:dyDescent="0.25">
      <c r="E18027"/>
      <c r="M18027"/>
    </row>
    <row r="18028" spans="5:13" x14ac:dyDescent="0.25">
      <c r="E18028"/>
      <c r="M18028"/>
    </row>
    <row r="18029" spans="5:13" x14ac:dyDescent="0.25">
      <c r="E18029"/>
      <c r="M18029"/>
    </row>
    <row r="18030" spans="5:13" x14ac:dyDescent="0.25">
      <c r="E18030"/>
      <c r="M18030"/>
    </row>
    <row r="18031" spans="5:13" x14ac:dyDescent="0.25">
      <c r="E18031"/>
      <c r="M18031"/>
    </row>
    <row r="18032" spans="5:13" x14ac:dyDescent="0.25">
      <c r="E18032"/>
      <c r="M18032"/>
    </row>
    <row r="18033" spans="5:13" x14ac:dyDescent="0.25">
      <c r="E18033"/>
      <c r="M18033"/>
    </row>
    <row r="18034" spans="5:13" x14ac:dyDescent="0.25">
      <c r="E18034"/>
      <c r="M18034"/>
    </row>
    <row r="18035" spans="5:13" x14ac:dyDescent="0.25">
      <c r="E18035"/>
      <c r="M18035"/>
    </row>
    <row r="18036" spans="5:13" x14ac:dyDescent="0.25">
      <c r="E18036"/>
      <c r="M18036"/>
    </row>
    <row r="18037" spans="5:13" x14ac:dyDescent="0.25">
      <c r="E18037"/>
      <c r="M18037"/>
    </row>
    <row r="18038" spans="5:13" x14ac:dyDescent="0.25">
      <c r="E18038"/>
      <c r="M18038"/>
    </row>
    <row r="18039" spans="5:13" x14ac:dyDescent="0.25">
      <c r="E18039"/>
      <c r="M18039"/>
    </row>
    <row r="18040" spans="5:13" x14ac:dyDescent="0.25">
      <c r="E18040"/>
      <c r="M18040"/>
    </row>
    <row r="18041" spans="5:13" x14ac:dyDescent="0.25">
      <c r="E18041"/>
      <c r="M18041"/>
    </row>
    <row r="18042" spans="5:13" x14ac:dyDescent="0.25">
      <c r="E18042"/>
      <c r="M18042"/>
    </row>
    <row r="18043" spans="5:13" x14ac:dyDescent="0.25">
      <c r="E18043"/>
      <c r="M18043"/>
    </row>
    <row r="18044" spans="5:13" x14ac:dyDescent="0.25">
      <c r="E18044"/>
      <c r="M18044"/>
    </row>
    <row r="18045" spans="5:13" x14ac:dyDescent="0.25">
      <c r="E18045"/>
      <c r="M18045"/>
    </row>
    <row r="18046" spans="5:13" x14ac:dyDescent="0.25">
      <c r="E18046"/>
      <c r="M18046"/>
    </row>
    <row r="18047" spans="5:13" x14ac:dyDescent="0.25">
      <c r="E18047"/>
      <c r="M18047"/>
    </row>
    <row r="18048" spans="5:13" x14ac:dyDescent="0.25">
      <c r="E18048"/>
      <c r="M18048"/>
    </row>
    <row r="18049" spans="5:13" x14ac:dyDescent="0.25">
      <c r="E18049"/>
      <c r="M18049"/>
    </row>
    <row r="18050" spans="5:13" x14ac:dyDescent="0.25">
      <c r="E18050"/>
      <c r="M18050"/>
    </row>
    <row r="18051" spans="5:13" x14ac:dyDescent="0.25">
      <c r="E18051"/>
      <c r="M18051"/>
    </row>
    <row r="18052" spans="5:13" x14ac:dyDescent="0.25">
      <c r="E18052"/>
      <c r="M18052"/>
    </row>
    <row r="18053" spans="5:13" x14ac:dyDescent="0.25">
      <c r="E18053"/>
      <c r="M18053"/>
    </row>
    <row r="18054" spans="5:13" x14ac:dyDescent="0.25">
      <c r="E18054"/>
      <c r="M18054"/>
    </row>
    <row r="18055" spans="5:13" x14ac:dyDescent="0.25">
      <c r="E18055"/>
      <c r="M18055"/>
    </row>
    <row r="18056" spans="5:13" x14ac:dyDescent="0.25">
      <c r="E18056"/>
      <c r="M18056"/>
    </row>
    <row r="18057" spans="5:13" x14ac:dyDescent="0.25">
      <c r="E18057"/>
      <c r="M18057"/>
    </row>
    <row r="18058" spans="5:13" x14ac:dyDescent="0.25">
      <c r="E18058"/>
      <c r="M18058"/>
    </row>
    <row r="18059" spans="5:13" x14ac:dyDescent="0.25">
      <c r="E18059"/>
      <c r="M18059"/>
    </row>
    <row r="18060" spans="5:13" x14ac:dyDescent="0.25">
      <c r="E18060"/>
      <c r="M18060"/>
    </row>
    <row r="18061" spans="5:13" x14ac:dyDescent="0.25">
      <c r="E18061"/>
      <c r="M18061"/>
    </row>
    <row r="18062" spans="5:13" x14ac:dyDescent="0.25">
      <c r="E18062"/>
      <c r="M18062"/>
    </row>
    <row r="18063" spans="5:13" x14ac:dyDescent="0.25">
      <c r="E18063"/>
      <c r="M18063"/>
    </row>
    <row r="18064" spans="5:13" x14ac:dyDescent="0.25">
      <c r="E18064"/>
      <c r="M18064"/>
    </row>
    <row r="18065" spans="5:13" x14ac:dyDescent="0.25">
      <c r="E18065"/>
      <c r="M18065"/>
    </row>
    <row r="18066" spans="5:13" x14ac:dyDescent="0.25">
      <c r="E18066"/>
      <c r="M18066"/>
    </row>
    <row r="18067" spans="5:13" x14ac:dyDescent="0.25">
      <c r="E18067"/>
      <c r="M18067"/>
    </row>
    <row r="18068" spans="5:13" x14ac:dyDescent="0.25">
      <c r="E18068"/>
      <c r="M18068"/>
    </row>
    <row r="18069" spans="5:13" x14ac:dyDescent="0.25">
      <c r="E18069"/>
      <c r="M18069"/>
    </row>
    <row r="18070" spans="5:13" x14ac:dyDescent="0.25">
      <c r="E18070"/>
      <c r="M18070"/>
    </row>
    <row r="18071" spans="5:13" x14ac:dyDescent="0.25">
      <c r="E18071"/>
      <c r="M18071"/>
    </row>
    <row r="18072" spans="5:13" x14ac:dyDescent="0.25">
      <c r="E18072"/>
      <c r="M18072"/>
    </row>
    <row r="18073" spans="5:13" x14ac:dyDescent="0.25">
      <c r="E18073"/>
      <c r="M18073"/>
    </row>
    <row r="18074" spans="5:13" x14ac:dyDescent="0.25">
      <c r="E18074"/>
      <c r="M18074"/>
    </row>
    <row r="18075" spans="5:13" x14ac:dyDescent="0.25">
      <c r="E18075"/>
      <c r="M18075"/>
    </row>
    <row r="18076" spans="5:13" x14ac:dyDescent="0.25">
      <c r="E18076"/>
      <c r="M18076"/>
    </row>
    <row r="18077" spans="5:13" x14ac:dyDescent="0.25">
      <c r="E18077"/>
      <c r="M18077"/>
    </row>
    <row r="18078" spans="5:13" x14ac:dyDescent="0.25">
      <c r="E18078"/>
      <c r="M18078"/>
    </row>
    <row r="18079" spans="5:13" x14ac:dyDescent="0.25">
      <c r="E18079"/>
      <c r="M18079"/>
    </row>
    <row r="18080" spans="5:13" x14ac:dyDescent="0.25">
      <c r="E18080"/>
      <c r="M18080"/>
    </row>
    <row r="18081" spans="5:13" x14ac:dyDescent="0.25">
      <c r="E18081"/>
      <c r="M18081"/>
    </row>
    <row r="18082" spans="5:13" x14ac:dyDescent="0.25">
      <c r="E18082"/>
      <c r="M18082"/>
    </row>
    <row r="18083" spans="5:13" x14ac:dyDescent="0.25">
      <c r="E18083"/>
      <c r="M18083"/>
    </row>
    <row r="18084" spans="5:13" x14ac:dyDescent="0.25">
      <c r="E18084"/>
      <c r="M18084"/>
    </row>
    <row r="18085" spans="5:13" x14ac:dyDescent="0.25">
      <c r="E18085"/>
      <c r="M18085"/>
    </row>
    <row r="18086" spans="5:13" x14ac:dyDescent="0.25">
      <c r="E18086"/>
      <c r="M18086"/>
    </row>
    <row r="18087" spans="5:13" x14ac:dyDescent="0.25">
      <c r="E18087"/>
      <c r="M18087"/>
    </row>
    <row r="18088" spans="5:13" x14ac:dyDescent="0.25">
      <c r="E18088"/>
      <c r="M18088"/>
    </row>
    <row r="18089" spans="5:13" x14ac:dyDescent="0.25">
      <c r="E18089"/>
      <c r="M18089"/>
    </row>
    <row r="18090" spans="5:13" x14ac:dyDescent="0.25">
      <c r="E18090"/>
      <c r="M18090"/>
    </row>
    <row r="18091" spans="5:13" x14ac:dyDescent="0.25">
      <c r="E18091"/>
      <c r="M18091"/>
    </row>
    <row r="18092" spans="5:13" x14ac:dyDescent="0.25">
      <c r="E18092"/>
      <c r="M18092"/>
    </row>
    <row r="18093" spans="5:13" x14ac:dyDescent="0.25">
      <c r="E18093"/>
      <c r="M18093"/>
    </row>
    <row r="18094" spans="5:13" x14ac:dyDescent="0.25">
      <c r="E18094"/>
      <c r="M18094"/>
    </row>
    <row r="18095" spans="5:13" x14ac:dyDescent="0.25">
      <c r="E18095"/>
      <c r="M18095"/>
    </row>
    <row r="18096" spans="5:13" x14ac:dyDescent="0.25">
      <c r="E18096"/>
      <c r="M18096"/>
    </row>
    <row r="18097" spans="5:13" x14ac:dyDescent="0.25">
      <c r="E18097"/>
      <c r="M18097"/>
    </row>
    <row r="18098" spans="5:13" x14ac:dyDescent="0.25">
      <c r="E18098"/>
      <c r="M18098"/>
    </row>
    <row r="18099" spans="5:13" x14ac:dyDescent="0.25">
      <c r="E18099"/>
      <c r="M18099"/>
    </row>
    <row r="18100" spans="5:13" x14ac:dyDescent="0.25">
      <c r="E18100"/>
      <c r="M18100"/>
    </row>
    <row r="18101" spans="5:13" x14ac:dyDescent="0.25">
      <c r="E18101"/>
      <c r="M18101"/>
    </row>
    <row r="18102" spans="5:13" x14ac:dyDescent="0.25">
      <c r="E18102"/>
      <c r="M18102"/>
    </row>
    <row r="18103" spans="5:13" x14ac:dyDescent="0.25">
      <c r="E18103"/>
      <c r="M18103"/>
    </row>
    <row r="18104" spans="5:13" x14ac:dyDescent="0.25">
      <c r="E18104"/>
      <c r="M18104"/>
    </row>
    <row r="18105" spans="5:13" x14ac:dyDescent="0.25">
      <c r="E18105"/>
      <c r="M18105"/>
    </row>
    <row r="18106" spans="5:13" x14ac:dyDescent="0.25">
      <c r="E18106"/>
      <c r="M18106"/>
    </row>
    <row r="18107" spans="5:13" x14ac:dyDescent="0.25">
      <c r="E18107"/>
      <c r="M18107"/>
    </row>
    <row r="18108" spans="5:13" x14ac:dyDescent="0.25">
      <c r="E18108"/>
      <c r="M18108"/>
    </row>
    <row r="18109" spans="5:13" x14ac:dyDescent="0.25">
      <c r="E18109"/>
      <c r="M18109"/>
    </row>
    <row r="18110" spans="5:13" x14ac:dyDescent="0.25">
      <c r="E18110"/>
      <c r="M18110"/>
    </row>
    <row r="18111" spans="5:13" x14ac:dyDescent="0.25">
      <c r="E18111"/>
      <c r="M18111"/>
    </row>
    <row r="18112" spans="5:13" x14ac:dyDescent="0.25">
      <c r="E18112"/>
      <c r="M18112"/>
    </row>
    <row r="18113" spans="5:13" x14ac:dyDescent="0.25">
      <c r="E18113"/>
      <c r="M18113"/>
    </row>
    <row r="18114" spans="5:13" x14ac:dyDescent="0.25">
      <c r="E18114"/>
      <c r="M18114"/>
    </row>
    <row r="18115" spans="5:13" x14ac:dyDescent="0.25">
      <c r="E18115"/>
      <c r="M18115"/>
    </row>
    <row r="18116" spans="5:13" x14ac:dyDescent="0.25">
      <c r="E18116"/>
      <c r="M18116"/>
    </row>
    <row r="18117" spans="5:13" x14ac:dyDescent="0.25">
      <c r="E18117"/>
      <c r="M18117"/>
    </row>
    <row r="18118" spans="5:13" x14ac:dyDescent="0.25">
      <c r="E18118"/>
      <c r="M18118"/>
    </row>
    <row r="18119" spans="5:13" x14ac:dyDescent="0.25">
      <c r="E18119"/>
      <c r="M18119"/>
    </row>
    <row r="18120" spans="5:13" x14ac:dyDescent="0.25">
      <c r="E18120"/>
      <c r="M18120"/>
    </row>
    <row r="18121" spans="5:13" x14ac:dyDescent="0.25">
      <c r="E18121"/>
      <c r="M18121"/>
    </row>
    <row r="18122" spans="5:13" x14ac:dyDescent="0.25">
      <c r="E18122"/>
      <c r="M18122"/>
    </row>
    <row r="18123" spans="5:13" x14ac:dyDescent="0.25">
      <c r="E18123"/>
      <c r="M18123"/>
    </row>
    <row r="18124" spans="5:13" x14ac:dyDescent="0.25">
      <c r="E18124"/>
      <c r="M18124"/>
    </row>
    <row r="18125" spans="5:13" x14ac:dyDescent="0.25">
      <c r="E18125"/>
      <c r="M18125"/>
    </row>
    <row r="18126" spans="5:13" x14ac:dyDescent="0.25">
      <c r="E18126"/>
      <c r="M18126"/>
    </row>
    <row r="18127" spans="5:13" x14ac:dyDescent="0.25">
      <c r="E18127"/>
      <c r="M18127"/>
    </row>
    <row r="18128" spans="5:13" x14ac:dyDescent="0.25">
      <c r="E18128"/>
      <c r="M18128"/>
    </row>
    <row r="18129" spans="5:13" x14ac:dyDescent="0.25">
      <c r="E18129"/>
      <c r="M18129"/>
    </row>
    <row r="18130" spans="5:13" x14ac:dyDescent="0.25">
      <c r="E18130"/>
      <c r="M18130"/>
    </row>
    <row r="18131" spans="5:13" x14ac:dyDescent="0.25">
      <c r="E18131"/>
      <c r="M18131"/>
    </row>
    <row r="18132" spans="5:13" x14ac:dyDescent="0.25">
      <c r="E18132"/>
      <c r="M18132"/>
    </row>
    <row r="18133" spans="5:13" x14ac:dyDescent="0.25">
      <c r="E18133"/>
      <c r="M18133"/>
    </row>
    <row r="18134" spans="5:13" x14ac:dyDescent="0.25">
      <c r="E18134"/>
      <c r="M18134"/>
    </row>
    <row r="18135" spans="5:13" x14ac:dyDescent="0.25">
      <c r="E18135"/>
      <c r="M18135"/>
    </row>
    <row r="18136" spans="5:13" x14ac:dyDescent="0.25">
      <c r="E18136"/>
      <c r="M18136"/>
    </row>
    <row r="18137" spans="5:13" x14ac:dyDescent="0.25">
      <c r="E18137"/>
      <c r="M18137"/>
    </row>
    <row r="18138" spans="5:13" x14ac:dyDescent="0.25">
      <c r="E18138"/>
      <c r="M18138"/>
    </row>
    <row r="18139" spans="5:13" x14ac:dyDescent="0.25">
      <c r="E18139"/>
      <c r="M18139"/>
    </row>
    <row r="18140" spans="5:13" x14ac:dyDescent="0.25">
      <c r="E18140"/>
      <c r="M18140"/>
    </row>
    <row r="18141" spans="5:13" x14ac:dyDescent="0.25">
      <c r="E18141"/>
      <c r="M18141"/>
    </row>
    <row r="18142" spans="5:13" x14ac:dyDescent="0.25">
      <c r="E18142"/>
      <c r="M18142"/>
    </row>
    <row r="18143" spans="5:13" x14ac:dyDescent="0.25">
      <c r="E18143"/>
      <c r="M18143"/>
    </row>
    <row r="18144" spans="5:13" x14ac:dyDescent="0.25">
      <c r="E18144"/>
      <c r="M18144"/>
    </row>
    <row r="18145" spans="5:13" x14ac:dyDescent="0.25">
      <c r="E18145"/>
      <c r="M18145"/>
    </row>
    <row r="18146" spans="5:13" x14ac:dyDescent="0.25">
      <c r="E18146"/>
      <c r="M18146"/>
    </row>
    <row r="18147" spans="5:13" x14ac:dyDescent="0.25">
      <c r="E18147"/>
      <c r="M18147"/>
    </row>
    <row r="18148" spans="5:13" x14ac:dyDescent="0.25">
      <c r="E18148"/>
      <c r="M18148"/>
    </row>
    <row r="18149" spans="5:13" x14ac:dyDescent="0.25">
      <c r="E18149"/>
      <c r="M18149"/>
    </row>
    <row r="18150" spans="5:13" x14ac:dyDescent="0.25">
      <c r="E18150"/>
      <c r="M18150"/>
    </row>
    <row r="18151" spans="5:13" x14ac:dyDescent="0.25">
      <c r="E18151"/>
      <c r="M18151"/>
    </row>
    <row r="18152" spans="5:13" x14ac:dyDescent="0.25">
      <c r="E18152"/>
      <c r="M18152"/>
    </row>
    <row r="18153" spans="5:13" x14ac:dyDescent="0.25">
      <c r="E18153"/>
      <c r="M18153"/>
    </row>
    <row r="18154" spans="5:13" x14ac:dyDescent="0.25">
      <c r="E18154"/>
      <c r="M18154"/>
    </row>
    <row r="18155" spans="5:13" x14ac:dyDescent="0.25">
      <c r="E18155"/>
      <c r="M18155"/>
    </row>
    <row r="18156" spans="5:13" x14ac:dyDescent="0.25">
      <c r="E18156"/>
      <c r="M18156"/>
    </row>
    <row r="18157" spans="5:13" x14ac:dyDescent="0.25">
      <c r="E18157"/>
      <c r="M18157"/>
    </row>
    <row r="18158" spans="5:13" x14ac:dyDescent="0.25">
      <c r="E18158"/>
      <c r="M18158"/>
    </row>
    <row r="18159" spans="5:13" x14ac:dyDescent="0.25">
      <c r="E18159"/>
      <c r="M18159"/>
    </row>
    <row r="18160" spans="5:13" x14ac:dyDescent="0.25">
      <c r="E18160"/>
      <c r="M18160"/>
    </row>
    <row r="18161" spans="5:13" x14ac:dyDescent="0.25">
      <c r="E18161"/>
      <c r="M18161"/>
    </row>
    <row r="18162" spans="5:13" x14ac:dyDescent="0.25">
      <c r="E18162"/>
      <c r="M18162"/>
    </row>
    <row r="18163" spans="5:13" x14ac:dyDescent="0.25">
      <c r="E18163"/>
      <c r="M18163"/>
    </row>
    <row r="18164" spans="5:13" x14ac:dyDescent="0.25">
      <c r="E18164"/>
      <c r="M18164"/>
    </row>
    <row r="18165" spans="5:13" x14ac:dyDescent="0.25">
      <c r="E18165"/>
      <c r="M18165"/>
    </row>
    <row r="18166" spans="5:13" x14ac:dyDescent="0.25">
      <c r="E18166"/>
      <c r="M18166"/>
    </row>
    <row r="18167" spans="5:13" x14ac:dyDescent="0.25">
      <c r="E18167"/>
      <c r="M18167"/>
    </row>
    <row r="18168" spans="5:13" x14ac:dyDescent="0.25">
      <c r="E18168"/>
      <c r="M18168"/>
    </row>
    <row r="18169" spans="5:13" x14ac:dyDescent="0.25">
      <c r="E18169"/>
      <c r="M18169"/>
    </row>
    <row r="18170" spans="5:13" x14ac:dyDescent="0.25">
      <c r="E18170"/>
      <c r="M18170"/>
    </row>
    <row r="18171" spans="5:13" x14ac:dyDescent="0.25">
      <c r="E18171"/>
      <c r="M18171"/>
    </row>
    <row r="18172" spans="5:13" x14ac:dyDescent="0.25">
      <c r="E18172"/>
      <c r="M18172"/>
    </row>
    <row r="18173" spans="5:13" x14ac:dyDescent="0.25">
      <c r="E18173"/>
      <c r="M18173"/>
    </row>
    <row r="18174" spans="5:13" x14ac:dyDescent="0.25">
      <c r="E18174"/>
      <c r="M18174"/>
    </row>
    <row r="18175" spans="5:13" x14ac:dyDescent="0.25">
      <c r="E18175"/>
      <c r="M18175"/>
    </row>
    <row r="18176" spans="5:13" x14ac:dyDescent="0.25">
      <c r="E18176"/>
      <c r="M18176"/>
    </row>
    <row r="18177" spans="5:13" x14ac:dyDescent="0.25">
      <c r="E18177"/>
      <c r="M18177"/>
    </row>
    <row r="18178" spans="5:13" x14ac:dyDescent="0.25">
      <c r="E18178"/>
      <c r="M18178"/>
    </row>
    <row r="18179" spans="5:13" x14ac:dyDescent="0.25">
      <c r="E18179"/>
      <c r="M18179"/>
    </row>
    <row r="18180" spans="5:13" x14ac:dyDescent="0.25">
      <c r="E18180"/>
      <c r="M18180"/>
    </row>
    <row r="18181" spans="5:13" x14ac:dyDescent="0.25">
      <c r="E18181"/>
      <c r="M18181"/>
    </row>
    <row r="18182" spans="5:13" x14ac:dyDescent="0.25">
      <c r="E18182"/>
      <c r="M18182"/>
    </row>
    <row r="18183" spans="5:13" x14ac:dyDescent="0.25">
      <c r="E18183"/>
      <c r="M18183"/>
    </row>
    <row r="18184" spans="5:13" x14ac:dyDescent="0.25">
      <c r="E18184"/>
      <c r="M18184"/>
    </row>
    <row r="18185" spans="5:13" x14ac:dyDescent="0.25">
      <c r="E18185"/>
      <c r="M18185"/>
    </row>
    <row r="18186" spans="5:13" x14ac:dyDescent="0.25">
      <c r="E18186"/>
      <c r="M18186"/>
    </row>
    <row r="18187" spans="5:13" x14ac:dyDescent="0.25">
      <c r="E18187"/>
      <c r="M18187"/>
    </row>
    <row r="18188" spans="5:13" x14ac:dyDescent="0.25">
      <c r="E18188"/>
      <c r="M18188"/>
    </row>
    <row r="18189" spans="5:13" x14ac:dyDescent="0.25">
      <c r="E18189"/>
      <c r="M18189"/>
    </row>
    <row r="18190" spans="5:13" x14ac:dyDescent="0.25">
      <c r="E18190"/>
      <c r="M18190"/>
    </row>
    <row r="18191" spans="5:13" x14ac:dyDescent="0.25">
      <c r="E18191"/>
      <c r="M18191"/>
    </row>
    <row r="18192" spans="5:13" x14ac:dyDescent="0.25">
      <c r="E18192"/>
      <c r="M18192"/>
    </row>
    <row r="18193" spans="5:13" x14ac:dyDescent="0.25">
      <c r="E18193"/>
      <c r="M18193"/>
    </row>
    <row r="18194" spans="5:13" x14ac:dyDescent="0.25">
      <c r="E18194"/>
      <c r="M18194"/>
    </row>
    <row r="18195" spans="5:13" x14ac:dyDescent="0.25">
      <c r="E18195"/>
      <c r="M18195"/>
    </row>
    <row r="18196" spans="5:13" x14ac:dyDescent="0.25">
      <c r="E18196"/>
      <c r="M18196"/>
    </row>
    <row r="18197" spans="5:13" x14ac:dyDescent="0.25">
      <c r="E18197"/>
      <c r="M18197"/>
    </row>
    <row r="18198" spans="5:13" x14ac:dyDescent="0.25">
      <c r="E18198"/>
      <c r="M18198"/>
    </row>
    <row r="18199" spans="5:13" x14ac:dyDescent="0.25">
      <c r="E18199"/>
      <c r="M18199"/>
    </row>
    <row r="18200" spans="5:13" x14ac:dyDescent="0.25">
      <c r="E18200"/>
      <c r="M18200"/>
    </row>
    <row r="18201" spans="5:13" x14ac:dyDescent="0.25">
      <c r="E18201"/>
      <c r="M18201"/>
    </row>
    <row r="18202" spans="5:13" x14ac:dyDescent="0.25">
      <c r="E18202"/>
      <c r="M18202"/>
    </row>
    <row r="18203" spans="5:13" x14ac:dyDescent="0.25">
      <c r="E18203"/>
      <c r="M18203"/>
    </row>
    <row r="18204" spans="5:13" x14ac:dyDescent="0.25">
      <c r="E18204"/>
      <c r="M18204"/>
    </row>
    <row r="18205" spans="5:13" x14ac:dyDescent="0.25">
      <c r="E18205"/>
      <c r="M18205"/>
    </row>
    <row r="18206" spans="5:13" x14ac:dyDescent="0.25">
      <c r="E18206"/>
      <c r="M18206"/>
    </row>
    <row r="18207" spans="5:13" x14ac:dyDescent="0.25">
      <c r="E18207"/>
      <c r="M18207"/>
    </row>
    <row r="18208" spans="5:13" x14ac:dyDescent="0.25">
      <c r="E18208"/>
      <c r="M18208"/>
    </row>
    <row r="18209" spans="5:13" x14ac:dyDescent="0.25">
      <c r="E18209"/>
      <c r="M18209"/>
    </row>
    <row r="18210" spans="5:13" x14ac:dyDescent="0.25">
      <c r="E18210"/>
      <c r="M18210"/>
    </row>
    <row r="18211" spans="5:13" x14ac:dyDescent="0.25">
      <c r="E18211"/>
      <c r="M18211"/>
    </row>
    <row r="18212" spans="5:13" x14ac:dyDescent="0.25">
      <c r="E18212"/>
      <c r="M18212"/>
    </row>
    <row r="18213" spans="5:13" x14ac:dyDescent="0.25">
      <c r="E18213"/>
      <c r="M18213"/>
    </row>
    <row r="18214" spans="5:13" x14ac:dyDescent="0.25">
      <c r="E18214"/>
      <c r="M18214"/>
    </row>
    <row r="18215" spans="5:13" x14ac:dyDescent="0.25">
      <c r="E18215"/>
      <c r="M18215"/>
    </row>
    <row r="18216" spans="5:13" x14ac:dyDescent="0.25">
      <c r="E18216"/>
      <c r="M18216"/>
    </row>
    <row r="18217" spans="5:13" x14ac:dyDescent="0.25">
      <c r="E18217"/>
      <c r="M18217"/>
    </row>
    <row r="18218" spans="5:13" x14ac:dyDescent="0.25">
      <c r="E18218"/>
      <c r="M18218"/>
    </row>
    <row r="18219" spans="5:13" x14ac:dyDescent="0.25">
      <c r="E18219"/>
      <c r="M18219"/>
    </row>
    <row r="18220" spans="5:13" x14ac:dyDescent="0.25">
      <c r="E18220"/>
      <c r="M18220"/>
    </row>
    <row r="18221" spans="5:13" x14ac:dyDescent="0.25">
      <c r="E18221"/>
      <c r="M18221"/>
    </row>
    <row r="18222" spans="5:13" x14ac:dyDescent="0.25">
      <c r="E18222"/>
      <c r="M18222"/>
    </row>
    <row r="18223" spans="5:13" x14ac:dyDescent="0.25">
      <c r="E18223"/>
      <c r="M18223"/>
    </row>
    <row r="18224" spans="5:13" x14ac:dyDescent="0.25">
      <c r="E18224"/>
      <c r="M18224"/>
    </row>
    <row r="18225" spans="5:13" x14ac:dyDescent="0.25">
      <c r="E18225"/>
      <c r="M18225"/>
    </row>
    <row r="18226" spans="5:13" x14ac:dyDescent="0.25">
      <c r="E18226"/>
      <c r="M18226"/>
    </row>
    <row r="18227" spans="5:13" x14ac:dyDescent="0.25">
      <c r="E18227"/>
      <c r="M18227"/>
    </row>
    <row r="18228" spans="5:13" x14ac:dyDescent="0.25">
      <c r="E18228"/>
      <c r="M18228"/>
    </row>
    <row r="18229" spans="5:13" x14ac:dyDescent="0.25">
      <c r="E18229"/>
      <c r="M18229"/>
    </row>
    <row r="18230" spans="5:13" x14ac:dyDescent="0.25">
      <c r="E18230"/>
      <c r="M18230"/>
    </row>
    <row r="18231" spans="5:13" x14ac:dyDescent="0.25">
      <c r="E18231"/>
      <c r="M18231"/>
    </row>
    <row r="18232" spans="5:13" x14ac:dyDescent="0.25">
      <c r="E18232"/>
      <c r="M18232"/>
    </row>
    <row r="18233" spans="5:13" x14ac:dyDescent="0.25">
      <c r="E18233"/>
      <c r="M18233"/>
    </row>
    <row r="18234" spans="5:13" x14ac:dyDescent="0.25">
      <c r="E18234"/>
      <c r="M18234"/>
    </row>
    <row r="18235" spans="5:13" x14ac:dyDescent="0.25">
      <c r="E18235"/>
      <c r="M18235"/>
    </row>
    <row r="18236" spans="5:13" x14ac:dyDescent="0.25">
      <c r="E18236"/>
      <c r="M18236"/>
    </row>
    <row r="18237" spans="5:13" x14ac:dyDescent="0.25">
      <c r="E18237"/>
      <c r="M18237"/>
    </row>
    <row r="18238" spans="5:13" x14ac:dyDescent="0.25">
      <c r="E18238"/>
      <c r="M18238"/>
    </row>
    <row r="18239" spans="5:13" x14ac:dyDescent="0.25">
      <c r="E18239"/>
      <c r="M18239"/>
    </row>
    <row r="18240" spans="5:13" x14ac:dyDescent="0.25">
      <c r="E18240"/>
      <c r="M18240"/>
    </row>
    <row r="18241" spans="5:13" x14ac:dyDescent="0.25">
      <c r="E18241"/>
      <c r="M18241"/>
    </row>
    <row r="18242" spans="5:13" x14ac:dyDescent="0.25">
      <c r="E18242"/>
      <c r="M18242"/>
    </row>
    <row r="18243" spans="5:13" x14ac:dyDescent="0.25">
      <c r="E18243"/>
      <c r="M18243"/>
    </row>
    <row r="18244" spans="5:13" x14ac:dyDescent="0.25">
      <c r="E18244"/>
      <c r="M18244"/>
    </row>
    <row r="18245" spans="5:13" x14ac:dyDescent="0.25">
      <c r="E18245"/>
      <c r="M18245"/>
    </row>
    <row r="18246" spans="5:13" x14ac:dyDescent="0.25">
      <c r="E18246"/>
      <c r="M18246"/>
    </row>
    <row r="18247" spans="5:13" x14ac:dyDescent="0.25">
      <c r="E18247"/>
      <c r="M18247"/>
    </row>
    <row r="18248" spans="5:13" x14ac:dyDescent="0.25">
      <c r="E18248"/>
      <c r="M18248"/>
    </row>
    <row r="18249" spans="5:13" x14ac:dyDescent="0.25">
      <c r="E18249"/>
      <c r="M18249"/>
    </row>
    <row r="18250" spans="5:13" x14ac:dyDescent="0.25">
      <c r="E18250"/>
      <c r="M18250"/>
    </row>
    <row r="18251" spans="5:13" x14ac:dyDescent="0.25">
      <c r="E18251"/>
      <c r="M18251"/>
    </row>
    <row r="18252" spans="5:13" x14ac:dyDescent="0.25">
      <c r="E18252"/>
      <c r="M18252"/>
    </row>
    <row r="18253" spans="5:13" x14ac:dyDescent="0.25">
      <c r="E18253"/>
      <c r="M18253"/>
    </row>
    <row r="18254" spans="5:13" x14ac:dyDescent="0.25">
      <c r="E18254"/>
      <c r="M18254"/>
    </row>
    <row r="18255" spans="5:13" x14ac:dyDescent="0.25">
      <c r="E18255"/>
      <c r="M18255"/>
    </row>
    <row r="18256" spans="5:13" x14ac:dyDescent="0.25">
      <c r="E18256"/>
      <c r="M18256"/>
    </row>
    <row r="18257" spans="5:13" x14ac:dyDescent="0.25">
      <c r="E18257"/>
      <c r="M18257"/>
    </row>
    <row r="18258" spans="5:13" x14ac:dyDescent="0.25">
      <c r="E18258"/>
      <c r="M18258"/>
    </row>
    <row r="18259" spans="5:13" x14ac:dyDescent="0.25">
      <c r="E18259"/>
      <c r="M18259"/>
    </row>
    <row r="18260" spans="5:13" x14ac:dyDescent="0.25">
      <c r="E18260"/>
      <c r="M18260"/>
    </row>
    <row r="18261" spans="5:13" x14ac:dyDescent="0.25">
      <c r="E18261"/>
      <c r="M18261"/>
    </row>
    <row r="18262" spans="5:13" x14ac:dyDescent="0.25">
      <c r="E18262"/>
      <c r="M18262"/>
    </row>
    <row r="18263" spans="5:13" x14ac:dyDescent="0.25">
      <c r="E18263"/>
      <c r="M18263"/>
    </row>
    <row r="18264" spans="5:13" x14ac:dyDescent="0.25">
      <c r="E18264"/>
      <c r="M18264"/>
    </row>
    <row r="18265" spans="5:13" x14ac:dyDescent="0.25">
      <c r="E18265"/>
      <c r="M18265"/>
    </row>
    <row r="18266" spans="5:13" x14ac:dyDescent="0.25">
      <c r="E18266"/>
      <c r="M18266"/>
    </row>
    <row r="18267" spans="5:13" x14ac:dyDescent="0.25">
      <c r="E18267"/>
      <c r="M18267"/>
    </row>
    <row r="18268" spans="5:13" x14ac:dyDescent="0.25">
      <c r="E18268"/>
      <c r="M18268"/>
    </row>
    <row r="18269" spans="5:13" x14ac:dyDescent="0.25">
      <c r="E18269"/>
      <c r="M18269"/>
    </row>
    <row r="18270" spans="5:13" x14ac:dyDescent="0.25">
      <c r="E18270"/>
      <c r="M18270"/>
    </row>
    <row r="18271" spans="5:13" x14ac:dyDescent="0.25">
      <c r="E18271"/>
      <c r="M18271"/>
    </row>
    <row r="18272" spans="5:13" x14ac:dyDescent="0.25">
      <c r="E18272"/>
      <c r="M18272"/>
    </row>
    <row r="18273" spans="5:13" x14ac:dyDescent="0.25">
      <c r="E18273"/>
      <c r="M18273"/>
    </row>
    <row r="18274" spans="5:13" x14ac:dyDescent="0.25">
      <c r="E18274"/>
      <c r="M18274"/>
    </row>
    <row r="18275" spans="5:13" x14ac:dyDescent="0.25">
      <c r="E18275"/>
      <c r="M18275"/>
    </row>
    <row r="18276" spans="5:13" x14ac:dyDescent="0.25">
      <c r="E18276"/>
      <c r="M18276"/>
    </row>
    <row r="18277" spans="5:13" x14ac:dyDescent="0.25">
      <c r="E18277"/>
      <c r="M18277"/>
    </row>
    <row r="18278" spans="5:13" x14ac:dyDescent="0.25">
      <c r="E18278"/>
      <c r="M18278"/>
    </row>
    <row r="18279" spans="5:13" x14ac:dyDescent="0.25">
      <c r="E18279"/>
      <c r="M18279"/>
    </row>
    <row r="18280" spans="5:13" x14ac:dyDescent="0.25">
      <c r="E18280"/>
      <c r="M18280"/>
    </row>
    <row r="18281" spans="5:13" x14ac:dyDescent="0.25">
      <c r="E18281"/>
      <c r="M18281"/>
    </row>
    <row r="18282" spans="5:13" x14ac:dyDescent="0.25">
      <c r="E18282"/>
      <c r="M18282"/>
    </row>
    <row r="18283" spans="5:13" x14ac:dyDescent="0.25">
      <c r="E18283"/>
      <c r="M18283"/>
    </row>
    <row r="18284" spans="5:13" x14ac:dyDescent="0.25">
      <c r="E18284"/>
      <c r="M18284"/>
    </row>
    <row r="18285" spans="5:13" x14ac:dyDescent="0.25">
      <c r="E18285"/>
      <c r="M18285"/>
    </row>
    <row r="18286" spans="5:13" x14ac:dyDescent="0.25">
      <c r="E18286"/>
      <c r="M18286"/>
    </row>
    <row r="18287" spans="5:13" x14ac:dyDescent="0.25">
      <c r="E18287"/>
      <c r="M18287"/>
    </row>
    <row r="18288" spans="5:13" x14ac:dyDescent="0.25">
      <c r="E18288"/>
      <c r="M18288"/>
    </row>
    <row r="18289" spans="5:13" x14ac:dyDescent="0.25">
      <c r="E18289"/>
      <c r="M18289"/>
    </row>
    <row r="18290" spans="5:13" x14ac:dyDescent="0.25">
      <c r="E18290"/>
      <c r="M18290"/>
    </row>
    <row r="18291" spans="5:13" x14ac:dyDescent="0.25">
      <c r="E18291"/>
      <c r="M18291"/>
    </row>
    <row r="18292" spans="5:13" x14ac:dyDescent="0.25">
      <c r="E18292"/>
      <c r="M18292"/>
    </row>
    <row r="18293" spans="5:13" x14ac:dyDescent="0.25">
      <c r="E18293"/>
      <c r="M18293"/>
    </row>
    <row r="18294" spans="5:13" x14ac:dyDescent="0.25">
      <c r="E18294"/>
      <c r="M18294"/>
    </row>
    <row r="18295" spans="5:13" x14ac:dyDescent="0.25">
      <c r="E18295"/>
      <c r="M18295"/>
    </row>
    <row r="18296" spans="5:13" x14ac:dyDescent="0.25">
      <c r="E18296"/>
      <c r="M18296"/>
    </row>
    <row r="18297" spans="5:13" x14ac:dyDescent="0.25">
      <c r="E18297"/>
      <c r="M18297"/>
    </row>
    <row r="18298" spans="5:13" x14ac:dyDescent="0.25">
      <c r="E18298"/>
      <c r="M18298"/>
    </row>
    <row r="18299" spans="5:13" x14ac:dyDescent="0.25">
      <c r="E18299"/>
      <c r="M18299"/>
    </row>
    <row r="18300" spans="5:13" x14ac:dyDescent="0.25">
      <c r="E18300"/>
      <c r="M18300"/>
    </row>
    <row r="18301" spans="5:13" x14ac:dyDescent="0.25">
      <c r="E18301"/>
      <c r="M18301"/>
    </row>
    <row r="18302" spans="5:13" x14ac:dyDescent="0.25">
      <c r="E18302"/>
      <c r="M18302"/>
    </row>
    <row r="18303" spans="5:13" x14ac:dyDescent="0.25">
      <c r="E18303"/>
      <c r="M18303"/>
    </row>
    <row r="18304" spans="5:13" x14ac:dyDescent="0.25">
      <c r="E18304"/>
      <c r="M18304"/>
    </row>
    <row r="18305" spans="5:13" x14ac:dyDescent="0.25">
      <c r="E18305"/>
      <c r="M18305"/>
    </row>
    <row r="18306" spans="5:13" x14ac:dyDescent="0.25">
      <c r="E18306"/>
      <c r="M18306"/>
    </row>
    <row r="18307" spans="5:13" x14ac:dyDescent="0.25">
      <c r="E18307"/>
      <c r="M18307"/>
    </row>
    <row r="18308" spans="5:13" x14ac:dyDescent="0.25">
      <c r="E18308"/>
      <c r="M18308"/>
    </row>
    <row r="18309" spans="5:13" x14ac:dyDescent="0.25">
      <c r="E18309"/>
      <c r="M18309"/>
    </row>
    <row r="18310" spans="5:13" x14ac:dyDescent="0.25">
      <c r="E18310"/>
      <c r="M18310"/>
    </row>
    <row r="18311" spans="5:13" x14ac:dyDescent="0.25">
      <c r="E18311"/>
      <c r="M18311"/>
    </row>
    <row r="18312" spans="5:13" x14ac:dyDescent="0.25">
      <c r="E18312"/>
      <c r="M18312"/>
    </row>
    <row r="18313" spans="5:13" x14ac:dyDescent="0.25">
      <c r="E18313"/>
      <c r="M18313"/>
    </row>
    <row r="18314" spans="5:13" x14ac:dyDescent="0.25">
      <c r="E18314"/>
      <c r="M18314"/>
    </row>
    <row r="18315" spans="5:13" x14ac:dyDescent="0.25">
      <c r="E18315"/>
      <c r="M18315"/>
    </row>
    <row r="18316" spans="5:13" x14ac:dyDescent="0.25">
      <c r="E18316"/>
      <c r="M18316"/>
    </row>
    <row r="18317" spans="5:13" x14ac:dyDescent="0.25">
      <c r="E18317"/>
      <c r="M18317"/>
    </row>
    <row r="18318" spans="5:13" x14ac:dyDescent="0.25">
      <c r="E18318"/>
      <c r="M18318"/>
    </row>
    <row r="18319" spans="5:13" x14ac:dyDescent="0.25">
      <c r="E18319"/>
      <c r="M18319"/>
    </row>
    <row r="18320" spans="5:13" x14ac:dyDescent="0.25">
      <c r="E18320"/>
      <c r="M18320"/>
    </row>
    <row r="18321" spans="5:13" x14ac:dyDescent="0.25">
      <c r="E18321"/>
      <c r="M18321"/>
    </row>
    <row r="18322" spans="5:13" x14ac:dyDescent="0.25">
      <c r="E18322"/>
      <c r="M18322"/>
    </row>
    <row r="18323" spans="5:13" x14ac:dyDescent="0.25">
      <c r="E18323"/>
      <c r="M18323"/>
    </row>
    <row r="18324" spans="5:13" x14ac:dyDescent="0.25">
      <c r="E18324"/>
      <c r="M18324"/>
    </row>
    <row r="18325" spans="5:13" x14ac:dyDescent="0.25">
      <c r="E18325"/>
      <c r="M18325"/>
    </row>
    <row r="18326" spans="5:13" x14ac:dyDescent="0.25">
      <c r="E18326"/>
      <c r="M18326"/>
    </row>
    <row r="18327" spans="5:13" x14ac:dyDescent="0.25">
      <c r="E18327"/>
      <c r="M18327"/>
    </row>
    <row r="18328" spans="5:13" x14ac:dyDescent="0.25">
      <c r="E18328"/>
      <c r="M18328"/>
    </row>
    <row r="18329" spans="5:13" x14ac:dyDescent="0.25">
      <c r="E18329"/>
      <c r="M18329"/>
    </row>
    <row r="18330" spans="5:13" x14ac:dyDescent="0.25">
      <c r="E18330"/>
      <c r="M18330"/>
    </row>
    <row r="18331" spans="5:13" x14ac:dyDescent="0.25">
      <c r="E18331"/>
      <c r="M18331"/>
    </row>
    <row r="18332" spans="5:13" x14ac:dyDescent="0.25">
      <c r="E18332"/>
      <c r="M18332"/>
    </row>
    <row r="18333" spans="5:13" x14ac:dyDescent="0.25">
      <c r="E18333"/>
      <c r="M18333"/>
    </row>
    <row r="18334" spans="5:13" x14ac:dyDescent="0.25">
      <c r="E18334"/>
      <c r="M18334"/>
    </row>
    <row r="18335" spans="5:13" x14ac:dyDescent="0.25">
      <c r="E18335"/>
      <c r="M18335"/>
    </row>
    <row r="18336" spans="5:13" x14ac:dyDescent="0.25">
      <c r="E18336"/>
      <c r="M18336"/>
    </row>
    <row r="18337" spans="5:13" x14ac:dyDescent="0.25">
      <c r="E18337"/>
      <c r="M18337"/>
    </row>
    <row r="18338" spans="5:13" x14ac:dyDescent="0.25">
      <c r="E18338"/>
      <c r="M18338"/>
    </row>
    <row r="18339" spans="5:13" x14ac:dyDescent="0.25">
      <c r="E18339"/>
      <c r="M18339"/>
    </row>
    <row r="18340" spans="5:13" x14ac:dyDescent="0.25">
      <c r="E18340"/>
      <c r="M18340"/>
    </row>
    <row r="18341" spans="5:13" x14ac:dyDescent="0.25">
      <c r="E18341"/>
      <c r="M18341"/>
    </row>
    <row r="18342" spans="5:13" x14ac:dyDescent="0.25">
      <c r="E18342"/>
      <c r="M18342"/>
    </row>
    <row r="18343" spans="5:13" x14ac:dyDescent="0.25">
      <c r="E18343"/>
      <c r="M18343"/>
    </row>
    <row r="18344" spans="5:13" x14ac:dyDescent="0.25">
      <c r="E18344"/>
      <c r="M18344"/>
    </row>
    <row r="18345" spans="5:13" x14ac:dyDescent="0.25">
      <c r="E18345"/>
      <c r="M18345"/>
    </row>
    <row r="18346" spans="5:13" x14ac:dyDescent="0.25">
      <c r="E18346"/>
      <c r="M18346"/>
    </row>
    <row r="18347" spans="5:13" x14ac:dyDescent="0.25">
      <c r="E18347"/>
      <c r="M18347"/>
    </row>
    <row r="18348" spans="5:13" x14ac:dyDescent="0.25">
      <c r="E18348"/>
      <c r="M18348"/>
    </row>
    <row r="18349" spans="5:13" x14ac:dyDescent="0.25">
      <c r="E18349"/>
      <c r="M18349"/>
    </row>
    <row r="18350" spans="5:13" x14ac:dyDescent="0.25">
      <c r="E18350"/>
      <c r="M18350"/>
    </row>
    <row r="18351" spans="5:13" x14ac:dyDescent="0.25">
      <c r="E18351"/>
      <c r="M18351"/>
    </row>
    <row r="18352" spans="5:13" x14ac:dyDescent="0.25">
      <c r="E18352"/>
      <c r="M18352"/>
    </row>
    <row r="18353" spans="5:13" x14ac:dyDescent="0.25">
      <c r="E18353"/>
      <c r="M18353"/>
    </row>
    <row r="18354" spans="5:13" x14ac:dyDescent="0.25">
      <c r="E18354"/>
      <c r="M18354"/>
    </row>
    <row r="18355" spans="5:13" x14ac:dyDescent="0.25">
      <c r="E18355"/>
      <c r="M18355"/>
    </row>
    <row r="18356" spans="5:13" x14ac:dyDescent="0.25">
      <c r="E18356"/>
      <c r="M18356"/>
    </row>
    <row r="18357" spans="5:13" x14ac:dyDescent="0.25">
      <c r="E18357"/>
      <c r="M18357"/>
    </row>
    <row r="18358" spans="5:13" x14ac:dyDescent="0.25">
      <c r="E18358"/>
      <c r="M18358"/>
    </row>
    <row r="18359" spans="5:13" x14ac:dyDescent="0.25">
      <c r="E18359"/>
      <c r="M18359"/>
    </row>
    <row r="18360" spans="5:13" x14ac:dyDescent="0.25">
      <c r="E18360"/>
      <c r="M18360"/>
    </row>
    <row r="18361" spans="5:13" x14ac:dyDescent="0.25">
      <c r="E18361"/>
      <c r="M18361"/>
    </row>
    <row r="18362" spans="5:13" x14ac:dyDescent="0.25">
      <c r="E18362"/>
      <c r="M18362"/>
    </row>
    <row r="18363" spans="5:13" x14ac:dyDescent="0.25">
      <c r="E18363"/>
      <c r="M18363"/>
    </row>
    <row r="18364" spans="5:13" x14ac:dyDescent="0.25">
      <c r="E18364"/>
      <c r="M18364"/>
    </row>
    <row r="18365" spans="5:13" x14ac:dyDescent="0.25">
      <c r="E18365"/>
      <c r="M18365"/>
    </row>
    <row r="18366" spans="5:13" x14ac:dyDescent="0.25">
      <c r="E18366"/>
      <c r="M18366"/>
    </row>
    <row r="18367" spans="5:13" x14ac:dyDescent="0.25">
      <c r="E18367"/>
      <c r="M18367"/>
    </row>
    <row r="18368" spans="5:13" x14ac:dyDescent="0.25">
      <c r="E18368"/>
      <c r="M18368"/>
    </row>
    <row r="18369" spans="5:13" x14ac:dyDescent="0.25">
      <c r="E18369"/>
      <c r="M18369"/>
    </row>
    <row r="18370" spans="5:13" x14ac:dyDescent="0.25">
      <c r="E18370"/>
      <c r="M18370"/>
    </row>
    <row r="18371" spans="5:13" x14ac:dyDescent="0.25">
      <c r="E18371"/>
      <c r="M18371"/>
    </row>
    <row r="18372" spans="5:13" x14ac:dyDescent="0.25">
      <c r="E18372"/>
      <c r="M18372"/>
    </row>
    <row r="18373" spans="5:13" x14ac:dyDescent="0.25">
      <c r="E18373"/>
      <c r="M18373"/>
    </row>
    <row r="18374" spans="5:13" x14ac:dyDescent="0.25">
      <c r="E18374"/>
      <c r="M18374"/>
    </row>
    <row r="18375" spans="5:13" x14ac:dyDescent="0.25">
      <c r="E18375"/>
      <c r="M18375"/>
    </row>
    <row r="18376" spans="5:13" x14ac:dyDescent="0.25">
      <c r="E18376"/>
      <c r="M18376"/>
    </row>
    <row r="18377" spans="5:13" x14ac:dyDescent="0.25">
      <c r="E18377"/>
      <c r="M18377"/>
    </row>
    <row r="18378" spans="5:13" x14ac:dyDescent="0.25">
      <c r="E18378"/>
      <c r="M18378"/>
    </row>
    <row r="18379" spans="5:13" x14ac:dyDescent="0.25">
      <c r="E18379"/>
      <c r="M18379"/>
    </row>
    <row r="18380" spans="5:13" x14ac:dyDescent="0.25">
      <c r="E18380"/>
      <c r="M18380"/>
    </row>
    <row r="18381" spans="5:13" x14ac:dyDescent="0.25">
      <c r="E18381"/>
      <c r="M18381"/>
    </row>
    <row r="18382" spans="5:13" x14ac:dyDescent="0.25">
      <c r="E18382"/>
      <c r="M18382"/>
    </row>
    <row r="18383" spans="5:13" x14ac:dyDescent="0.25">
      <c r="E18383"/>
      <c r="M18383"/>
    </row>
    <row r="18384" spans="5:13" x14ac:dyDescent="0.25">
      <c r="E18384"/>
      <c r="M18384"/>
    </row>
    <row r="18385" spans="5:13" x14ac:dyDescent="0.25">
      <c r="E18385"/>
      <c r="M18385"/>
    </row>
    <row r="18386" spans="5:13" x14ac:dyDescent="0.25">
      <c r="E18386"/>
      <c r="M18386"/>
    </row>
    <row r="18387" spans="5:13" x14ac:dyDescent="0.25">
      <c r="E18387"/>
      <c r="M18387"/>
    </row>
    <row r="18388" spans="5:13" x14ac:dyDescent="0.25">
      <c r="E18388"/>
      <c r="M18388"/>
    </row>
    <row r="18389" spans="5:13" x14ac:dyDescent="0.25">
      <c r="E18389"/>
      <c r="M18389"/>
    </row>
    <row r="18390" spans="5:13" x14ac:dyDescent="0.25">
      <c r="E18390"/>
      <c r="M18390"/>
    </row>
    <row r="18391" spans="5:13" x14ac:dyDescent="0.25">
      <c r="E18391"/>
      <c r="M18391"/>
    </row>
    <row r="18392" spans="5:13" x14ac:dyDescent="0.25">
      <c r="E18392"/>
      <c r="M18392"/>
    </row>
    <row r="18393" spans="5:13" x14ac:dyDescent="0.25">
      <c r="E18393"/>
      <c r="M18393"/>
    </row>
    <row r="18394" spans="5:13" x14ac:dyDescent="0.25">
      <c r="E18394"/>
      <c r="M18394"/>
    </row>
    <row r="18395" spans="5:13" x14ac:dyDescent="0.25">
      <c r="E18395"/>
      <c r="M18395"/>
    </row>
    <row r="18396" spans="5:13" x14ac:dyDescent="0.25">
      <c r="E18396"/>
      <c r="M18396"/>
    </row>
    <row r="18397" spans="5:13" x14ac:dyDescent="0.25">
      <c r="E18397"/>
      <c r="M18397"/>
    </row>
    <row r="18398" spans="5:13" x14ac:dyDescent="0.25">
      <c r="E18398"/>
      <c r="M18398"/>
    </row>
    <row r="18399" spans="5:13" x14ac:dyDescent="0.25">
      <c r="E18399"/>
      <c r="M18399"/>
    </row>
    <row r="18400" spans="5:13" x14ac:dyDescent="0.25">
      <c r="E18400"/>
      <c r="M18400"/>
    </row>
    <row r="18401" spans="5:13" x14ac:dyDescent="0.25">
      <c r="E18401"/>
      <c r="M18401"/>
    </row>
    <row r="18402" spans="5:13" x14ac:dyDescent="0.25">
      <c r="E18402"/>
      <c r="M18402"/>
    </row>
    <row r="18403" spans="5:13" x14ac:dyDescent="0.25">
      <c r="E18403"/>
      <c r="M18403"/>
    </row>
    <row r="18404" spans="5:13" x14ac:dyDescent="0.25">
      <c r="E18404"/>
      <c r="M18404"/>
    </row>
    <row r="18405" spans="5:13" x14ac:dyDescent="0.25">
      <c r="E18405"/>
      <c r="M18405"/>
    </row>
    <row r="18406" spans="5:13" x14ac:dyDescent="0.25">
      <c r="E18406"/>
      <c r="M18406"/>
    </row>
    <row r="18407" spans="5:13" x14ac:dyDescent="0.25">
      <c r="E18407"/>
      <c r="M18407"/>
    </row>
    <row r="18408" spans="5:13" x14ac:dyDescent="0.25">
      <c r="E18408"/>
      <c r="M18408"/>
    </row>
    <row r="18409" spans="5:13" x14ac:dyDescent="0.25">
      <c r="E18409"/>
      <c r="M18409"/>
    </row>
    <row r="18410" spans="5:13" x14ac:dyDescent="0.25">
      <c r="E18410"/>
      <c r="M18410"/>
    </row>
    <row r="18411" spans="5:13" x14ac:dyDescent="0.25">
      <c r="E18411"/>
      <c r="M18411"/>
    </row>
    <row r="18412" spans="5:13" x14ac:dyDescent="0.25">
      <c r="E18412"/>
      <c r="M18412"/>
    </row>
    <row r="18413" spans="5:13" x14ac:dyDescent="0.25">
      <c r="E18413"/>
      <c r="M18413"/>
    </row>
    <row r="18414" spans="5:13" x14ac:dyDescent="0.25">
      <c r="E18414"/>
      <c r="M18414"/>
    </row>
    <row r="18415" spans="5:13" x14ac:dyDescent="0.25">
      <c r="E18415"/>
      <c r="M18415"/>
    </row>
    <row r="18416" spans="5:13" x14ac:dyDescent="0.25">
      <c r="E18416"/>
      <c r="M18416"/>
    </row>
    <row r="18417" spans="5:13" x14ac:dyDescent="0.25">
      <c r="E18417"/>
      <c r="M18417"/>
    </row>
    <row r="18418" spans="5:13" x14ac:dyDescent="0.25">
      <c r="E18418"/>
      <c r="M18418"/>
    </row>
    <row r="18419" spans="5:13" x14ac:dyDescent="0.25">
      <c r="E18419"/>
      <c r="M18419"/>
    </row>
    <row r="18420" spans="5:13" x14ac:dyDescent="0.25">
      <c r="E18420"/>
      <c r="M18420"/>
    </row>
    <row r="18421" spans="5:13" x14ac:dyDescent="0.25">
      <c r="E18421"/>
      <c r="M18421"/>
    </row>
    <row r="18422" spans="5:13" x14ac:dyDescent="0.25">
      <c r="E18422"/>
      <c r="M18422"/>
    </row>
    <row r="18423" spans="5:13" x14ac:dyDescent="0.25">
      <c r="E18423"/>
      <c r="M18423"/>
    </row>
    <row r="18424" spans="5:13" x14ac:dyDescent="0.25">
      <c r="E18424"/>
      <c r="M18424"/>
    </row>
    <row r="18425" spans="5:13" x14ac:dyDescent="0.25">
      <c r="E18425"/>
      <c r="M18425"/>
    </row>
    <row r="18426" spans="5:13" x14ac:dyDescent="0.25">
      <c r="E18426"/>
      <c r="M18426"/>
    </row>
    <row r="18427" spans="5:13" x14ac:dyDescent="0.25">
      <c r="E18427"/>
      <c r="M18427"/>
    </row>
    <row r="18428" spans="5:13" x14ac:dyDescent="0.25">
      <c r="E18428"/>
      <c r="M18428"/>
    </row>
    <row r="18429" spans="5:13" x14ac:dyDescent="0.25">
      <c r="E18429"/>
      <c r="M18429"/>
    </row>
    <row r="18430" spans="5:13" x14ac:dyDescent="0.25">
      <c r="E18430"/>
      <c r="M18430"/>
    </row>
    <row r="18431" spans="5:13" x14ac:dyDescent="0.25">
      <c r="E18431"/>
      <c r="M18431"/>
    </row>
    <row r="18432" spans="5:13" x14ac:dyDescent="0.25">
      <c r="E18432"/>
      <c r="M18432"/>
    </row>
    <row r="18433" spans="5:13" x14ac:dyDescent="0.25">
      <c r="E18433"/>
      <c r="M18433"/>
    </row>
    <row r="18434" spans="5:13" x14ac:dyDescent="0.25">
      <c r="E18434"/>
      <c r="M18434"/>
    </row>
    <row r="18435" spans="5:13" x14ac:dyDescent="0.25">
      <c r="E18435"/>
      <c r="M18435"/>
    </row>
    <row r="18436" spans="5:13" x14ac:dyDescent="0.25">
      <c r="E18436"/>
      <c r="M18436"/>
    </row>
    <row r="18437" spans="5:13" x14ac:dyDescent="0.25">
      <c r="E18437"/>
      <c r="M18437"/>
    </row>
    <row r="18438" spans="5:13" x14ac:dyDescent="0.25">
      <c r="E18438"/>
      <c r="M18438"/>
    </row>
    <row r="18439" spans="5:13" x14ac:dyDescent="0.25">
      <c r="E18439"/>
      <c r="M18439"/>
    </row>
    <row r="18440" spans="5:13" x14ac:dyDescent="0.25">
      <c r="E18440"/>
      <c r="M18440"/>
    </row>
    <row r="18441" spans="5:13" x14ac:dyDescent="0.25">
      <c r="E18441"/>
      <c r="M18441"/>
    </row>
    <row r="18442" spans="5:13" x14ac:dyDescent="0.25">
      <c r="E18442"/>
      <c r="M18442"/>
    </row>
    <row r="18443" spans="5:13" x14ac:dyDescent="0.25">
      <c r="E18443"/>
      <c r="M18443"/>
    </row>
    <row r="18444" spans="5:13" x14ac:dyDescent="0.25">
      <c r="E18444"/>
      <c r="M18444"/>
    </row>
    <row r="18445" spans="5:13" x14ac:dyDescent="0.25">
      <c r="E18445"/>
      <c r="M18445"/>
    </row>
    <row r="18446" spans="5:13" x14ac:dyDescent="0.25">
      <c r="E18446"/>
      <c r="M18446"/>
    </row>
    <row r="18447" spans="5:13" x14ac:dyDescent="0.25">
      <c r="E18447"/>
      <c r="M18447"/>
    </row>
    <row r="18448" spans="5:13" x14ac:dyDescent="0.25">
      <c r="E18448"/>
      <c r="M18448"/>
    </row>
    <row r="18449" spans="5:13" x14ac:dyDescent="0.25">
      <c r="E18449"/>
      <c r="M18449"/>
    </row>
    <row r="18450" spans="5:13" x14ac:dyDescent="0.25">
      <c r="E18450"/>
      <c r="M18450"/>
    </row>
    <row r="18451" spans="5:13" x14ac:dyDescent="0.25">
      <c r="E18451"/>
      <c r="M18451"/>
    </row>
    <row r="18452" spans="5:13" x14ac:dyDescent="0.25">
      <c r="E18452"/>
      <c r="M18452"/>
    </row>
    <row r="18453" spans="5:13" x14ac:dyDescent="0.25">
      <c r="E18453"/>
      <c r="M18453"/>
    </row>
    <row r="18454" spans="5:13" x14ac:dyDescent="0.25">
      <c r="E18454"/>
      <c r="M18454"/>
    </row>
    <row r="18455" spans="5:13" x14ac:dyDescent="0.25">
      <c r="E18455"/>
      <c r="M18455"/>
    </row>
    <row r="18456" spans="5:13" x14ac:dyDescent="0.25">
      <c r="E18456"/>
      <c r="M18456"/>
    </row>
    <row r="18457" spans="5:13" x14ac:dyDescent="0.25">
      <c r="E18457"/>
      <c r="M18457"/>
    </row>
    <row r="18458" spans="5:13" x14ac:dyDescent="0.25">
      <c r="E18458"/>
      <c r="M18458"/>
    </row>
    <row r="18459" spans="5:13" x14ac:dyDescent="0.25">
      <c r="E18459"/>
      <c r="M18459"/>
    </row>
    <row r="18460" spans="5:13" x14ac:dyDescent="0.25">
      <c r="E18460"/>
      <c r="M18460"/>
    </row>
    <row r="18461" spans="5:13" x14ac:dyDescent="0.25">
      <c r="E18461"/>
      <c r="M18461"/>
    </row>
    <row r="18462" spans="5:13" x14ac:dyDescent="0.25">
      <c r="E18462"/>
      <c r="M18462"/>
    </row>
    <row r="18463" spans="5:13" x14ac:dyDescent="0.25">
      <c r="E18463"/>
      <c r="M18463"/>
    </row>
    <row r="18464" spans="5:13" x14ac:dyDescent="0.25">
      <c r="E18464"/>
      <c r="M18464"/>
    </row>
    <row r="18465" spans="5:13" x14ac:dyDescent="0.25">
      <c r="E18465"/>
      <c r="M18465"/>
    </row>
    <row r="18466" spans="5:13" x14ac:dyDescent="0.25">
      <c r="E18466"/>
      <c r="M18466"/>
    </row>
    <row r="18467" spans="5:13" x14ac:dyDescent="0.25">
      <c r="E18467"/>
      <c r="M18467"/>
    </row>
    <row r="18468" spans="5:13" x14ac:dyDescent="0.25">
      <c r="E18468"/>
      <c r="M18468"/>
    </row>
    <row r="18469" spans="5:13" x14ac:dyDescent="0.25">
      <c r="E18469"/>
      <c r="M18469"/>
    </row>
    <row r="18470" spans="5:13" x14ac:dyDescent="0.25">
      <c r="E18470"/>
      <c r="M18470"/>
    </row>
    <row r="18471" spans="5:13" x14ac:dyDescent="0.25">
      <c r="E18471"/>
      <c r="M18471"/>
    </row>
    <row r="18472" spans="5:13" x14ac:dyDescent="0.25">
      <c r="E18472"/>
      <c r="M18472"/>
    </row>
    <row r="18473" spans="5:13" x14ac:dyDescent="0.25">
      <c r="E18473"/>
      <c r="M18473"/>
    </row>
    <row r="18474" spans="5:13" x14ac:dyDescent="0.25">
      <c r="E18474"/>
      <c r="M18474"/>
    </row>
    <row r="18475" spans="5:13" x14ac:dyDescent="0.25">
      <c r="E18475"/>
      <c r="M18475"/>
    </row>
    <row r="18476" spans="5:13" x14ac:dyDescent="0.25">
      <c r="E18476"/>
      <c r="M18476"/>
    </row>
    <row r="18477" spans="5:13" x14ac:dyDescent="0.25">
      <c r="E18477"/>
      <c r="M18477"/>
    </row>
    <row r="18478" spans="5:13" x14ac:dyDescent="0.25">
      <c r="E18478"/>
      <c r="M18478"/>
    </row>
    <row r="18479" spans="5:13" x14ac:dyDescent="0.25">
      <c r="E18479"/>
      <c r="M18479"/>
    </row>
    <row r="18480" spans="5:13" x14ac:dyDescent="0.25">
      <c r="E18480"/>
      <c r="M18480"/>
    </row>
    <row r="18481" spans="5:13" x14ac:dyDescent="0.25">
      <c r="E18481"/>
      <c r="M18481"/>
    </row>
    <row r="18482" spans="5:13" x14ac:dyDescent="0.25">
      <c r="E18482"/>
      <c r="M18482"/>
    </row>
    <row r="18483" spans="5:13" x14ac:dyDescent="0.25">
      <c r="E18483"/>
      <c r="M18483"/>
    </row>
    <row r="18484" spans="5:13" x14ac:dyDescent="0.25">
      <c r="E18484"/>
      <c r="M18484"/>
    </row>
    <row r="18485" spans="5:13" x14ac:dyDescent="0.25">
      <c r="E18485"/>
      <c r="M18485"/>
    </row>
    <row r="18486" spans="5:13" x14ac:dyDescent="0.25">
      <c r="E18486"/>
      <c r="M18486"/>
    </row>
    <row r="18487" spans="5:13" x14ac:dyDescent="0.25">
      <c r="E18487"/>
      <c r="M18487"/>
    </row>
    <row r="18488" spans="5:13" x14ac:dyDescent="0.25">
      <c r="E18488"/>
      <c r="M18488"/>
    </row>
    <row r="18489" spans="5:13" x14ac:dyDescent="0.25">
      <c r="E18489"/>
      <c r="M18489"/>
    </row>
    <row r="18490" spans="5:13" x14ac:dyDescent="0.25">
      <c r="E18490"/>
      <c r="M18490"/>
    </row>
    <row r="18491" spans="5:13" x14ac:dyDescent="0.25">
      <c r="E18491"/>
      <c r="M18491"/>
    </row>
    <row r="18492" spans="5:13" x14ac:dyDescent="0.25">
      <c r="E18492"/>
      <c r="M18492"/>
    </row>
    <row r="18493" spans="5:13" x14ac:dyDescent="0.25">
      <c r="E18493"/>
      <c r="M18493"/>
    </row>
    <row r="18494" spans="5:13" x14ac:dyDescent="0.25">
      <c r="E18494"/>
      <c r="M18494"/>
    </row>
    <row r="18495" spans="5:13" x14ac:dyDescent="0.25">
      <c r="E18495"/>
      <c r="M18495"/>
    </row>
    <row r="18496" spans="5:13" x14ac:dyDescent="0.25">
      <c r="E18496"/>
      <c r="M18496"/>
    </row>
    <row r="18497" spans="5:13" x14ac:dyDescent="0.25">
      <c r="E18497"/>
      <c r="M18497"/>
    </row>
    <row r="18498" spans="5:13" x14ac:dyDescent="0.25">
      <c r="E18498"/>
      <c r="M18498"/>
    </row>
    <row r="18499" spans="5:13" x14ac:dyDescent="0.25">
      <c r="E18499"/>
      <c r="M18499"/>
    </row>
    <row r="18500" spans="5:13" x14ac:dyDescent="0.25">
      <c r="E18500"/>
      <c r="M18500"/>
    </row>
    <row r="18501" spans="5:13" x14ac:dyDescent="0.25">
      <c r="E18501"/>
      <c r="M18501"/>
    </row>
    <row r="18502" spans="5:13" x14ac:dyDescent="0.25">
      <c r="E18502"/>
      <c r="M18502"/>
    </row>
    <row r="18503" spans="5:13" x14ac:dyDescent="0.25">
      <c r="E18503"/>
      <c r="M18503"/>
    </row>
    <row r="18504" spans="5:13" x14ac:dyDescent="0.25">
      <c r="E18504"/>
      <c r="M18504"/>
    </row>
    <row r="18505" spans="5:13" x14ac:dyDescent="0.25">
      <c r="E18505"/>
      <c r="M18505"/>
    </row>
    <row r="18506" spans="5:13" x14ac:dyDescent="0.25">
      <c r="E18506"/>
      <c r="M18506"/>
    </row>
    <row r="18507" spans="5:13" x14ac:dyDescent="0.25">
      <c r="E18507"/>
      <c r="M18507"/>
    </row>
    <row r="18508" spans="5:13" x14ac:dyDescent="0.25">
      <c r="E18508"/>
      <c r="M18508"/>
    </row>
    <row r="18509" spans="5:13" x14ac:dyDescent="0.25">
      <c r="E18509"/>
      <c r="M18509"/>
    </row>
    <row r="18510" spans="5:13" x14ac:dyDescent="0.25">
      <c r="E18510"/>
      <c r="M18510"/>
    </row>
    <row r="18511" spans="5:13" x14ac:dyDescent="0.25">
      <c r="E18511"/>
      <c r="M18511"/>
    </row>
    <row r="18512" spans="5:13" x14ac:dyDescent="0.25">
      <c r="E18512"/>
      <c r="M18512"/>
    </row>
    <row r="18513" spans="5:13" x14ac:dyDescent="0.25">
      <c r="E18513"/>
      <c r="M18513"/>
    </row>
    <row r="18514" spans="5:13" x14ac:dyDescent="0.25">
      <c r="E18514"/>
      <c r="M18514"/>
    </row>
    <row r="18515" spans="5:13" x14ac:dyDescent="0.25">
      <c r="E18515"/>
      <c r="M18515"/>
    </row>
    <row r="18516" spans="5:13" x14ac:dyDescent="0.25">
      <c r="E18516"/>
      <c r="M18516"/>
    </row>
    <row r="18517" spans="5:13" x14ac:dyDescent="0.25">
      <c r="E18517"/>
      <c r="M18517"/>
    </row>
    <row r="18518" spans="5:13" x14ac:dyDescent="0.25">
      <c r="E18518"/>
      <c r="M18518"/>
    </row>
    <row r="18519" spans="5:13" x14ac:dyDescent="0.25">
      <c r="E18519"/>
      <c r="M18519"/>
    </row>
    <row r="18520" spans="5:13" x14ac:dyDescent="0.25">
      <c r="E18520"/>
      <c r="M18520"/>
    </row>
    <row r="18521" spans="5:13" x14ac:dyDescent="0.25">
      <c r="E18521"/>
      <c r="M18521"/>
    </row>
    <row r="18522" spans="5:13" x14ac:dyDescent="0.25">
      <c r="E18522"/>
      <c r="M18522"/>
    </row>
    <row r="18523" spans="5:13" x14ac:dyDescent="0.25">
      <c r="E18523"/>
      <c r="M18523"/>
    </row>
    <row r="18524" spans="5:13" x14ac:dyDescent="0.25">
      <c r="E18524"/>
      <c r="M18524"/>
    </row>
    <row r="18525" spans="5:13" x14ac:dyDescent="0.25">
      <c r="E18525"/>
      <c r="M18525"/>
    </row>
    <row r="18526" spans="5:13" x14ac:dyDescent="0.25">
      <c r="E18526"/>
      <c r="M18526"/>
    </row>
    <row r="18527" spans="5:13" x14ac:dyDescent="0.25">
      <c r="E18527"/>
      <c r="M18527"/>
    </row>
    <row r="18528" spans="5:13" x14ac:dyDescent="0.25">
      <c r="E18528"/>
      <c r="M18528"/>
    </row>
    <row r="18529" spans="5:13" x14ac:dyDescent="0.25">
      <c r="E18529"/>
      <c r="M18529"/>
    </row>
    <row r="18530" spans="5:13" x14ac:dyDescent="0.25">
      <c r="E18530"/>
      <c r="M18530"/>
    </row>
    <row r="18531" spans="5:13" x14ac:dyDescent="0.25">
      <c r="E18531"/>
      <c r="M18531"/>
    </row>
    <row r="18532" spans="5:13" x14ac:dyDescent="0.25">
      <c r="E18532"/>
      <c r="M18532"/>
    </row>
    <row r="18533" spans="5:13" x14ac:dyDescent="0.25">
      <c r="E18533"/>
      <c r="M18533"/>
    </row>
    <row r="18534" spans="5:13" x14ac:dyDescent="0.25">
      <c r="E18534"/>
      <c r="M18534"/>
    </row>
    <row r="18535" spans="5:13" x14ac:dyDescent="0.25">
      <c r="E18535"/>
      <c r="M18535"/>
    </row>
    <row r="18536" spans="5:13" x14ac:dyDescent="0.25">
      <c r="E18536"/>
      <c r="M18536"/>
    </row>
    <row r="18537" spans="5:13" x14ac:dyDescent="0.25">
      <c r="E18537"/>
      <c r="M18537"/>
    </row>
    <row r="18538" spans="5:13" x14ac:dyDescent="0.25">
      <c r="E18538"/>
      <c r="M18538"/>
    </row>
    <row r="18539" spans="5:13" x14ac:dyDescent="0.25">
      <c r="E18539"/>
      <c r="M18539"/>
    </row>
    <row r="18540" spans="5:13" x14ac:dyDescent="0.25">
      <c r="E18540"/>
      <c r="M18540"/>
    </row>
    <row r="18541" spans="5:13" x14ac:dyDescent="0.25">
      <c r="E18541"/>
      <c r="M18541"/>
    </row>
    <row r="18542" spans="5:13" x14ac:dyDescent="0.25">
      <c r="E18542"/>
      <c r="M18542"/>
    </row>
    <row r="18543" spans="5:13" x14ac:dyDescent="0.25">
      <c r="E18543"/>
      <c r="M18543"/>
    </row>
    <row r="18544" spans="5:13" x14ac:dyDescent="0.25">
      <c r="E18544"/>
      <c r="M18544"/>
    </row>
    <row r="18545" spans="5:13" x14ac:dyDescent="0.25">
      <c r="E18545"/>
      <c r="M18545"/>
    </row>
    <row r="18546" spans="5:13" x14ac:dyDescent="0.25">
      <c r="E18546"/>
      <c r="M18546"/>
    </row>
    <row r="18547" spans="5:13" x14ac:dyDescent="0.25">
      <c r="E18547"/>
      <c r="M18547"/>
    </row>
    <row r="18548" spans="5:13" x14ac:dyDescent="0.25">
      <c r="E18548"/>
      <c r="M18548"/>
    </row>
    <row r="18549" spans="5:13" x14ac:dyDescent="0.25">
      <c r="E18549"/>
      <c r="M18549"/>
    </row>
    <row r="18550" spans="5:13" x14ac:dyDescent="0.25">
      <c r="E18550"/>
      <c r="M18550"/>
    </row>
    <row r="18551" spans="5:13" x14ac:dyDescent="0.25">
      <c r="E18551"/>
      <c r="M18551"/>
    </row>
    <row r="18552" spans="5:13" x14ac:dyDescent="0.25">
      <c r="E18552"/>
      <c r="M18552"/>
    </row>
    <row r="18553" spans="5:13" x14ac:dyDescent="0.25">
      <c r="E18553"/>
      <c r="M18553"/>
    </row>
    <row r="18554" spans="5:13" x14ac:dyDescent="0.25">
      <c r="E18554"/>
      <c r="M18554"/>
    </row>
    <row r="18555" spans="5:13" x14ac:dyDescent="0.25">
      <c r="E18555"/>
      <c r="M18555"/>
    </row>
    <row r="18556" spans="5:13" x14ac:dyDescent="0.25">
      <c r="E18556"/>
      <c r="M18556"/>
    </row>
    <row r="18557" spans="5:13" x14ac:dyDescent="0.25">
      <c r="E18557"/>
      <c r="M18557"/>
    </row>
    <row r="18558" spans="5:13" x14ac:dyDescent="0.25">
      <c r="E18558"/>
      <c r="M18558"/>
    </row>
    <row r="18559" spans="5:13" x14ac:dyDescent="0.25">
      <c r="E18559"/>
      <c r="M18559"/>
    </row>
    <row r="18560" spans="5:13" x14ac:dyDescent="0.25">
      <c r="E18560"/>
      <c r="M18560"/>
    </row>
    <row r="18561" spans="5:13" x14ac:dyDescent="0.25">
      <c r="E18561"/>
      <c r="M18561"/>
    </row>
    <row r="18562" spans="5:13" x14ac:dyDescent="0.25">
      <c r="E18562"/>
      <c r="M18562"/>
    </row>
    <row r="18563" spans="5:13" x14ac:dyDescent="0.25">
      <c r="E18563"/>
      <c r="M18563"/>
    </row>
    <row r="18564" spans="5:13" x14ac:dyDescent="0.25">
      <c r="E18564"/>
      <c r="M18564"/>
    </row>
    <row r="18565" spans="5:13" x14ac:dyDescent="0.25">
      <c r="E18565"/>
      <c r="M18565"/>
    </row>
    <row r="18566" spans="5:13" x14ac:dyDescent="0.25">
      <c r="E18566"/>
      <c r="M18566"/>
    </row>
    <row r="18567" spans="5:13" x14ac:dyDescent="0.25">
      <c r="E18567"/>
      <c r="M18567"/>
    </row>
    <row r="18568" spans="5:13" x14ac:dyDescent="0.25">
      <c r="E18568"/>
      <c r="M18568"/>
    </row>
    <row r="18569" spans="5:13" x14ac:dyDescent="0.25">
      <c r="E18569"/>
      <c r="M18569"/>
    </row>
    <row r="18570" spans="5:13" x14ac:dyDescent="0.25">
      <c r="E18570"/>
      <c r="M18570"/>
    </row>
    <row r="18571" spans="5:13" x14ac:dyDescent="0.25">
      <c r="E18571"/>
      <c r="M18571"/>
    </row>
    <row r="18572" spans="5:13" x14ac:dyDescent="0.25">
      <c r="E18572"/>
      <c r="M18572"/>
    </row>
    <row r="18573" spans="5:13" x14ac:dyDescent="0.25">
      <c r="E18573"/>
      <c r="M18573"/>
    </row>
    <row r="18574" spans="5:13" x14ac:dyDescent="0.25">
      <c r="E18574"/>
      <c r="M18574"/>
    </row>
    <row r="18575" spans="5:13" x14ac:dyDescent="0.25">
      <c r="E18575"/>
      <c r="M18575"/>
    </row>
    <row r="18576" spans="5:13" x14ac:dyDescent="0.25">
      <c r="E18576"/>
      <c r="M18576"/>
    </row>
    <row r="18577" spans="5:13" x14ac:dyDescent="0.25">
      <c r="E18577"/>
      <c r="M18577"/>
    </row>
    <row r="18578" spans="5:13" x14ac:dyDescent="0.25">
      <c r="E18578"/>
      <c r="M18578"/>
    </row>
    <row r="18579" spans="5:13" x14ac:dyDescent="0.25">
      <c r="E18579"/>
      <c r="M18579"/>
    </row>
    <row r="18580" spans="5:13" x14ac:dyDescent="0.25">
      <c r="E18580"/>
      <c r="M18580"/>
    </row>
    <row r="18581" spans="5:13" x14ac:dyDescent="0.25">
      <c r="E18581"/>
      <c r="M18581"/>
    </row>
    <row r="18582" spans="5:13" x14ac:dyDescent="0.25">
      <c r="E18582"/>
      <c r="M18582"/>
    </row>
    <row r="18583" spans="5:13" x14ac:dyDescent="0.25">
      <c r="E18583"/>
      <c r="M18583"/>
    </row>
    <row r="18584" spans="5:13" x14ac:dyDescent="0.25">
      <c r="E18584"/>
      <c r="M18584"/>
    </row>
    <row r="18585" spans="5:13" x14ac:dyDescent="0.25">
      <c r="E18585"/>
      <c r="M18585"/>
    </row>
    <row r="18586" spans="5:13" x14ac:dyDescent="0.25">
      <c r="E18586"/>
      <c r="M18586"/>
    </row>
    <row r="18587" spans="5:13" x14ac:dyDescent="0.25">
      <c r="E18587"/>
      <c r="M18587"/>
    </row>
    <row r="18588" spans="5:13" x14ac:dyDescent="0.25">
      <c r="E18588"/>
      <c r="M18588"/>
    </row>
    <row r="18589" spans="5:13" x14ac:dyDescent="0.25">
      <c r="E18589"/>
      <c r="M18589"/>
    </row>
    <row r="18590" spans="5:13" x14ac:dyDescent="0.25">
      <c r="E18590"/>
      <c r="M18590"/>
    </row>
    <row r="18591" spans="5:13" x14ac:dyDescent="0.25">
      <c r="E18591"/>
      <c r="M18591"/>
    </row>
    <row r="18592" spans="5:13" x14ac:dyDescent="0.25">
      <c r="E18592"/>
      <c r="M18592"/>
    </row>
    <row r="18593" spans="5:13" x14ac:dyDescent="0.25">
      <c r="E18593"/>
      <c r="M18593"/>
    </row>
    <row r="18594" spans="5:13" x14ac:dyDescent="0.25">
      <c r="E18594"/>
      <c r="M18594"/>
    </row>
    <row r="18595" spans="5:13" x14ac:dyDescent="0.25">
      <c r="E18595"/>
      <c r="M18595"/>
    </row>
    <row r="18596" spans="5:13" x14ac:dyDescent="0.25">
      <c r="E18596"/>
      <c r="M18596"/>
    </row>
    <row r="18597" spans="5:13" x14ac:dyDescent="0.25">
      <c r="E18597"/>
      <c r="M18597"/>
    </row>
    <row r="18598" spans="5:13" x14ac:dyDescent="0.25">
      <c r="E18598"/>
      <c r="M18598"/>
    </row>
    <row r="18599" spans="5:13" x14ac:dyDescent="0.25">
      <c r="E18599"/>
      <c r="M18599"/>
    </row>
    <row r="18600" spans="5:13" x14ac:dyDescent="0.25">
      <c r="E18600"/>
      <c r="M18600"/>
    </row>
    <row r="18601" spans="5:13" x14ac:dyDescent="0.25">
      <c r="E18601"/>
      <c r="M18601"/>
    </row>
    <row r="18602" spans="5:13" x14ac:dyDescent="0.25">
      <c r="E18602"/>
      <c r="M18602"/>
    </row>
    <row r="18603" spans="5:13" x14ac:dyDescent="0.25">
      <c r="E18603"/>
      <c r="M18603"/>
    </row>
    <row r="18604" spans="5:13" x14ac:dyDescent="0.25">
      <c r="E18604"/>
      <c r="M18604"/>
    </row>
    <row r="18605" spans="5:13" x14ac:dyDescent="0.25">
      <c r="E18605"/>
      <c r="M18605"/>
    </row>
    <row r="18606" spans="5:13" x14ac:dyDescent="0.25">
      <c r="E18606"/>
      <c r="M18606"/>
    </row>
    <row r="18607" spans="5:13" x14ac:dyDescent="0.25">
      <c r="E18607"/>
      <c r="M18607"/>
    </row>
    <row r="18608" spans="5:13" x14ac:dyDescent="0.25">
      <c r="E18608"/>
      <c r="M18608"/>
    </row>
    <row r="18609" spans="5:13" x14ac:dyDescent="0.25">
      <c r="E18609"/>
      <c r="M18609"/>
    </row>
    <row r="18610" spans="5:13" x14ac:dyDescent="0.25">
      <c r="E18610"/>
      <c r="M18610"/>
    </row>
    <row r="18611" spans="5:13" x14ac:dyDescent="0.25">
      <c r="E18611"/>
      <c r="M18611"/>
    </row>
    <row r="18612" spans="5:13" x14ac:dyDescent="0.25">
      <c r="E18612"/>
      <c r="M18612"/>
    </row>
    <row r="18613" spans="5:13" x14ac:dyDescent="0.25">
      <c r="E18613"/>
      <c r="M18613"/>
    </row>
    <row r="18614" spans="5:13" x14ac:dyDescent="0.25">
      <c r="E18614"/>
      <c r="M18614"/>
    </row>
    <row r="18615" spans="5:13" x14ac:dyDescent="0.25">
      <c r="E18615"/>
      <c r="M18615"/>
    </row>
    <row r="18616" spans="5:13" x14ac:dyDescent="0.25">
      <c r="E18616"/>
      <c r="M18616"/>
    </row>
    <row r="18617" spans="5:13" x14ac:dyDescent="0.25">
      <c r="E18617"/>
      <c r="M18617"/>
    </row>
    <row r="18618" spans="5:13" x14ac:dyDescent="0.25">
      <c r="E18618"/>
      <c r="M18618"/>
    </row>
    <row r="18619" spans="5:13" x14ac:dyDescent="0.25">
      <c r="E18619"/>
      <c r="M18619"/>
    </row>
    <row r="18620" spans="5:13" x14ac:dyDescent="0.25">
      <c r="E18620"/>
      <c r="M18620"/>
    </row>
    <row r="18621" spans="5:13" x14ac:dyDescent="0.25">
      <c r="E18621"/>
      <c r="M18621"/>
    </row>
    <row r="18622" spans="5:13" x14ac:dyDescent="0.25">
      <c r="E18622"/>
      <c r="M18622"/>
    </row>
    <row r="18623" spans="5:13" x14ac:dyDescent="0.25">
      <c r="E18623"/>
      <c r="M18623"/>
    </row>
    <row r="18624" spans="5:13" x14ac:dyDescent="0.25">
      <c r="E18624"/>
      <c r="M18624"/>
    </row>
    <row r="18625" spans="5:13" x14ac:dyDescent="0.25">
      <c r="E18625"/>
      <c r="M18625"/>
    </row>
    <row r="18626" spans="5:13" x14ac:dyDescent="0.25">
      <c r="E18626"/>
      <c r="M18626"/>
    </row>
    <row r="18627" spans="5:13" x14ac:dyDescent="0.25">
      <c r="E18627"/>
      <c r="M18627"/>
    </row>
    <row r="18628" spans="5:13" x14ac:dyDescent="0.25">
      <c r="E18628"/>
      <c r="M18628"/>
    </row>
    <row r="18629" spans="5:13" x14ac:dyDescent="0.25">
      <c r="E18629"/>
      <c r="M18629"/>
    </row>
    <row r="18630" spans="5:13" x14ac:dyDescent="0.25">
      <c r="E18630"/>
      <c r="M18630"/>
    </row>
    <row r="18631" spans="5:13" x14ac:dyDescent="0.25">
      <c r="E18631"/>
      <c r="M18631"/>
    </row>
    <row r="18632" spans="5:13" x14ac:dyDescent="0.25">
      <c r="E18632"/>
      <c r="M18632"/>
    </row>
    <row r="18633" spans="5:13" x14ac:dyDescent="0.25">
      <c r="E18633"/>
      <c r="M18633"/>
    </row>
    <row r="18634" spans="5:13" x14ac:dyDescent="0.25">
      <c r="E18634"/>
      <c r="M18634"/>
    </row>
    <row r="18635" spans="5:13" x14ac:dyDescent="0.25">
      <c r="E18635"/>
      <c r="M18635"/>
    </row>
    <row r="18636" spans="5:13" x14ac:dyDescent="0.25">
      <c r="E18636"/>
      <c r="M18636"/>
    </row>
    <row r="18637" spans="5:13" x14ac:dyDescent="0.25">
      <c r="E18637"/>
      <c r="M18637"/>
    </row>
    <row r="18638" spans="5:13" x14ac:dyDescent="0.25">
      <c r="E18638"/>
      <c r="M18638"/>
    </row>
    <row r="18639" spans="5:13" x14ac:dyDescent="0.25">
      <c r="E18639"/>
      <c r="M18639"/>
    </row>
    <row r="18640" spans="5:13" x14ac:dyDescent="0.25">
      <c r="E18640"/>
      <c r="M18640"/>
    </row>
    <row r="18641" spans="5:13" x14ac:dyDescent="0.25">
      <c r="E18641"/>
      <c r="M18641"/>
    </row>
    <row r="18642" spans="5:13" x14ac:dyDescent="0.25">
      <c r="E18642"/>
      <c r="M18642"/>
    </row>
    <row r="18643" spans="5:13" x14ac:dyDescent="0.25">
      <c r="E18643"/>
      <c r="M18643"/>
    </row>
    <row r="18644" spans="5:13" x14ac:dyDescent="0.25">
      <c r="E18644"/>
      <c r="M18644"/>
    </row>
    <row r="18645" spans="5:13" x14ac:dyDescent="0.25">
      <c r="E18645"/>
      <c r="M18645"/>
    </row>
    <row r="18646" spans="5:13" x14ac:dyDescent="0.25">
      <c r="E18646"/>
      <c r="M18646"/>
    </row>
    <row r="18647" spans="5:13" x14ac:dyDescent="0.25">
      <c r="E18647"/>
      <c r="M18647"/>
    </row>
    <row r="18648" spans="5:13" x14ac:dyDescent="0.25">
      <c r="E18648"/>
      <c r="M18648"/>
    </row>
    <row r="18649" spans="5:13" x14ac:dyDescent="0.25">
      <c r="E18649"/>
      <c r="M18649"/>
    </row>
    <row r="18650" spans="5:13" x14ac:dyDescent="0.25">
      <c r="E18650"/>
      <c r="M18650"/>
    </row>
    <row r="18651" spans="5:13" x14ac:dyDescent="0.25">
      <c r="E18651"/>
      <c r="M18651"/>
    </row>
    <row r="18652" spans="5:13" x14ac:dyDescent="0.25">
      <c r="E18652"/>
      <c r="M18652"/>
    </row>
    <row r="18653" spans="5:13" x14ac:dyDescent="0.25">
      <c r="E18653"/>
      <c r="M18653"/>
    </row>
    <row r="18654" spans="5:13" x14ac:dyDescent="0.25">
      <c r="E18654"/>
      <c r="M18654"/>
    </row>
    <row r="18655" spans="5:13" x14ac:dyDescent="0.25">
      <c r="E18655"/>
      <c r="M18655"/>
    </row>
    <row r="18656" spans="5:13" x14ac:dyDescent="0.25">
      <c r="E18656"/>
      <c r="M18656"/>
    </row>
    <row r="18657" spans="5:13" x14ac:dyDescent="0.25">
      <c r="E18657"/>
      <c r="M18657"/>
    </row>
    <row r="18658" spans="5:13" x14ac:dyDescent="0.25">
      <c r="E18658"/>
      <c r="M18658"/>
    </row>
    <row r="18659" spans="5:13" x14ac:dyDescent="0.25">
      <c r="E18659"/>
      <c r="M18659"/>
    </row>
    <row r="18660" spans="5:13" x14ac:dyDescent="0.25">
      <c r="E18660"/>
      <c r="M18660"/>
    </row>
    <row r="18661" spans="5:13" x14ac:dyDescent="0.25">
      <c r="E18661"/>
      <c r="M18661"/>
    </row>
    <row r="18662" spans="5:13" x14ac:dyDescent="0.25">
      <c r="E18662"/>
      <c r="M18662"/>
    </row>
    <row r="18663" spans="5:13" x14ac:dyDescent="0.25">
      <c r="E18663"/>
      <c r="M18663"/>
    </row>
    <row r="18664" spans="5:13" x14ac:dyDescent="0.25">
      <c r="E18664"/>
      <c r="M18664"/>
    </row>
    <row r="18665" spans="5:13" x14ac:dyDescent="0.25">
      <c r="E18665"/>
      <c r="M18665"/>
    </row>
    <row r="18666" spans="5:13" x14ac:dyDescent="0.25">
      <c r="E18666"/>
      <c r="M18666"/>
    </row>
    <row r="18667" spans="5:13" x14ac:dyDescent="0.25">
      <c r="E18667"/>
      <c r="M18667"/>
    </row>
    <row r="18668" spans="5:13" x14ac:dyDescent="0.25">
      <c r="E18668"/>
      <c r="M18668"/>
    </row>
    <row r="18669" spans="5:13" x14ac:dyDescent="0.25">
      <c r="E18669"/>
      <c r="M18669"/>
    </row>
    <row r="18670" spans="5:13" x14ac:dyDescent="0.25">
      <c r="E18670"/>
      <c r="M18670"/>
    </row>
    <row r="18671" spans="5:13" x14ac:dyDescent="0.25">
      <c r="E18671"/>
      <c r="M18671"/>
    </row>
    <row r="18672" spans="5:13" x14ac:dyDescent="0.25">
      <c r="E18672"/>
      <c r="M18672"/>
    </row>
    <row r="18673" spans="5:13" x14ac:dyDescent="0.25">
      <c r="E18673"/>
      <c r="M18673"/>
    </row>
    <row r="18674" spans="5:13" x14ac:dyDescent="0.25">
      <c r="E18674"/>
      <c r="M18674"/>
    </row>
    <row r="18675" spans="5:13" x14ac:dyDescent="0.25">
      <c r="E18675"/>
      <c r="M18675"/>
    </row>
    <row r="18676" spans="5:13" x14ac:dyDescent="0.25">
      <c r="E18676"/>
      <c r="M18676"/>
    </row>
    <row r="18677" spans="5:13" x14ac:dyDescent="0.25">
      <c r="E18677"/>
      <c r="M18677"/>
    </row>
    <row r="18678" spans="5:13" x14ac:dyDescent="0.25">
      <c r="E18678"/>
      <c r="M18678"/>
    </row>
    <row r="18679" spans="5:13" x14ac:dyDescent="0.25">
      <c r="E18679"/>
      <c r="M18679"/>
    </row>
    <row r="18680" spans="5:13" x14ac:dyDescent="0.25">
      <c r="E18680"/>
      <c r="M18680"/>
    </row>
    <row r="18681" spans="5:13" x14ac:dyDescent="0.25">
      <c r="E18681"/>
      <c r="M18681"/>
    </row>
    <row r="18682" spans="5:13" x14ac:dyDescent="0.25">
      <c r="E18682"/>
      <c r="M18682"/>
    </row>
    <row r="18683" spans="5:13" x14ac:dyDescent="0.25">
      <c r="E18683"/>
      <c r="M18683"/>
    </row>
    <row r="18684" spans="5:13" x14ac:dyDescent="0.25">
      <c r="E18684"/>
      <c r="M18684"/>
    </row>
    <row r="18685" spans="5:13" x14ac:dyDescent="0.25">
      <c r="E18685"/>
      <c r="M18685"/>
    </row>
    <row r="18686" spans="5:13" x14ac:dyDescent="0.25">
      <c r="E18686"/>
      <c r="M18686"/>
    </row>
    <row r="18687" spans="5:13" x14ac:dyDescent="0.25">
      <c r="E18687"/>
      <c r="M18687"/>
    </row>
    <row r="18688" spans="5:13" x14ac:dyDescent="0.25">
      <c r="E18688"/>
      <c r="M18688"/>
    </row>
    <row r="18689" spans="5:13" x14ac:dyDescent="0.25">
      <c r="E18689"/>
      <c r="M18689"/>
    </row>
    <row r="18690" spans="5:13" x14ac:dyDescent="0.25">
      <c r="E18690"/>
      <c r="M18690"/>
    </row>
    <row r="18691" spans="5:13" x14ac:dyDescent="0.25">
      <c r="E18691"/>
      <c r="M18691"/>
    </row>
    <row r="18692" spans="5:13" x14ac:dyDescent="0.25">
      <c r="E18692"/>
      <c r="M18692"/>
    </row>
    <row r="18693" spans="5:13" x14ac:dyDescent="0.25">
      <c r="E18693"/>
      <c r="M18693"/>
    </row>
    <row r="18694" spans="5:13" x14ac:dyDescent="0.25">
      <c r="E18694"/>
      <c r="M18694"/>
    </row>
    <row r="18695" spans="5:13" x14ac:dyDescent="0.25">
      <c r="E18695"/>
      <c r="M18695"/>
    </row>
    <row r="18696" spans="5:13" x14ac:dyDescent="0.25">
      <c r="E18696"/>
      <c r="M18696"/>
    </row>
    <row r="18697" spans="5:13" x14ac:dyDescent="0.25">
      <c r="E18697"/>
      <c r="M18697"/>
    </row>
    <row r="18698" spans="5:13" x14ac:dyDescent="0.25">
      <c r="E18698"/>
      <c r="M18698"/>
    </row>
    <row r="18699" spans="5:13" x14ac:dyDescent="0.25">
      <c r="E18699"/>
      <c r="M18699"/>
    </row>
    <row r="18700" spans="5:13" x14ac:dyDescent="0.25">
      <c r="E18700"/>
      <c r="M18700"/>
    </row>
    <row r="18701" spans="5:13" x14ac:dyDescent="0.25">
      <c r="E18701"/>
      <c r="M18701"/>
    </row>
    <row r="18702" spans="5:13" x14ac:dyDescent="0.25">
      <c r="E18702"/>
      <c r="M18702"/>
    </row>
    <row r="18703" spans="5:13" x14ac:dyDescent="0.25">
      <c r="E18703"/>
      <c r="M18703"/>
    </row>
    <row r="18704" spans="5:13" x14ac:dyDescent="0.25">
      <c r="E18704"/>
      <c r="M18704"/>
    </row>
    <row r="18705" spans="5:13" x14ac:dyDescent="0.25">
      <c r="E18705"/>
      <c r="M18705"/>
    </row>
    <row r="18706" spans="5:13" x14ac:dyDescent="0.25">
      <c r="E18706"/>
      <c r="M18706"/>
    </row>
    <row r="18707" spans="5:13" x14ac:dyDescent="0.25">
      <c r="E18707"/>
      <c r="M18707"/>
    </row>
    <row r="18708" spans="5:13" x14ac:dyDescent="0.25">
      <c r="E18708"/>
      <c r="M18708"/>
    </row>
    <row r="18709" spans="5:13" x14ac:dyDescent="0.25">
      <c r="E18709"/>
      <c r="M18709"/>
    </row>
    <row r="18710" spans="5:13" x14ac:dyDescent="0.25">
      <c r="E18710"/>
      <c r="M18710"/>
    </row>
    <row r="18711" spans="5:13" x14ac:dyDescent="0.25">
      <c r="E18711"/>
      <c r="M18711"/>
    </row>
    <row r="18712" spans="5:13" x14ac:dyDescent="0.25">
      <c r="E18712"/>
      <c r="M18712"/>
    </row>
    <row r="18713" spans="5:13" x14ac:dyDescent="0.25">
      <c r="E18713"/>
      <c r="M18713"/>
    </row>
    <row r="18714" spans="5:13" x14ac:dyDescent="0.25">
      <c r="E18714"/>
      <c r="M18714"/>
    </row>
    <row r="18715" spans="5:13" x14ac:dyDescent="0.25">
      <c r="E18715"/>
      <c r="M18715"/>
    </row>
    <row r="18716" spans="5:13" x14ac:dyDescent="0.25">
      <c r="E18716"/>
      <c r="M18716"/>
    </row>
    <row r="18717" spans="5:13" x14ac:dyDescent="0.25">
      <c r="E18717"/>
      <c r="M18717"/>
    </row>
    <row r="18718" spans="5:13" x14ac:dyDescent="0.25">
      <c r="E18718"/>
      <c r="M18718"/>
    </row>
    <row r="18719" spans="5:13" x14ac:dyDescent="0.25">
      <c r="E18719"/>
      <c r="M18719"/>
    </row>
    <row r="18720" spans="5:13" x14ac:dyDescent="0.25">
      <c r="E18720"/>
      <c r="M18720"/>
    </row>
    <row r="18721" spans="5:13" x14ac:dyDescent="0.25">
      <c r="E18721"/>
      <c r="M18721"/>
    </row>
    <row r="18722" spans="5:13" x14ac:dyDescent="0.25">
      <c r="E18722"/>
      <c r="M18722"/>
    </row>
    <row r="18723" spans="5:13" x14ac:dyDescent="0.25">
      <c r="E18723"/>
      <c r="M18723"/>
    </row>
    <row r="18724" spans="5:13" x14ac:dyDescent="0.25">
      <c r="E18724"/>
      <c r="M18724"/>
    </row>
    <row r="18725" spans="5:13" x14ac:dyDescent="0.25">
      <c r="E18725"/>
      <c r="M18725"/>
    </row>
    <row r="18726" spans="5:13" x14ac:dyDescent="0.25">
      <c r="E18726"/>
      <c r="M18726"/>
    </row>
    <row r="18727" spans="5:13" x14ac:dyDescent="0.25">
      <c r="E18727"/>
      <c r="M18727"/>
    </row>
    <row r="18728" spans="5:13" x14ac:dyDescent="0.25">
      <c r="E18728"/>
      <c r="M18728"/>
    </row>
    <row r="18729" spans="5:13" x14ac:dyDescent="0.25">
      <c r="E18729"/>
      <c r="M18729"/>
    </row>
    <row r="18730" spans="5:13" x14ac:dyDescent="0.25">
      <c r="E18730"/>
      <c r="M18730"/>
    </row>
    <row r="18731" spans="5:13" x14ac:dyDescent="0.25">
      <c r="E18731"/>
      <c r="M18731"/>
    </row>
    <row r="18732" spans="5:13" x14ac:dyDescent="0.25">
      <c r="E18732"/>
      <c r="M18732"/>
    </row>
    <row r="18733" spans="5:13" x14ac:dyDescent="0.25">
      <c r="E18733"/>
      <c r="M18733"/>
    </row>
    <row r="18734" spans="5:13" x14ac:dyDescent="0.25">
      <c r="E18734"/>
      <c r="M18734"/>
    </row>
    <row r="18735" spans="5:13" x14ac:dyDescent="0.25">
      <c r="E18735"/>
      <c r="M18735"/>
    </row>
    <row r="18736" spans="5:13" x14ac:dyDescent="0.25">
      <c r="E18736"/>
      <c r="M18736"/>
    </row>
    <row r="18737" spans="5:13" x14ac:dyDescent="0.25">
      <c r="E18737"/>
      <c r="M18737"/>
    </row>
    <row r="18738" spans="5:13" x14ac:dyDescent="0.25">
      <c r="E18738"/>
      <c r="M18738"/>
    </row>
    <row r="18739" spans="5:13" x14ac:dyDescent="0.25">
      <c r="E18739"/>
      <c r="M18739"/>
    </row>
    <row r="18740" spans="5:13" x14ac:dyDescent="0.25">
      <c r="E18740"/>
      <c r="M18740"/>
    </row>
    <row r="18741" spans="5:13" x14ac:dyDescent="0.25">
      <c r="E18741"/>
      <c r="M18741"/>
    </row>
    <row r="18742" spans="5:13" x14ac:dyDescent="0.25">
      <c r="E18742"/>
      <c r="M18742"/>
    </row>
    <row r="18743" spans="5:13" x14ac:dyDescent="0.25">
      <c r="E18743"/>
      <c r="M18743"/>
    </row>
    <row r="18744" spans="5:13" x14ac:dyDescent="0.25">
      <c r="E18744"/>
      <c r="M18744"/>
    </row>
    <row r="18745" spans="5:13" x14ac:dyDescent="0.25">
      <c r="E18745"/>
      <c r="M18745"/>
    </row>
    <row r="18746" spans="5:13" x14ac:dyDescent="0.25">
      <c r="E18746"/>
      <c r="M18746"/>
    </row>
    <row r="18747" spans="5:13" x14ac:dyDescent="0.25">
      <c r="E18747"/>
      <c r="M18747"/>
    </row>
    <row r="18748" spans="5:13" x14ac:dyDescent="0.25">
      <c r="E18748"/>
      <c r="M18748"/>
    </row>
    <row r="18749" spans="5:13" x14ac:dyDescent="0.25">
      <c r="E18749"/>
      <c r="M18749"/>
    </row>
    <row r="18750" spans="5:13" x14ac:dyDescent="0.25">
      <c r="E18750"/>
      <c r="M18750"/>
    </row>
    <row r="18751" spans="5:13" x14ac:dyDescent="0.25">
      <c r="E18751"/>
      <c r="M18751"/>
    </row>
    <row r="18752" spans="5:13" x14ac:dyDescent="0.25">
      <c r="E18752"/>
      <c r="M18752"/>
    </row>
    <row r="18753" spans="5:13" x14ac:dyDescent="0.25">
      <c r="E18753"/>
      <c r="M18753"/>
    </row>
    <row r="18754" spans="5:13" x14ac:dyDescent="0.25">
      <c r="E18754"/>
      <c r="M18754"/>
    </row>
    <row r="18755" spans="5:13" x14ac:dyDescent="0.25">
      <c r="E18755"/>
      <c r="M18755"/>
    </row>
    <row r="18756" spans="5:13" x14ac:dyDescent="0.25">
      <c r="E18756"/>
      <c r="M18756"/>
    </row>
    <row r="18757" spans="5:13" x14ac:dyDescent="0.25">
      <c r="E18757"/>
      <c r="M18757"/>
    </row>
    <row r="18758" spans="5:13" x14ac:dyDescent="0.25">
      <c r="E18758"/>
      <c r="M18758"/>
    </row>
    <row r="18759" spans="5:13" x14ac:dyDescent="0.25">
      <c r="E18759"/>
      <c r="M18759"/>
    </row>
    <row r="18760" spans="5:13" x14ac:dyDescent="0.25">
      <c r="E18760"/>
      <c r="M18760"/>
    </row>
    <row r="18761" spans="5:13" x14ac:dyDescent="0.25">
      <c r="E18761"/>
      <c r="M18761"/>
    </row>
    <row r="18762" spans="5:13" x14ac:dyDescent="0.25">
      <c r="E18762"/>
      <c r="M18762"/>
    </row>
    <row r="18763" spans="5:13" x14ac:dyDescent="0.25">
      <c r="E18763"/>
      <c r="M18763"/>
    </row>
    <row r="18764" spans="5:13" x14ac:dyDescent="0.25">
      <c r="E18764"/>
      <c r="M18764"/>
    </row>
    <row r="18765" spans="5:13" x14ac:dyDescent="0.25">
      <c r="E18765"/>
      <c r="M18765"/>
    </row>
    <row r="18766" spans="5:13" x14ac:dyDescent="0.25">
      <c r="E18766"/>
      <c r="M18766"/>
    </row>
    <row r="18767" spans="5:13" x14ac:dyDescent="0.25">
      <c r="E18767"/>
      <c r="M18767"/>
    </row>
    <row r="18768" spans="5:13" x14ac:dyDescent="0.25">
      <c r="E18768"/>
      <c r="M18768"/>
    </row>
    <row r="18769" spans="5:13" x14ac:dyDescent="0.25">
      <c r="E18769"/>
      <c r="M18769"/>
    </row>
    <row r="18770" spans="5:13" x14ac:dyDescent="0.25">
      <c r="E18770"/>
      <c r="M18770"/>
    </row>
    <row r="18771" spans="5:13" x14ac:dyDescent="0.25">
      <c r="E18771"/>
      <c r="M18771"/>
    </row>
    <row r="18772" spans="5:13" x14ac:dyDescent="0.25">
      <c r="E18772"/>
      <c r="M18772"/>
    </row>
    <row r="18773" spans="5:13" x14ac:dyDescent="0.25">
      <c r="E18773"/>
      <c r="M18773"/>
    </row>
    <row r="18774" spans="5:13" x14ac:dyDescent="0.25">
      <c r="E18774"/>
      <c r="M18774"/>
    </row>
    <row r="18775" spans="5:13" x14ac:dyDescent="0.25">
      <c r="E18775"/>
      <c r="M18775"/>
    </row>
    <row r="18776" spans="5:13" x14ac:dyDescent="0.25">
      <c r="E18776"/>
      <c r="M18776"/>
    </row>
    <row r="18777" spans="5:13" x14ac:dyDescent="0.25">
      <c r="E18777"/>
      <c r="M18777"/>
    </row>
    <row r="18778" spans="5:13" x14ac:dyDescent="0.25">
      <c r="E18778"/>
      <c r="M18778"/>
    </row>
    <row r="18779" spans="5:13" x14ac:dyDescent="0.25">
      <c r="E18779"/>
      <c r="M18779"/>
    </row>
    <row r="18780" spans="5:13" x14ac:dyDescent="0.25">
      <c r="E18780"/>
      <c r="M18780"/>
    </row>
    <row r="18781" spans="5:13" x14ac:dyDescent="0.25">
      <c r="E18781"/>
      <c r="M18781"/>
    </row>
    <row r="18782" spans="5:13" x14ac:dyDescent="0.25">
      <c r="E18782"/>
      <c r="M18782"/>
    </row>
    <row r="18783" spans="5:13" x14ac:dyDescent="0.25">
      <c r="E18783"/>
      <c r="M18783"/>
    </row>
    <row r="18784" spans="5:13" x14ac:dyDescent="0.25">
      <c r="E18784"/>
      <c r="M18784"/>
    </row>
    <row r="18785" spans="5:13" x14ac:dyDescent="0.25">
      <c r="E18785"/>
      <c r="M18785"/>
    </row>
    <row r="18786" spans="5:13" x14ac:dyDescent="0.25">
      <c r="E18786"/>
      <c r="M18786"/>
    </row>
    <row r="18787" spans="5:13" x14ac:dyDescent="0.25">
      <c r="E18787"/>
      <c r="M18787"/>
    </row>
    <row r="18788" spans="5:13" x14ac:dyDescent="0.25">
      <c r="E18788"/>
      <c r="M18788"/>
    </row>
    <row r="18789" spans="5:13" x14ac:dyDescent="0.25">
      <c r="E18789"/>
      <c r="M18789"/>
    </row>
    <row r="18790" spans="5:13" x14ac:dyDescent="0.25">
      <c r="E18790"/>
      <c r="M18790"/>
    </row>
    <row r="18791" spans="5:13" x14ac:dyDescent="0.25">
      <c r="E18791"/>
      <c r="M18791"/>
    </row>
    <row r="18792" spans="5:13" x14ac:dyDescent="0.25">
      <c r="E18792"/>
      <c r="M18792"/>
    </row>
    <row r="18793" spans="5:13" x14ac:dyDescent="0.25">
      <c r="E18793"/>
      <c r="M18793"/>
    </row>
    <row r="18794" spans="5:13" x14ac:dyDescent="0.25">
      <c r="E18794"/>
      <c r="M18794"/>
    </row>
    <row r="18795" spans="5:13" x14ac:dyDescent="0.25">
      <c r="E18795"/>
      <c r="M18795"/>
    </row>
    <row r="18796" spans="5:13" x14ac:dyDescent="0.25">
      <c r="E18796"/>
      <c r="M18796"/>
    </row>
    <row r="18797" spans="5:13" x14ac:dyDescent="0.25">
      <c r="E18797"/>
      <c r="M18797"/>
    </row>
    <row r="18798" spans="5:13" x14ac:dyDescent="0.25">
      <c r="E18798"/>
      <c r="M18798"/>
    </row>
    <row r="18799" spans="5:13" x14ac:dyDescent="0.25">
      <c r="E18799"/>
      <c r="M18799"/>
    </row>
    <row r="18800" spans="5:13" x14ac:dyDescent="0.25">
      <c r="E18800"/>
      <c r="M18800"/>
    </row>
    <row r="18801" spans="5:13" x14ac:dyDescent="0.25">
      <c r="E18801"/>
      <c r="M18801"/>
    </row>
    <row r="18802" spans="5:13" x14ac:dyDescent="0.25">
      <c r="E18802"/>
      <c r="M18802"/>
    </row>
    <row r="18803" spans="5:13" x14ac:dyDescent="0.25">
      <c r="E18803"/>
      <c r="M18803"/>
    </row>
    <row r="18804" spans="5:13" x14ac:dyDescent="0.25">
      <c r="E18804"/>
      <c r="M18804"/>
    </row>
    <row r="18805" spans="5:13" x14ac:dyDescent="0.25">
      <c r="E18805"/>
      <c r="M18805"/>
    </row>
    <row r="18806" spans="5:13" x14ac:dyDescent="0.25">
      <c r="E18806"/>
      <c r="M18806"/>
    </row>
    <row r="18807" spans="5:13" x14ac:dyDescent="0.25">
      <c r="E18807"/>
      <c r="M18807"/>
    </row>
    <row r="18808" spans="5:13" x14ac:dyDescent="0.25">
      <c r="E18808"/>
      <c r="M18808"/>
    </row>
    <row r="18809" spans="5:13" x14ac:dyDescent="0.25">
      <c r="E18809"/>
      <c r="M18809"/>
    </row>
    <row r="18810" spans="5:13" x14ac:dyDescent="0.25">
      <c r="E18810"/>
      <c r="M18810"/>
    </row>
    <row r="18811" spans="5:13" x14ac:dyDescent="0.25">
      <c r="E18811"/>
      <c r="M18811"/>
    </row>
    <row r="18812" spans="5:13" x14ac:dyDescent="0.25">
      <c r="E18812"/>
      <c r="M18812"/>
    </row>
    <row r="18813" spans="5:13" x14ac:dyDescent="0.25">
      <c r="E18813"/>
      <c r="M18813"/>
    </row>
    <row r="18814" spans="5:13" x14ac:dyDescent="0.25">
      <c r="E18814"/>
      <c r="M18814"/>
    </row>
    <row r="18815" spans="5:13" x14ac:dyDescent="0.25">
      <c r="E18815"/>
      <c r="M18815"/>
    </row>
    <row r="18816" spans="5:13" x14ac:dyDescent="0.25">
      <c r="E18816"/>
      <c r="M18816"/>
    </row>
    <row r="18817" spans="5:13" x14ac:dyDescent="0.25">
      <c r="E18817"/>
      <c r="M18817"/>
    </row>
    <row r="18818" spans="5:13" x14ac:dyDescent="0.25">
      <c r="E18818"/>
      <c r="M18818"/>
    </row>
    <row r="18819" spans="5:13" x14ac:dyDescent="0.25">
      <c r="E18819"/>
      <c r="M18819"/>
    </row>
    <row r="18820" spans="5:13" x14ac:dyDescent="0.25">
      <c r="E18820"/>
      <c r="M18820"/>
    </row>
    <row r="18821" spans="5:13" x14ac:dyDescent="0.25">
      <c r="E18821"/>
      <c r="M18821"/>
    </row>
    <row r="18822" spans="5:13" x14ac:dyDescent="0.25">
      <c r="E18822"/>
      <c r="M18822"/>
    </row>
    <row r="18823" spans="5:13" x14ac:dyDescent="0.25">
      <c r="E18823"/>
      <c r="M18823"/>
    </row>
    <row r="18824" spans="5:13" x14ac:dyDescent="0.25">
      <c r="E18824"/>
      <c r="M18824"/>
    </row>
    <row r="18825" spans="5:13" x14ac:dyDescent="0.25">
      <c r="E18825"/>
      <c r="M18825"/>
    </row>
    <row r="18826" spans="5:13" x14ac:dyDescent="0.25">
      <c r="E18826"/>
      <c r="M18826"/>
    </row>
    <row r="18827" spans="5:13" x14ac:dyDescent="0.25">
      <c r="E18827"/>
      <c r="M18827"/>
    </row>
    <row r="18828" spans="5:13" x14ac:dyDescent="0.25">
      <c r="E18828"/>
      <c r="M18828"/>
    </row>
    <row r="18829" spans="5:13" x14ac:dyDescent="0.25">
      <c r="E18829"/>
      <c r="M18829"/>
    </row>
    <row r="18830" spans="5:13" x14ac:dyDescent="0.25">
      <c r="E18830"/>
      <c r="M18830"/>
    </row>
    <row r="18831" spans="5:13" x14ac:dyDescent="0.25">
      <c r="E18831"/>
      <c r="M18831"/>
    </row>
    <row r="18832" spans="5:13" x14ac:dyDescent="0.25">
      <c r="E18832"/>
      <c r="M18832"/>
    </row>
    <row r="18833" spans="5:13" x14ac:dyDescent="0.25">
      <c r="E18833"/>
      <c r="M18833"/>
    </row>
    <row r="18834" spans="5:13" x14ac:dyDescent="0.25">
      <c r="E18834"/>
      <c r="M18834"/>
    </row>
    <row r="18835" spans="5:13" x14ac:dyDescent="0.25">
      <c r="E18835"/>
      <c r="M18835"/>
    </row>
    <row r="18836" spans="5:13" x14ac:dyDescent="0.25">
      <c r="E18836"/>
      <c r="M18836"/>
    </row>
    <row r="18837" spans="5:13" x14ac:dyDescent="0.25">
      <c r="E18837"/>
      <c r="M18837"/>
    </row>
    <row r="18838" spans="5:13" x14ac:dyDescent="0.25">
      <c r="E18838"/>
      <c r="M18838"/>
    </row>
    <row r="18839" spans="5:13" x14ac:dyDescent="0.25">
      <c r="E18839"/>
      <c r="M18839"/>
    </row>
    <row r="18840" spans="5:13" x14ac:dyDescent="0.25">
      <c r="E18840"/>
      <c r="M18840"/>
    </row>
    <row r="18841" spans="5:13" x14ac:dyDescent="0.25">
      <c r="E18841"/>
      <c r="M18841"/>
    </row>
    <row r="18842" spans="5:13" x14ac:dyDescent="0.25">
      <c r="E18842"/>
      <c r="M18842"/>
    </row>
    <row r="18843" spans="5:13" x14ac:dyDescent="0.25">
      <c r="E18843"/>
      <c r="M18843"/>
    </row>
    <row r="18844" spans="5:13" x14ac:dyDescent="0.25">
      <c r="E18844"/>
      <c r="M18844"/>
    </row>
    <row r="18845" spans="5:13" x14ac:dyDescent="0.25">
      <c r="E18845"/>
      <c r="M18845"/>
    </row>
    <row r="18846" spans="5:13" x14ac:dyDescent="0.25">
      <c r="E18846"/>
      <c r="M18846"/>
    </row>
    <row r="18847" spans="5:13" x14ac:dyDescent="0.25">
      <c r="E18847"/>
      <c r="M18847"/>
    </row>
    <row r="18848" spans="5:13" x14ac:dyDescent="0.25">
      <c r="E18848"/>
      <c r="M18848"/>
    </row>
    <row r="18849" spans="5:13" x14ac:dyDescent="0.25">
      <c r="E18849"/>
      <c r="M18849"/>
    </row>
    <row r="18850" spans="5:13" x14ac:dyDescent="0.25">
      <c r="E18850"/>
      <c r="M18850"/>
    </row>
    <row r="18851" spans="5:13" x14ac:dyDescent="0.25">
      <c r="E18851"/>
      <c r="M18851"/>
    </row>
    <row r="18852" spans="5:13" x14ac:dyDescent="0.25">
      <c r="E18852"/>
      <c r="M18852"/>
    </row>
    <row r="18853" spans="5:13" x14ac:dyDescent="0.25">
      <c r="E18853"/>
      <c r="M18853"/>
    </row>
    <row r="18854" spans="5:13" x14ac:dyDescent="0.25">
      <c r="E18854"/>
      <c r="M18854"/>
    </row>
    <row r="18855" spans="5:13" x14ac:dyDescent="0.25">
      <c r="E18855"/>
      <c r="M18855"/>
    </row>
    <row r="18856" spans="5:13" x14ac:dyDescent="0.25">
      <c r="E18856"/>
      <c r="M18856"/>
    </row>
    <row r="18857" spans="5:13" x14ac:dyDescent="0.25">
      <c r="E18857"/>
      <c r="M18857"/>
    </row>
    <row r="18858" spans="5:13" x14ac:dyDescent="0.25">
      <c r="E18858"/>
      <c r="M18858"/>
    </row>
    <row r="18859" spans="5:13" x14ac:dyDescent="0.25">
      <c r="E18859"/>
      <c r="M18859"/>
    </row>
    <row r="18860" spans="5:13" x14ac:dyDescent="0.25">
      <c r="E18860"/>
      <c r="M18860"/>
    </row>
    <row r="18861" spans="5:13" x14ac:dyDescent="0.25">
      <c r="E18861"/>
      <c r="M18861"/>
    </row>
    <row r="18862" spans="5:13" x14ac:dyDescent="0.25">
      <c r="E18862"/>
      <c r="M18862"/>
    </row>
    <row r="18863" spans="5:13" x14ac:dyDescent="0.25">
      <c r="E18863"/>
      <c r="M18863"/>
    </row>
    <row r="18864" spans="5:13" x14ac:dyDescent="0.25">
      <c r="E18864"/>
      <c r="M18864"/>
    </row>
    <row r="18865" spans="5:13" x14ac:dyDescent="0.25">
      <c r="E18865"/>
      <c r="M18865"/>
    </row>
    <row r="18866" spans="5:13" x14ac:dyDescent="0.25">
      <c r="E18866"/>
      <c r="M18866"/>
    </row>
    <row r="18867" spans="5:13" x14ac:dyDescent="0.25">
      <c r="E18867"/>
      <c r="M18867"/>
    </row>
    <row r="18868" spans="5:13" x14ac:dyDescent="0.25">
      <c r="E18868"/>
      <c r="M18868"/>
    </row>
    <row r="18869" spans="5:13" x14ac:dyDescent="0.25">
      <c r="E18869"/>
      <c r="M18869"/>
    </row>
    <row r="18870" spans="5:13" x14ac:dyDescent="0.25">
      <c r="E18870"/>
      <c r="M18870"/>
    </row>
    <row r="18871" spans="5:13" x14ac:dyDescent="0.25">
      <c r="E18871"/>
      <c r="M18871"/>
    </row>
    <row r="18872" spans="5:13" x14ac:dyDescent="0.25">
      <c r="E18872"/>
      <c r="M18872"/>
    </row>
    <row r="18873" spans="5:13" x14ac:dyDescent="0.25">
      <c r="E18873"/>
      <c r="M18873"/>
    </row>
    <row r="18874" spans="5:13" x14ac:dyDescent="0.25">
      <c r="E18874"/>
      <c r="M18874"/>
    </row>
    <row r="18875" spans="5:13" x14ac:dyDescent="0.25">
      <c r="E18875"/>
      <c r="M18875"/>
    </row>
    <row r="18876" spans="5:13" x14ac:dyDescent="0.25">
      <c r="E18876"/>
      <c r="M18876"/>
    </row>
    <row r="18877" spans="5:13" x14ac:dyDescent="0.25">
      <c r="E18877"/>
      <c r="M18877"/>
    </row>
    <row r="18878" spans="5:13" x14ac:dyDescent="0.25">
      <c r="E18878"/>
      <c r="M18878"/>
    </row>
    <row r="18879" spans="5:13" x14ac:dyDescent="0.25">
      <c r="E18879"/>
      <c r="M18879"/>
    </row>
    <row r="18880" spans="5:13" x14ac:dyDescent="0.25">
      <c r="E18880"/>
      <c r="M18880"/>
    </row>
    <row r="18881" spans="5:13" x14ac:dyDescent="0.25">
      <c r="E18881"/>
      <c r="M18881"/>
    </row>
    <row r="18882" spans="5:13" x14ac:dyDescent="0.25">
      <c r="E18882"/>
      <c r="M18882"/>
    </row>
    <row r="18883" spans="5:13" x14ac:dyDescent="0.25">
      <c r="E18883"/>
      <c r="M18883"/>
    </row>
    <row r="18884" spans="5:13" x14ac:dyDescent="0.25">
      <c r="E18884"/>
      <c r="M18884"/>
    </row>
    <row r="18885" spans="5:13" x14ac:dyDescent="0.25">
      <c r="E18885"/>
      <c r="M18885"/>
    </row>
    <row r="18886" spans="5:13" x14ac:dyDescent="0.25">
      <c r="E18886"/>
      <c r="M18886"/>
    </row>
    <row r="18887" spans="5:13" x14ac:dyDescent="0.25">
      <c r="E18887"/>
      <c r="M18887"/>
    </row>
    <row r="18888" spans="5:13" x14ac:dyDescent="0.25">
      <c r="E18888"/>
      <c r="M18888"/>
    </row>
    <row r="18889" spans="5:13" x14ac:dyDescent="0.25">
      <c r="E18889"/>
      <c r="M18889"/>
    </row>
    <row r="18890" spans="5:13" x14ac:dyDescent="0.25">
      <c r="E18890"/>
      <c r="M18890"/>
    </row>
    <row r="18891" spans="5:13" x14ac:dyDescent="0.25">
      <c r="E18891"/>
      <c r="M18891"/>
    </row>
    <row r="18892" spans="5:13" x14ac:dyDescent="0.25">
      <c r="E18892"/>
      <c r="M18892"/>
    </row>
    <row r="18893" spans="5:13" x14ac:dyDescent="0.25">
      <c r="E18893"/>
      <c r="M18893"/>
    </row>
    <row r="18894" spans="5:13" x14ac:dyDescent="0.25">
      <c r="E18894"/>
      <c r="M18894"/>
    </row>
    <row r="18895" spans="5:13" x14ac:dyDescent="0.25">
      <c r="E18895"/>
      <c r="M18895"/>
    </row>
    <row r="18896" spans="5:13" x14ac:dyDescent="0.25">
      <c r="E18896"/>
      <c r="M18896"/>
    </row>
    <row r="18897" spans="5:13" x14ac:dyDescent="0.25">
      <c r="E18897"/>
      <c r="M18897"/>
    </row>
    <row r="18898" spans="5:13" x14ac:dyDescent="0.25">
      <c r="E18898"/>
      <c r="M18898"/>
    </row>
    <row r="18899" spans="5:13" x14ac:dyDescent="0.25">
      <c r="E18899"/>
      <c r="M18899"/>
    </row>
    <row r="18900" spans="5:13" x14ac:dyDescent="0.25">
      <c r="E18900"/>
      <c r="M18900"/>
    </row>
    <row r="18901" spans="5:13" x14ac:dyDescent="0.25">
      <c r="E18901"/>
      <c r="M18901"/>
    </row>
    <row r="18902" spans="5:13" x14ac:dyDescent="0.25">
      <c r="E18902"/>
      <c r="M18902"/>
    </row>
    <row r="18903" spans="5:13" x14ac:dyDescent="0.25">
      <c r="E18903"/>
      <c r="M18903"/>
    </row>
    <row r="18904" spans="5:13" x14ac:dyDescent="0.25">
      <c r="E18904"/>
      <c r="M18904"/>
    </row>
    <row r="18905" spans="5:13" x14ac:dyDescent="0.25">
      <c r="E18905"/>
      <c r="M18905"/>
    </row>
    <row r="18906" spans="5:13" x14ac:dyDescent="0.25">
      <c r="E18906"/>
      <c r="M18906"/>
    </row>
    <row r="18907" spans="5:13" x14ac:dyDescent="0.25">
      <c r="E18907"/>
      <c r="M18907"/>
    </row>
    <row r="18908" spans="5:13" x14ac:dyDescent="0.25">
      <c r="E18908"/>
      <c r="M18908"/>
    </row>
    <row r="18909" spans="5:13" x14ac:dyDescent="0.25">
      <c r="E18909"/>
      <c r="M18909"/>
    </row>
    <row r="18910" spans="5:13" x14ac:dyDescent="0.25">
      <c r="E18910"/>
      <c r="M18910"/>
    </row>
    <row r="18911" spans="5:13" x14ac:dyDescent="0.25">
      <c r="E18911"/>
      <c r="M18911"/>
    </row>
    <row r="18912" spans="5:13" x14ac:dyDescent="0.25">
      <c r="E18912"/>
      <c r="M18912"/>
    </row>
    <row r="18913" spans="5:13" x14ac:dyDescent="0.25">
      <c r="E18913"/>
      <c r="M18913"/>
    </row>
    <row r="18914" spans="5:13" x14ac:dyDescent="0.25">
      <c r="E18914"/>
      <c r="M18914"/>
    </row>
    <row r="18915" spans="5:13" x14ac:dyDescent="0.25">
      <c r="E18915"/>
      <c r="M18915"/>
    </row>
    <row r="18916" spans="5:13" x14ac:dyDescent="0.25">
      <c r="E18916"/>
      <c r="M18916"/>
    </row>
    <row r="18917" spans="5:13" x14ac:dyDescent="0.25">
      <c r="E18917"/>
      <c r="M18917"/>
    </row>
    <row r="18918" spans="5:13" x14ac:dyDescent="0.25">
      <c r="E18918"/>
      <c r="M18918"/>
    </row>
    <row r="18919" spans="5:13" x14ac:dyDescent="0.25">
      <c r="E18919"/>
      <c r="M18919"/>
    </row>
    <row r="18920" spans="5:13" x14ac:dyDescent="0.25">
      <c r="E18920"/>
      <c r="M18920"/>
    </row>
    <row r="18921" spans="5:13" x14ac:dyDescent="0.25">
      <c r="E18921"/>
      <c r="M18921"/>
    </row>
    <row r="18922" spans="5:13" x14ac:dyDescent="0.25">
      <c r="E18922"/>
      <c r="M18922"/>
    </row>
    <row r="18923" spans="5:13" x14ac:dyDescent="0.25">
      <c r="E18923"/>
      <c r="M18923"/>
    </row>
    <row r="18924" spans="5:13" x14ac:dyDescent="0.25">
      <c r="E18924"/>
      <c r="M18924"/>
    </row>
    <row r="18925" spans="5:13" x14ac:dyDescent="0.25">
      <c r="E18925"/>
      <c r="M18925"/>
    </row>
    <row r="18926" spans="5:13" x14ac:dyDescent="0.25">
      <c r="E18926"/>
      <c r="M18926"/>
    </row>
    <row r="18927" spans="5:13" x14ac:dyDescent="0.25">
      <c r="E18927"/>
      <c r="M18927"/>
    </row>
    <row r="18928" spans="5:13" x14ac:dyDescent="0.25">
      <c r="E18928"/>
      <c r="M18928"/>
    </row>
    <row r="18929" spans="5:13" x14ac:dyDescent="0.25">
      <c r="E18929"/>
      <c r="M18929"/>
    </row>
    <row r="18930" spans="5:13" x14ac:dyDescent="0.25">
      <c r="E18930"/>
      <c r="M18930"/>
    </row>
    <row r="18931" spans="5:13" x14ac:dyDescent="0.25">
      <c r="E18931"/>
      <c r="M18931"/>
    </row>
    <row r="18932" spans="5:13" x14ac:dyDescent="0.25">
      <c r="E18932"/>
      <c r="M18932"/>
    </row>
    <row r="18933" spans="5:13" x14ac:dyDescent="0.25">
      <c r="E18933"/>
      <c r="M18933"/>
    </row>
    <row r="18934" spans="5:13" x14ac:dyDescent="0.25">
      <c r="E18934"/>
      <c r="M18934"/>
    </row>
    <row r="18935" spans="5:13" x14ac:dyDescent="0.25">
      <c r="E18935"/>
      <c r="M18935"/>
    </row>
    <row r="18936" spans="5:13" x14ac:dyDescent="0.25">
      <c r="E18936"/>
      <c r="M18936"/>
    </row>
    <row r="18937" spans="5:13" x14ac:dyDescent="0.25">
      <c r="E18937"/>
      <c r="M18937"/>
    </row>
    <row r="18938" spans="5:13" x14ac:dyDescent="0.25">
      <c r="E18938"/>
      <c r="M18938"/>
    </row>
    <row r="18939" spans="5:13" x14ac:dyDescent="0.25">
      <c r="E18939"/>
      <c r="M18939"/>
    </row>
    <row r="18940" spans="5:13" x14ac:dyDescent="0.25">
      <c r="E18940"/>
      <c r="M18940"/>
    </row>
    <row r="18941" spans="5:13" x14ac:dyDescent="0.25">
      <c r="E18941"/>
      <c r="M18941"/>
    </row>
    <row r="18942" spans="5:13" x14ac:dyDescent="0.25">
      <c r="E18942"/>
      <c r="M18942"/>
    </row>
    <row r="18943" spans="5:13" x14ac:dyDescent="0.25">
      <c r="E18943"/>
      <c r="M18943"/>
    </row>
    <row r="18944" spans="5:13" x14ac:dyDescent="0.25">
      <c r="E18944"/>
      <c r="M18944"/>
    </row>
    <row r="18945" spans="5:13" x14ac:dyDescent="0.25">
      <c r="E18945"/>
      <c r="M18945"/>
    </row>
    <row r="18946" spans="5:13" x14ac:dyDescent="0.25">
      <c r="E18946"/>
      <c r="M18946"/>
    </row>
    <row r="18947" spans="5:13" x14ac:dyDescent="0.25">
      <c r="E18947"/>
      <c r="M18947"/>
    </row>
    <row r="18948" spans="5:13" x14ac:dyDescent="0.25">
      <c r="E18948"/>
      <c r="M18948"/>
    </row>
    <row r="18949" spans="5:13" x14ac:dyDescent="0.25">
      <c r="E18949"/>
      <c r="M18949"/>
    </row>
    <row r="18950" spans="5:13" x14ac:dyDescent="0.25">
      <c r="E18950"/>
      <c r="M18950"/>
    </row>
    <row r="18951" spans="5:13" x14ac:dyDescent="0.25">
      <c r="E18951"/>
      <c r="M18951"/>
    </row>
    <row r="18952" spans="5:13" x14ac:dyDescent="0.25">
      <c r="E18952"/>
      <c r="M18952"/>
    </row>
    <row r="18953" spans="5:13" x14ac:dyDescent="0.25">
      <c r="E18953"/>
      <c r="M18953"/>
    </row>
    <row r="18954" spans="5:13" x14ac:dyDescent="0.25">
      <c r="E18954"/>
      <c r="M18954"/>
    </row>
    <row r="18955" spans="5:13" x14ac:dyDescent="0.25">
      <c r="E18955"/>
      <c r="M18955"/>
    </row>
    <row r="18956" spans="5:13" x14ac:dyDescent="0.25">
      <c r="E18956"/>
      <c r="M18956"/>
    </row>
    <row r="18957" spans="5:13" x14ac:dyDescent="0.25">
      <c r="E18957"/>
      <c r="M18957"/>
    </row>
    <row r="18958" spans="5:13" x14ac:dyDescent="0.25">
      <c r="E18958"/>
      <c r="M18958"/>
    </row>
    <row r="18959" spans="5:13" x14ac:dyDescent="0.25">
      <c r="E18959"/>
      <c r="M18959"/>
    </row>
    <row r="18960" spans="5:13" x14ac:dyDescent="0.25">
      <c r="E18960"/>
      <c r="M18960"/>
    </row>
    <row r="18961" spans="5:13" x14ac:dyDescent="0.25">
      <c r="E18961"/>
      <c r="M18961"/>
    </row>
    <row r="18962" spans="5:13" x14ac:dyDescent="0.25">
      <c r="E18962"/>
      <c r="M18962"/>
    </row>
    <row r="18963" spans="5:13" x14ac:dyDescent="0.25">
      <c r="E18963"/>
      <c r="M18963"/>
    </row>
    <row r="18964" spans="5:13" x14ac:dyDescent="0.25">
      <c r="E18964"/>
      <c r="M18964"/>
    </row>
    <row r="18965" spans="5:13" x14ac:dyDescent="0.25">
      <c r="E18965"/>
      <c r="M18965"/>
    </row>
    <row r="18966" spans="5:13" x14ac:dyDescent="0.25">
      <c r="E18966"/>
      <c r="M18966"/>
    </row>
    <row r="18967" spans="5:13" x14ac:dyDescent="0.25">
      <c r="E18967"/>
      <c r="M18967"/>
    </row>
    <row r="18968" spans="5:13" x14ac:dyDescent="0.25">
      <c r="E18968"/>
      <c r="M18968"/>
    </row>
    <row r="18969" spans="5:13" x14ac:dyDescent="0.25">
      <c r="E18969"/>
      <c r="M18969"/>
    </row>
    <row r="18970" spans="5:13" x14ac:dyDescent="0.25">
      <c r="E18970"/>
      <c r="M18970"/>
    </row>
    <row r="18971" spans="5:13" x14ac:dyDescent="0.25">
      <c r="E18971"/>
      <c r="M18971"/>
    </row>
    <row r="18972" spans="5:13" x14ac:dyDescent="0.25">
      <c r="E18972"/>
      <c r="M18972"/>
    </row>
    <row r="18973" spans="5:13" x14ac:dyDescent="0.25">
      <c r="E18973"/>
      <c r="M18973"/>
    </row>
    <row r="18974" spans="5:13" x14ac:dyDescent="0.25">
      <c r="E18974"/>
      <c r="M18974"/>
    </row>
    <row r="18975" spans="5:13" x14ac:dyDescent="0.25">
      <c r="E18975"/>
      <c r="M18975"/>
    </row>
    <row r="18976" spans="5:13" x14ac:dyDescent="0.25">
      <c r="E18976"/>
      <c r="M18976"/>
    </row>
    <row r="18977" spans="5:13" x14ac:dyDescent="0.25">
      <c r="E18977"/>
      <c r="M18977"/>
    </row>
    <row r="18978" spans="5:13" x14ac:dyDescent="0.25">
      <c r="E18978"/>
      <c r="M18978"/>
    </row>
    <row r="18979" spans="5:13" x14ac:dyDescent="0.25">
      <c r="E18979"/>
      <c r="M18979"/>
    </row>
    <row r="18980" spans="5:13" x14ac:dyDescent="0.25">
      <c r="E18980"/>
      <c r="M18980"/>
    </row>
    <row r="18981" spans="5:13" x14ac:dyDescent="0.25">
      <c r="E18981"/>
      <c r="M18981"/>
    </row>
    <row r="18982" spans="5:13" x14ac:dyDescent="0.25">
      <c r="E18982"/>
      <c r="M18982"/>
    </row>
    <row r="18983" spans="5:13" x14ac:dyDescent="0.25">
      <c r="E18983"/>
      <c r="M18983"/>
    </row>
    <row r="18984" spans="5:13" x14ac:dyDescent="0.25">
      <c r="E18984"/>
      <c r="M18984"/>
    </row>
    <row r="18985" spans="5:13" x14ac:dyDescent="0.25">
      <c r="E18985"/>
      <c r="M18985"/>
    </row>
    <row r="18986" spans="5:13" x14ac:dyDescent="0.25">
      <c r="E18986"/>
      <c r="M18986"/>
    </row>
    <row r="18987" spans="5:13" x14ac:dyDescent="0.25">
      <c r="E18987"/>
      <c r="M18987"/>
    </row>
    <row r="18988" spans="5:13" x14ac:dyDescent="0.25">
      <c r="E18988"/>
      <c r="M18988"/>
    </row>
    <row r="18989" spans="5:13" x14ac:dyDescent="0.25">
      <c r="E18989"/>
      <c r="M18989"/>
    </row>
    <row r="18990" spans="5:13" x14ac:dyDescent="0.25">
      <c r="E18990"/>
      <c r="M18990"/>
    </row>
    <row r="18991" spans="5:13" x14ac:dyDescent="0.25">
      <c r="E18991"/>
      <c r="M18991"/>
    </row>
    <row r="18992" spans="5:13" x14ac:dyDescent="0.25">
      <c r="E18992"/>
      <c r="M18992"/>
    </row>
    <row r="18993" spans="5:13" x14ac:dyDescent="0.25">
      <c r="E18993"/>
      <c r="M18993"/>
    </row>
    <row r="18994" spans="5:13" x14ac:dyDescent="0.25">
      <c r="E18994"/>
      <c r="M18994"/>
    </row>
    <row r="18995" spans="5:13" x14ac:dyDescent="0.25">
      <c r="E18995"/>
      <c r="M18995"/>
    </row>
    <row r="18996" spans="5:13" x14ac:dyDescent="0.25">
      <c r="E18996"/>
      <c r="M18996"/>
    </row>
    <row r="18997" spans="5:13" x14ac:dyDescent="0.25">
      <c r="E18997"/>
      <c r="M18997"/>
    </row>
    <row r="18998" spans="5:13" x14ac:dyDescent="0.25">
      <c r="E18998"/>
      <c r="M18998"/>
    </row>
    <row r="18999" spans="5:13" x14ac:dyDescent="0.25">
      <c r="E18999"/>
      <c r="M18999"/>
    </row>
    <row r="19000" spans="5:13" x14ac:dyDescent="0.25">
      <c r="E19000"/>
      <c r="M19000"/>
    </row>
    <row r="19001" spans="5:13" x14ac:dyDescent="0.25">
      <c r="E19001"/>
      <c r="M19001"/>
    </row>
    <row r="19002" spans="5:13" x14ac:dyDescent="0.25">
      <c r="E19002"/>
      <c r="M19002"/>
    </row>
    <row r="19003" spans="5:13" x14ac:dyDescent="0.25">
      <c r="E19003"/>
      <c r="M19003"/>
    </row>
    <row r="19004" spans="5:13" x14ac:dyDescent="0.25">
      <c r="E19004"/>
      <c r="M19004"/>
    </row>
    <row r="19005" spans="5:13" x14ac:dyDescent="0.25">
      <c r="E19005"/>
      <c r="M19005"/>
    </row>
    <row r="19006" spans="5:13" x14ac:dyDescent="0.25">
      <c r="E19006"/>
      <c r="M19006"/>
    </row>
    <row r="19007" spans="5:13" x14ac:dyDescent="0.25">
      <c r="E19007"/>
      <c r="M19007"/>
    </row>
    <row r="19008" spans="5:13" x14ac:dyDescent="0.25">
      <c r="E19008"/>
      <c r="M19008"/>
    </row>
    <row r="19009" spans="5:13" x14ac:dyDescent="0.25">
      <c r="E19009"/>
      <c r="M19009"/>
    </row>
    <row r="19010" spans="5:13" x14ac:dyDescent="0.25">
      <c r="E19010"/>
      <c r="M19010"/>
    </row>
    <row r="19011" spans="5:13" x14ac:dyDescent="0.25">
      <c r="E19011"/>
      <c r="M19011"/>
    </row>
    <row r="19012" spans="5:13" x14ac:dyDescent="0.25">
      <c r="E19012"/>
      <c r="M19012"/>
    </row>
    <row r="19013" spans="5:13" x14ac:dyDescent="0.25">
      <c r="E19013"/>
      <c r="M19013"/>
    </row>
    <row r="19014" spans="5:13" x14ac:dyDescent="0.25">
      <c r="E19014"/>
      <c r="M19014"/>
    </row>
    <row r="19015" spans="5:13" x14ac:dyDescent="0.25">
      <c r="E19015"/>
      <c r="M19015"/>
    </row>
    <row r="19016" spans="5:13" x14ac:dyDescent="0.25">
      <c r="E19016"/>
      <c r="M19016"/>
    </row>
    <row r="19017" spans="5:13" x14ac:dyDescent="0.25">
      <c r="E19017"/>
      <c r="M19017"/>
    </row>
    <row r="19018" spans="5:13" x14ac:dyDescent="0.25">
      <c r="E19018"/>
      <c r="M19018"/>
    </row>
    <row r="19019" spans="5:13" x14ac:dyDescent="0.25">
      <c r="E19019"/>
      <c r="M19019"/>
    </row>
    <row r="19020" spans="5:13" x14ac:dyDescent="0.25">
      <c r="E19020"/>
      <c r="M19020"/>
    </row>
    <row r="19021" spans="5:13" x14ac:dyDescent="0.25">
      <c r="E19021"/>
      <c r="M19021"/>
    </row>
    <row r="19022" spans="5:13" x14ac:dyDescent="0.25">
      <c r="E19022"/>
      <c r="M19022"/>
    </row>
    <row r="19023" spans="5:13" x14ac:dyDescent="0.25">
      <c r="E19023"/>
      <c r="M19023"/>
    </row>
    <row r="19024" spans="5:13" x14ac:dyDescent="0.25">
      <c r="E19024"/>
      <c r="M19024"/>
    </row>
    <row r="19025" spans="5:13" x14ac:dyDescent="0.25">
      <c r="E19025"/>
      <c r="M19025"/>
    </row>
    <row r="19026" spans="5:13" x14ac:dyDescent="0.25">
      <c r="E19026"/>
      <c r="M19026"/>
    </row>
    <row r="19027" spans="5:13" x14ac:dyDescent="0.25">
      <c r="E19027"/>
      <c r="M19027"/>
    </row>
    <row r="19028" spans="5:13" x14ac:dyDescent="0.25">
      <c r="E19028"/>
      <c r="M19028"/>
    </row>
    <row r="19029" spans="5:13" x14ac:dyDescent="0.25">
      <c r="E19029"/>
      <c r="M19029"/>
    </row>
    <row r="19030" spans="5:13" x14ac:dyDescent="0.25">
      <c r="E19030"/>
      <c r="M19030"/>
    </row>
    <row r="19031" spans="5:13" x14ac:dyDescent="0.25">
      <c r="E19031"/>
      <c r="M19031"/>
    </row>
    <row r="19032" spans="5:13" x14ac:dyDescent="0.25">
      <c r="E19032"/>
      <c r="M19032"/>
    </row>
    <row r="19033" spans="5:13" x14ac:dyDescent="0.25">
      <c r="E19033"/>
      <c r="M19033"/>
    </row>
    <row r="19034" spans="5:13" x14ac:dyDescent="0.25">
      <c r="E19034"/>
      <c r="M19034"/>
    </row>
    <row r="19035" spans="5:13" x14ac:dyDescent="0.25">
      <c r="E19035"/>
      <c r="M19035"/>
    </row>
    <row r="19036" spans="5:13" x14ac:dyDescent="0.25">
      <c r="E19036"/>
      <c r="M19036"/>
    </row>
    <row r="19037" spans="5:13" x14ac:dyDescent="0.25">
      <c r="E19037"/>
      <c r="M19037"/>
    </row>
    <row r="19038" spans="5:13" x14ac:dyDescent="0.25">
      <c r="E19038"/>
      <c r="M19038"/>
    </row>
    <row r="19039" spans="5:13" x14ac:dyDescent="0.25">
      <c r="E19039"/>
      <c r="M19039"/>
    </row>
    <row r="19040" spans="5:13" x14ac:dyDescent="0.25">
      <c r="E19040"/>
      <c r="M19040"/>
    </row>
    <row r="19041" spans="5:13" x14ac:dyDescent="0.25">
      <c r="E19041"/>
      <c r="M19041"/>
    </row>
    <row r="19042" spans="5:13" x14ac:dyDescent="0.25">
      <c r="E19042"/>
      <c r="M19042"/>
    </row>
    <row r="19043" spans="5:13" x14ac:dyDescent="0.25">
      <c r="E19043"/>
      <c r="M19043"/>
    </row>
    <row r="19044" spans="5:13" x14ac:dyDescent="0.25">
      <c r="E19044"/>
      <c r="M19044"/>
    </row>
    <row r="19045" spans="5:13" x14ac:dyDescent="0.25">
      <c r="E19045"/>
      <c r="M19045"/>
    </row>
    <row r="19046" spans="5:13" x14ac:dyDescent="0.25">
      <c r="E19046"/>
      <c r="M19046"/>
    </row>
    <row r="19047" spans="5:13" x14ac:dyDescent="0.25">
      <c r="E19047"/>
      <c r="M19047"/>
    </row>
    <row r="19048" spans="5:13" x14ac:dyDescent="0.25">
      <c r="E19048"/>
      <c r="M19048"/>
    </row>
    <row r="19049" spans="5:13" x14ac:dyDescent="0.25">
      <c r="E19049"/>
      <c r="M19049"/>
    </row>
    <row r="19050" spans="5:13" x14ac:dyDescent="0.25">
      <c r="E19050"/>
      <c r="M19050"/>
    </row>
    <row r="19051" spans="5:13" x14ac:dyDescent="0.25">
      <c r="E19051"/>
      <c r="M19051"/>
    </row>
    <row r="19052" spans="5:13" x14ac:dyDescent="0.25">
      <c r="E19052"/>
      <c r="M19052"/>
    </row>
    <row r="19053" spans="5:13" x14ac:dyDescent="0.25">
      <c r="E19053"/>
      <c r="M19053"/>
    </row>
    <row r="19054" spans="5:13" x14ac:dyDescent="0.25">
      <c r="E19054"/>
      <c r="M19054"/>
    </row>
    <row r="19055" spans="5:13" x14ac:dyDescent="0.25">
      <c r="E19055"/>
      <c r="M19055"/>
    </row>
    <row r="19056" spans="5:13" x14ac:dyDescent="0.25">
      <c r="E19056"/>
      <c r="M19056"/>
    </row>
    <row r="19057" spans="5:13" x14ac:dyDescent="0.25">
      <c r="E19057"/>
      <c r="M19057"/>
    </row>
    <row r="19058" spans="5:13" x14ac:dyDescent="0.25">
      <c r="E19058"/>
      <c r="M19058"/>
    </row>
    <row r="19059" spans="5:13" x14ac:dyDescent="0.25">
      <c r="E19059"/>
      <c r="M19059"/>
    </row>
    <row r="19060" spans="5:13" x14ac:dyDescent="0.25">
      <c r="E19060"/>
      <c r="M19060"/>
    </row>
    <row r="19061" spans="5:13" x14ac:dyDescent="0.25">
      <c r="E19061"/>
      <c r="M19061"/>
    </row>
    <row r="19062" spans="5:13" x14ac:dyDescent="0.25">
      <c r="E19062"/>
      <c r="M19062"/>
    </row>
    <row r="19063" spans="5:13" x14ac:dyDescent="0.25">
      <c r="E19063"/>
      <c r="M19063"/>
    </row>
    <row r="19064" spans="5:13" x14ac:dyDescent="0.25">
      <c r="E19064"/>
      <c r="M19064"/>
    </row>
    <row r="19065" spans="5:13" x14ac:dyDescent="0.25">
      <c r="E19065"/>
      <c r="M19065"/>
    </row>
    <row r="19066" spans="5:13" x14ac:dyDescent="0.25">
      <c r="E19066"/>
      <c r="M19066"/>
    </row>
    <row r="19067" spans="5:13" x14ac:dyDescent="0.25">
      <c r="E19067"/>
      <c r="M19067"/>
    </row>
    <row r="19068" spans="5:13" x14ac:dyDescent="0.25">
      <c r="E19068"/>
      <c r="M19068"/>
    </row>
    <row r="19069" spans="5:13" x14ac:dyDescent="0.25">
      <c r="E19069"/>
      <c r="M19069"/>
    </row>
    <row r="19070" spans="5:13" x14ac:dyDescent="0.25">
      <c r="E19070"/>
      <c r="M19070"/>
    </row>
    <row r="19071" spans="5:13" x14ac:dyDescent="0.25">
      <c r="E19071"/>
      <c r="M19071"/>
    </row>
    <row r="19072" spans="5:13" x14ac:dyDescent="0.25">
      <c r="E19072"/>
      <c r="M19072"/>
    </row>
    <row r="19073" spans="5:13" x14ac:dyDescent="0.25">
      <c r="E19073"/>
      <c r="M19073"/>
    </row>
    <row r="19074" spans="5:13" x14ac:dyDescent="0.25">
      <c r="E19074"/>
      <c r="M19074"/>
    </row>
    <row r="19075" spans="5:13" x14ac:dyDescent="0.25">
      <c r="E19075"/>
      <c r="M19075"/>
    </row>
    <row r="19076" spans="5:13" x14ac:dyDescent="0.25">
      <c r="E19076"/>
      <c r="M19076"/>
    </row>
    <row r="19077" spans="5:13" x14ac:dyDescent="0.25">
      <c r="E19077"/>
      <c r="M19077"/>
    </row>
    <row r="19078" spans="5:13" x14ac:dyDescent="0.25">
      <c r="E19078"/>
      <c r="M19078"/>
    </row>
    <row r="19079" spans="5:13" x14ac:dyDescent="0.25">
      <c r="E19079"/>
      <c r="M19079"/>
    </row>
    <row r="19080" spans="5:13" x14ac:dyDescent="0.25">
      <c r="E19080"/>
      <c r="M19080"/>
    </row>
    <row r="19081" spans="5:13" x14ac:dyDescent="0.25">
      <c r="E19081"/>
      <c r="M19081"/>
    </row>
    <row r="19082" spans="5:13" x14ac:dyDescent="0.25">
      <c r="E19082"/>
      <c r="M19082"/>
    </row>
    <row r="19083" spans="5:13" x14ac:dyDescent="0.25">
      <c r="E19083"/>
      <c r="M19083"/>
    </row>
    <row r="19084" spans="5:13" x14ac:dyDescent="0.25">
      <c r="E19084"/>
      <c r="M19084"/>
    </row>
    <row r="19085" spans="5:13" x14ac:dyDescent="0.25">
      <c r="E19085"/>
      <c r="M19085"/>
    </row>
    <row r="19086" spans="5:13" x14ac:dyDescent="0.25">
      <c r="E19086"/>
      <c r="M19086"/>
    </row>
    <row r="19087" spans="5:13" x14ac:dyDescent="0.25">
      <c r="E19087"/>
      <c r="M19087"/>
    </row>
    <row r="19088" spans="5:13" x14ac:dyDescent="0.25">
      <c r="E19088"/>
      <c r="M19088"/>
    </row>
    <row r="19089" spans="5:13" x14ac:dyDescent="0.25">
      <c r="E19089"/>
      <c r="M19089"/>
    </row>
    <row r="19090" spans="5:13" x14ac:dyDescent="0.25">
      <c r="E19090"/>
      <c r="M19090"/>
    </row>
    <row r="19091" spans="5:13" x14ac:dyDescent="0.25">
      <c r="E19091"/>
      <c r="M19091"/>
    </row>
    <row r="19092" spans="5:13" x14ac:dyDescent="0.25">
      <c r="E19092"/>
      <c r="M19092"/>
    </row>
    <row r="19093" spans="5:13" x14ac:dyDescent="0.25">
      <c r="E19093"/>
      <c r="M19093"/>
    </row>
    <row r="19094" spans="5:13" x14ac:dyDescent="0.25">
      <c r="E19094"/>
      <c r="M19094"/>
    </row>
    <row r="19095" spans="5:13" x14ac:dyDescent="0.25">
      <c r="E19095"/>
      <c r="M19095"/>
    </row>
    <row r="19096" spans="5:13" x14ac:dyDescent="0.25">
      <c r="E19096"/>
      <c r="M19096"/>
    </row>
    <row r="19097" spans="5:13" x14ac:dyDescent="0.25">
      <c r="E19097"/>
      <c r="M19097"/>
    </row>
    <row r="19098" spans="5:13" x14ac:dyDescent="0.25">
      <c r="E19098"/>
      <c r="M19098"/>
    </row>
    <row r="19099" spans="5:13" x14ac:dyDescent="0.25">
      <c r="E19099"/>
      <c r="M19099"/>
    </row>
    <row r="19100" spans="5:13" x14ac:dyDescent="0.25">
      <c r="E19100"/>
      <c r="M19100"/>
    </row>
    <row r="19101" spans="5:13" x14ac:dyDescent="0.25">
      <c r="E19101"/>
      <c r="M19101"/>
    </row>
    <row r="19102" spans="5:13" x14ac:dyDescent="0.25">
      <c r="E19102"/>
      <c r="M19102"/>
    </row>
    <row r="19103" spans="5:13" x14ac:dyDescent="0.25">
      <c r="E19103"/>
      <c r="M19103"/>
    </row>
    <row r="19104" spans="5:13" x14ac:dyDescent="0.25">
      <c r="E19104"/>
      <c r="M19104"/>
    </row>
    <row r="19105" spans="5:13" x14ac:dyDescent="0.25">
      <c r="E19105"/>
      <c r="M19105"/>
    </row>
    <row r="19106" spans="5:13" x14ac:dyDescent="0.25">
      <c r="E19106"/>
      <c r="M19106"/>
    </row>
    <row r="19107" spans="5:13" x14ac:dyDescent="0.25">
      <c r="E19107"/>
      <c r="M19107"/>
    </row>
    <row r="19108" spans="5:13" x14ac:dyDescent="0.25">
      <c r="E19108"/>
      <c r="M19108"/>
    </row>
    <row r="19109" spans="5:13" x14ac:dyDescent="0.25">
      <c r="E19109"/>
      <c r="M19109"/>
    </row>
    <row r="19110" spans="5:13" x14ac:dyDescent="0.25">
      <c r="E19110"/>
      <c r="M19110"/>
    </row>
    <row r="19111" spans="5:13" x14ac:dyDescent="0.25">
      <c r="E19111"/>
      <c r="M19111"/>
    </row>
    <row r="19112" spans="5:13" x14ac:dyDescent="0.25">
      <c r="E19112"/>
      <c r="M19112"/>
    </row>
    <row r="19113" spans="5:13" x14ac:dyDescent="0.25">
      <c r="E19113"/>
      <c r="M19113"/>
    </row>
    <row r="19114" spans="5:13" x14ac:dyDescent="0.25">
      <c r="E19114"/>
      <c r="M19114"/>
    </row>
    <row r="19115" spans="5:13" x14ac:dyDescent="0.25">
      <c r="E19115"/>
      <c r="M19115"/>
    </row>
    <row r="19116" spans="5:13" x14ac:dyDescent="0.25">
      <c r="E19116"/>
      <c r="M19116"/>
    </row>
    <row r="19117" spans="5:13" x14ac:dyDescent="0.25">
      <c r="E19117"/>
      <c r="M19117"/>
    </row>
    <row r="19118" spans="5:13" x14ac:dyDescent="0.25">
      <c r="E19118"/>
      <c r="M19118"/>
    </row>
    <row r="19119" spans="5:13" x14ac:dyDescent="0.25">
      <c r="E19119"/>
      <c r="M19119"/>
    </row>
    <row r="19120" spans="5:13" x14ac:dyDescent="0.25">
      <c r="E19120"/>
      <c r="M19120"/>
    </row>
    <row r="19121" spans="5:13" x14ac:dyDescent="0.25">
      <c r="E19121"/>
      <c r="M19121"/>
    </row>
    <row r="19122" spans="5:13" x14ac:dyDescent="0.25">
      <c r="E19122"/>
      <c r="M19122"/>
    </row>
    <row r="19123" spans="5:13" x14ac:dyDescent="0.25">
      <c r="E19123"/>
      <c r="M19123"/>
    </row>
    <row r="19124" spans="5:13" x14ac:dyDescent="0.25">
      <c r="E19124"/>
      <c r="M19124"/>
    </row>
    <row r="19125" spans="5:13" x14ac:dyDescent="0.25">
      <c r="E19125"/>
      <c r="M19125"/>
    </row>
    <row r="19126" spans="5:13" x14ac:dyDescent="0.25">
      <c r="E19126"/>
      <c r="M19126"/>
    </row>
    <row r="19127" spans="5:13" x14ac:dyDescent="0.25">
      <c r="E19127"/>
      <c r="M19127"/>
    </row>
    <row r="19128" spans="5:13" x14ac:dyDescent="0.25">
      <c r="E19128"/>
      <c r="M19128"/>
    </row>
    <row r="19129" spans="5:13" x14ac:dyDescent="0.25">
      <c r="E19129"/>
      <c r="M19129"/>
    </row>
    <row r="19130" spans="5:13" x14ac:dyDescent="0.25">
      <c r="E19130"/>
      <c r="M19130"/>
    </row>
    <row r="19131" spans="5:13" x14ac:dyDescent="0.25">
      <c r="E19131"/>
      <c r="M19131"/>
    </row>
    <row r="19132" spans="5:13" x14ac:dyDescent="0.25">
      <c r="E19132"/>
      <c r="M19132"/>
    </row>
    <row r="19133" spans="5:13" x14ac:dyDescent="0.25">
      <c r="E19133"/>
      <c r="M19133"/>
    </row>
    <row r="19134" spans="5:13" x14ac:dyDescent="0.25">
      <c r="E19134"/>
      <c r="M19134"/>
    </row>
    <row r="19135" spans="5:13" x14ac:dyDescent="0.25">
      <c r="E19135"/>
      <c r="M19135"/>
    </row>
    <row r="19136" spans="5:13" x14ac:dyDescent="0.25">
      <c r="E19136"/>
      <c r="M19136"/>
    </row>
    <row r="19137" spans="5:13" x14ac:dyDescent="0.25">
      <c r="E19137"/>
      <c r="M19137"/>
    </row>
    <row r="19138" spans="5:13" x14ac:dyDescent="0.25">
      <c r="E19138"/>
      <c r="M19138"/>
    </row>
    <row r="19139" spans="5:13" x14ac:dyDescent="0.25">
      <c r="E19139"/>
      <c r="M19139"/>
    </row>
    <row r="19140" spans="5:13" x14ac:dyDescent="0.25">
      <c r="E19140"/>
      <c r="M19140"/>
    </row>
    <row r="19141" spans="5:13" x14ac:dyDescent="0.25">
      <c r="E19141"/>
      <c r="M19141"/>
    </row>
    <row r="19142" spans="5:13" x14ac:dyDescent="0.25">
      <c r="E19142"/>
      <c r="M19142"/>
    </row>
    <row r="19143" spans="5:13" x14ac:dyDescent="0.25">
      <c r="E19143"/>
      <c r="M19143"/>
    </row>
    <row r="19144" spans="5:13" x14ac:dyDescent="0.25">
      <c r="E19144"/>
      <c r="M19144"/>
    </row>
    <row r="19145" spans="5:13" x14ac:dyDescent="0.25">
      <c r="E19145"/>
      <c r="M19145"/>
    </row>
    <row r="19146" spans="5:13" x14ac:dyDescent="0.25">
      <c r="E19146"/>
      <c r="M19146"/>
    </row>
    <row r="19147" spans="5:13" x14ac:dyDescent="0.25">
      <c r="E19147"/>
      <c r="M19147"/>
    </row>
    <row r="19148" spans="5:13" x14ac:dyDescent="0.25">
      <c r="E19148"/>
      <c r="M19148"/>
    </row>
    <row r="19149" spans="5:13" x14ac:dyDescent="0.25">
      <c r="E19149"/>
      <c r="M19149"/>
    </row>
    <row r="19150" spans="5:13" x14ac:dyDescent="0.25">
      <c r="E19150"/>
      <c r="M19150"/>
    </row>
    <row r="19151" spans="5:13" x14ac:dyDescent="0.25">
      <c r="E19151"/>
      <c r="M19151"/>
    </row>
    <row r="19152" spans="5:13" x14ac:dyDescent="0.25">
      <c r="E19152"/>
      <c r="M19152"/>
    </row>
    <row r="19153" spans="5:13" x14ac:dyDescent="0.25">
      <c r="E19153"/>
      <c r="M19153"/>
    </row>
    <row r="19154" spans="5:13" x14ac:dyDescent="0.25">
      <c r="E19154"/>
      <c r="M19154"/>
    </row>
    <row r="19155" spans="5:13" x14ac:dyDescent="0.25">
      <c r="E19155"/>
      <c r="M19155"/>
    </row>
    <row r="19156" spans="5:13" x14ac:dyDescent="0.25">
      <c r="E19156"/>
      <c r="M19156"/>
    </row>
    <row r="19157" spans="5:13" x14ac:dyDescent="0.25">
      <c r="E19157"/>
      <c r="M19157"/>
    </row>
    <row r="19158" spans="5:13" x14ac:dyDescent="0.25">
      <c r="E19158"/>
      <c r="M19158"/>
    </row>
    <row r="19159" spans="5:13" x14ac:dyDescent="0.25">
      <c r="E19159"/>
      <c r="M19159"/>
    </row>
    <row r="19160" spans="5:13" x14ac:dyDescent="0.25">
      <c r="E19160"/>
      <c r="M19160"/>
    </row>
    <row r="19161" spans="5:13" x14ac:dyDescent="0.25">
      <c r="E19161"/>
      <c r="M19161"/>
    </row>
    <row r="19162" spans="5:13" x14ac:dyDescent="0.25">
      <c r="E19162"/>
      <c r="M19162"/>
    </row>
    <row r="19163" spans="5:13" x14ac:dyDescent="0.25">
      <c r="E19163"/>
      <c r="M19163"/>
    </row>
    <row r="19164" spans="5:13" x14ac:dyDescent="0.25">
      <c r="E19164"/>
      <c r="M19164"/>
    </row>
    <row r="19165" spans="5:13" x14ac:dyDescent="0.25">
      <c r="E19165"/>
      <c r="M19165"/>
    </row>
    <row r="19166" spans="5:13" x14ac:dyDescent="0.25">
      <c r="E19166"/>
      <c r="M19166"/>
    </row>
    <row r="19167" spans="5:13" x14ac:dyDescent="0.25">
      <c r="E19167"/>
      <c r="M19167"/>
    </row>
    <row r="19168" spans="5:13" x14ac:dyDescent="0.25">
      <c r="E19168"/>
      <c r="M19168"/>
    </row>
    <row r="19169" spans="5:13" x14ac:dyDescent="0.25">
      <c r="E19169"/>
      <c r="M19169"/>
    </row>
    <row r="19170" spans="5:13" x14ac:dyDescent="0.25">
      <c r="E19170"/>
      <c r="M19170"/>
    </row>
    <row r="19171" spans="5:13" x14ac:dyDescent="0.25">
      <c r="E19171"/>
      <c r="M19171"/>
    </row>
    <row r="19172" spans="5:13" x14ac:dyDescent="0.25">
      <c r="E19172"/>
      <c r="M19172"/>
    </row>
    <row r="19173" spans="5:13" x14ac:dyDescent="0.25">
      <c r="E19173"/>
      <c r="M19173"/>
    </row>
    <row r="19174" spans="5:13" x14ac:dyDescent="0.25">
      <c r="E19174"/>
      <c r="M19174"/>
    </row>
    <row r="19175" spans="5:13" x14ac:dyDescent="0.25">
      <c r="E19175"/>
      <c r="M19175"/>
    </row>
    <row r="19176" spans="5:13" x14ac:dyDescent="0.25">
      <c r="E19176"/>
      <c r="M19176"/>
    </row>
    <row r="19177" spans="5:13" x14ac:dyDescent="0.25">
      <c r="E19177"/>
      <c r="M19177"/>
    </row>
    <row r="19178" spans="5:13" x14ac:dyDescent="0.25">
      <c r="E19178"/>
      <c r="M19178"/>
    </row>
    <row r="19179" spans="5:13" x14ac:dyDescent="0.25">
      <c r="E19179"/>
      <c r="M19179"/>
    </row>
    <row r="19180" spans="5:13" x14ac:dyDescent="0.25">
      <c r="E19180"/>
      <c r="M19180"/>
    </row>
    <row r="19181" spans="5:13" x14ac:dyDescent="0.25">
      <c r="E19181"/>
      <c r="M19181"/>
    </row>
    <row r="19182" spans="5:13" x14ac:dyDescent="0.25">
      <c r="E19182"/>
      <c r="M19182"/>
    </row>
    <row r="19183" spans="5:13" x14ac:dyDescent="0.25">
      <c r="E19183"/>
      <c r="M19183"/>
    </row>
    <row r="19184" spans="5:13" x14ac:dyDescent="0.25">
      <c r="E19184"/>
      <c r="M19184"/>
    </row>
    <row r="19185" spans="5:13" x14ac:dyDescent="0.25">
      <c r="E19185"/>
      <c r="M19185"/>
    </row>
    <row r="19186" spans="5:13" x14ac:dyDescent="0.25">
      <c r="E19186"/>
      <c r="M19186"/>
    </row>
    <row r="19187" spans="5:13" x14ac:dyDescent="0.25">
      <c r="E19187"/>
      <c r="M19187"/>
    </row>
    <row r="19188" spans="5:13" x14ac:dyDescent="0.25">
      <c r="E19188"/>
      <c r="M19188"/>
    </row>
    <row r="19189" spans="5:13" x14ac:dyDescent="0.25">
      <c r="E19189"/>
      <c r="M19189"/>
    </row>
    <row r="19190" spans="5:13" x14ac:dyDescent="0.25">
      <c r="E19190"/>
      <c r="M19190"/>
    </row>
    <row r="19191" spans="5:13" x14ac:dyDescent="0.25">
      <c r="E19191"/>
      <c r="M19191"/>
    </row>
    <row r="19192" spans="5:13" x14ac:dyDescent="0.25">
      <c r="E19192"/>
      <c r="M19192"/>
    </row>
    <row r="19193" spans="5:13" x14ac:dyDescent="0.25">
      <c r="E19193"/>
      <c r="M19193"/>
    </row>
    <row r="19194" spans="5:13" x14ac:dyDescent="0.25">
      <c r="E19194"/>
      <c r="M19194"/>
    </row>
    <row r="19195" spans="5:13" x14ac:dyDescent="0.25">
      <c r="E19195"/>
      <c r="M19195"/>
    </row>
    <row r="19196" spans="5:13" x14ac:dyDescent="0.25">
      <c r="E19196"/>
      <c r="M19196"/>
    </row>
    <row r="19197" spans="5:13" x14ac:dyDescent="0.25">
      <c r="E19197"/>
      <c r="M19197"/>
    </row>
    <row r="19198" spans="5:13" x14ac:dyDescent="0.25">
      <c r="E19198"/>
      <c r="M19198"/>
    </row>
    <row r="19199" spans="5:13" x14ac:dyDescent="0.25">
      <c r="E19199"/>
      <c r="M19199"/>
    </row>
    <row r="19200" spans="5:13" x14ac:dyDescent="0.25">
      <c r="E19200"/>
      <c r="M19200"/>
    </row>
    <row r="19201" spans="5:13" x14ac:dyDescent="0.25">
      <c r="E19201"/>
      <c r="M19201"/>
    </row>
    <row r="19202" spans="5:13" x14ac:dyDescent="0.25">
      <c r="E19202"/>
      <c r="M19202"/>
    </row>
    <row r="19203" spans="5:13" x14ac:dyDescent="0.25">
      <c r="E19203"/>
      <c r="M19203"/>
    </row>
    <row r="19204" spans="5:13" x14ac:dyDescent="0.25">
      <c r="E19204"/>
      <c r="M19204"/>
    </row>
    <row r="19205" spans="5:13" x14ac:dyDescent="0.25">
      <c r="E19205"/>
      <c r="M19205"/>
    </row>
    <row r="19206" spans="5:13" x14ac:dyDescent="0.25">
      <c r="E19206"/>
      <c r="M19206"/>
    </row>
    <row r="19207" spans="5:13" x14ac:dyDescent="0.25">
      <c r="E19207"/>
      <c r="M19207"/>
    </row>
    <row r="19208" spans="5:13" x14ac:dyDescent="0.25">
      <c r="E19208"/>
      <c r="M19208"/>
    </row>
    <row r="19209" spans="5:13" x14ac:dyDescent="0.25">
      <c r="E19209"/>
      <c r="M19209"/>
    </row>
    <row r="19210" spans="5:13" x14ac:dyDescent="0.25">
      <c r="E19210"/>
      <c r="M19210"/>
    </row>
    <row r="19211" spans="5:13" x14ac:dyDescent="0.25">
      <c r="E19211"/>
      <c r="M19211"/>
    </row>
    <row r="19212" spans="5:13" x14ac:dyDescent="0.25">
      <c r="E19212"/>
      <c r="M19212"/>
    </row>
    <row r="19213" spans="5:13" x14ac:dyDescent="0.25">
      <c r="E19213"/>
      <c r="M19213"/>
    </row>
    <row r="19214" spans="5:13" x14ac:dyDescent="0.25">
      <c r="E19214"/>
      <c r="M19214"/>
    </row>
    <row r="19215" spans="5:13" x14ac:dyDescent="0.25">
      <c r="E19215"/>
      <c r="M19215"/>
    </row>
    <row r="19216" spans="5:13" x14ac:dyDescent="0.25">
      <c r="E19216"/>
      <c r="M19216"/>
    </row>
    <row r="19217" spans="5:13" x14ac:dyDescent="0.25">
      <c r="E19217"/>
      <c r="M19217"/>
    </row>
    <row r="19218" spans="5:13" x14ac:dyDescent="0.25">
      <c r="E19218"/>
      <c r="M19218"/>
    </row>
    <row r="19219" spans="5:13" x14ac:dyDescent="0.25">
      <c r="E19219"/>
      <c r="M19219"/>
    </row>
    <row r="19220" spans="5:13" x14ac:dyDescent="0.25">
      <c r="E19220"/>
      <c r="M19220"/>
    </row>
    <row r="19221" spans="5:13" x14ac:dyDescent="0.25">
      <c r="E19221"/>
      <c r="M19221"/>
    </row>
    <row r="19222" spans="5:13" x14ac:dyDescent="0.25">
      <c r="E19222"/>
      <c r="M19222"/>
    </row>
    <row r="19223" spans="5:13" x14ac:dyDescent="0.25">
      <c r="E19223"/>
      <c r="M19223"/>
    </row>
    <row r="19224" spans="5:13" x14ac:dyDescent="0.25">
      <c r="E19224"/>
      <c r="M19224"/>
    </row>
    <row r="19225" spans="5:13" x14ac:dyDescent="0.25">
      <c r="E19225"/>
      <c r="M19225"/>
    </row>
    <row r="19226" spans="5:13" x14ac:dyDescent="0.25">
      <c r="E19226"/>
      <c r="M19226"/>
    </row>
    <row r="19227" spans="5:13" x14ac:dyDescent="0.25">
      <c r="E19227"/>
      <c r="M19227"/>
    </row>
    <row r="19228" spans="5:13" x14ac:dyDescent="0.25">
      <c r="E19228"/>
      <c r="M19228"/>
    </row>
    <row r="19229" spans="5:13" x14ac:dyDescent="0.25">
      <c r="E19229"/>
      <c r="M19229"/>
    </row>
    <row r="19230" spans="5:13" x14ac:dyDescent="0.25">
      <c r="E19230"/>
      <c r="M19230"/>
    </row>
    <row r="19231" spans="5:13" x14ac:dyDescent="0.25">
      <c r="E19231"/>
      <c r="M19231"/>
    </row>
    <row r="19232" spans="5:13" x14ac:dyDescent="0.25">
      <c r="E19232"/>
      <c r="M19232"/>
    </row>
    <row r="19233" spans="5:13" x14ac:dyDescent="0.25">
      <c r="E19233"/>
      <c r="M19233"/>
    </row>
    <row r="19234" spans="5:13" x14ac:dyDescent="0.25">
      <c r="E19234"/>
      <c r="M19234"/>
    </row>
    <row r="19235" spans="5:13" x14ac:dyDescent="0.25">
      <c r="E19235"/>
      <c r="M19235"/>
    </row>
    <row r="19236" spans="5:13" x14ac:dyDescent="0.25">
      <c r="E19236"/>
      <c r="M19236"/>
    </row>
    <row r="19237" spans="5:13" x14ac:dyDescent="0.25">
      <c r="E19237"/>
      <c r="M19237"/>
    </row>
    <row r="19238" spans="5:13" x14ac:dyDescent="0.25">
      <c r="E19238"/>
      <c r="M19238"/>
    </row>
    <row r="19239" spans="5:13" x14ac:dyDescent="0.25">
      <c r="E19239"/>
      <c r="M19239"/>
    </row>
    <row r="19240" spans="5:13" x14ac:dyDescent="0.25">
      <c r="E19240"/>
      <c r="M19240"/>
    </row>
    <row r="19241" spans="5:13" x14ac:dyDescent="0.25">
      <c r="E19241"/>
      <c r="M19241"/>
    </row>
    <row r="19242" spans="5:13" x14ac:dyDescent="0.25">
      <c r="E19242"/>
      <c r="M19242"/>
    </row>
    <row r="19243" spans="5:13" x14ac:dyDescent="0.25">
      <c r="E19243"/>
      <c r="M19243"/>
    </row>
    <row r="19244" spans="5:13" x14ac:dyDescent="0.25">
      <c r="E19244"/>
      <c r="M19244"/>
    </row>
    <row r="19245" spans="5:13" x14ac:dyDescent="0.25">
      <c r="E19245"/>
      <c r="M19245"/>
    </row>
    <row r="19246" spans="5:13" x14ac:dyDescent="0.25">
      <c r="E19246"/>
      <c r="M19246"/>
    </row>
    <row r="19247" spans="5:13" x14ac:dyDescent="0.25">
      <c r="E19247"/>
      <c r="M19247"/>
    </row>
    <row r="19248" spans="5:13" x14ac:dyDescent="0.25">
      <c r="E19248"/>
      <c r="M19248"/>
    </row>
    <row r="19249" spans="5:13" x14ac:dyDescent="0.25">
      <c r="E19249"/>
      <c r="M19249"/>
    </row>
    <row r="19250" spans="5:13" x14ac:dyDescent="0.25">
      <c r="E19250"/>
      <c r="M19250"/>
    </row>
    <row r="19251" spans="5:13" x14ac:dyDescent="0.25">
      <c r="E19251"/>
      <c r="M19251"/>
    </row>
    <row r="19252" spans="5:13" x14ac:dyDescent="0.25">
      <c r="E19252"/>
      <c r="M19252"/>
    </row>
    <row r="19253" spans="5:13" x14ac:dyDescent="0.25">
      <c r="E19253"/>
      <c r="M19253"/>
    </row>
    <row r="19254" spans="5:13" x14ac:dyDescent="0.25">
      <c r="E19254"/>
      <c r="M19254"/>
    </row>
    <row r="19255" spans="5:13" x14ac:dyDescent="0.25">
      <c r="E19255"/>
      <c r="M19255"/>
    </row>
    <row r="19256" spans="5:13" x14ac:dyDescent="0.25">
      <c r="E19256"/>
      <c r="M19256"/>
    </row>
    <row r="19257" spans="5:13" x14ac:dyDescent="0.25">
      <c r="E19257"/>
      <c r="M19257"/>
    </row>
    <row r="19258" spans="5:13" x14ac:dyDescent="0.25">
      <c r="E19258"/>
      <c r="M19258"/>
    </row>
    <row r="19259" spans="5:13" x14ac:dyDescent="0.25">
      <c r="E19259"/>
      <c r="M19259"/>
    </row>
    <row r="19260" spans="5:13" x14ac:dyDescent="0.25">
      <c r="E19260"/>
      <c r="M19260"/>
    </row>
    <row r="19261" spans="5:13" x14ac:dyDescent="0.25">
      <c r="E19261"/>
      <c r="M19261"/>
    </row>
    <row r="19262" spans="5:13" x14ac:dyDescent="0.25">
      <c r="E19262"/>
      <c r="M19262"/>
    </row>
    <row r="19263" spans="5:13" x14ac:dyDescent="0.25">
      <c r="E19263"/>
      <c r="M19263"/>
    </row>
    <row r="19264" spans="5:13" x14ac:dyDescent="0.25">
      <c r="E19264"/>
      <c r="M19264"/>
    </row>
    <row r="19265" spans="5:13" x14ac:dyDescent="0.25">
      <c r="E19265"/>
      <c r="M19265"/>
    </row>
    <row r="19266" spans="5:13" x14ac:dyDescent="0.25">
      <c r="E19266"/>
      <c r="M19266"/>
    </row>
    <row r="19267" spans="5:13" x14ac:dyDescent="0.25">
      <c r="E19267"/>
      <c r="M19267"/>
    </row>
    <row r="19268" spans="5:13" x14ac:dyDescent="0.25">
      <c r="E19268"/>
      <c r="M19268"/>
    </row>
    <row r="19269" spans="5:13" x14ac:dyDescent="0.25">
      <c r="E19269"/>
      <c r="M19269"/>
    </row>
    <row r="19270" spans="5:13" x14ac:dyDescent="0.25">
      <c r="E19270"/>
      <c r="M19270"/>
    </row>
    <row r="19271" spans="5:13" x14ac:dyDescent="0.25">
      <c r="E19271"/>
      <c r="M19271"/>
    </row>
    <row r="19272" spans="5:13" x14ac:dyDescent="0.25">
      <c r="E19272"/>
      <c r="M19272"/>
    </row>
    <row r="19273" spans="5:13" x14ac:dyDescent="0.25">
      <c r="E19273"/>
      <c r="M19273"/>
    </row>
    <row r="19274" spans="5:13" x14ac:dyDescent="0.25">
      <c r="E19274"/>
      <c r="M19274"/>
    </row>
    <row r="19275" spans="5:13" x14ac:dyDescent="0.25">
      <c r="E19275"/>
      <c r="M19275"/>
    </row>
    <row r="19276" spans="5:13" x14ac:dyDescent="0.25">
      <c r="E19276"/>
      <c r="M19276"/>
    </row>
    <row r="19277" spans="5:13" x14ac:dyDescent="0.25">
      <c r="E19277"/>
      <c r="M19277"/>
    </row>
    <row r="19278" spans="5:13" x14ac:dyDescent="0.25">
      <c r="E19278"/>
      <c r="M19278"/>
    </row>
    <row r="19279" spans="5:13" x14ac:dyDescent="0.25">
      <c r="E19279"/>
      <c r="M19279"/>
    </row>
    <row r="19280" spans="5:13" x14ac:dyDescent="0.25">
      <c r="E19280"/>
      <c r="M19280"/>
    </row>
    <row r="19281" spans="5:13" x14ac:dyDescent="0.25">
      <c r="E19281"/>
      <c r="M19281"/>
    </row>
    <row r="19282" spans="5:13" x14ac:dyDescent="0.25">
      <c r="E19282"/>
      <c r="M19282"/>
    </row>
    <row r="19283" spans="5:13" x14ac:dyDescent="0.25">
      <c r="E19283"/>
      <c r="M19283"/>
    </row>
    <row r="19284" spans="5:13" x14ac:dyDescent="0.25">
      <c r="E19284"/>
      <c r="M19284"/>
    </row>
    <row r="19285" spans="5:13" x14ac:dyDescent="0.25">
      <c r="E19285"/>
      <c r="M19285"/>
    </row>
    <row r="19286" spans="5:13" x14ac:dyDescent="0.25">
      <c r="E19286"/>
      <c r="M19286"/>
    </row>
    <row r="19287" spans="5:13" x14ac:dyDescent="0.25">
      <c r="E19287"/>
      <c r="M19287"/>
    </row>
    <row r="19288" spans="5:13" x14ac:dyDescent="0.25">
      <c r="E19288"/>
      <c r="M19288"/>
    </row>
    <row r="19289" spans="5:13" x14ac:dyDescent="0.25">
      <c r="E19289"/>
      <c r="M19289"/>
    </row>
    <row r="19290" spans="5:13" x14ac:dyDescent="0.25">
      <c r="E19290"/>
      <c r="M19290"/>
    </row>
    <row r="19291" spans="5:13" x14ac:dyDescent="0.25">
      <c r="E19291"/>
      <c r="M19291"/>
    </row>
    <row r="19292" spans="5:13" x14ac:dyDescent="0.25">
      <c r="E19292"/>
      <c r="M19292"/>
    </row>
    <row r="19293" spans="5:13" x14ac:dyDescent="0.25">
      <c r="E19293"/>
      <c r="M19293"/>
    </row>
    <row r="19294" spans="5:13" x14ac:dyDescent="0.25">
      <c r="E19294"/>
      <c r="M19294"/>
    </row>
    <row r="19295" spans="5:13" x14ac:dyDescent="0.25">
      <c r="E19295"/>
      <c r="M19295"/>
    </row>
    <row r="19296" spans="5:13" x14ac:dyDescent="0.25">
      <c r="E19296"/>
      <c r="M19296"/>
    </row>
    <row r="19297" spans="5:13" x14ac:dyDescent="0.25">
      <c r="E19297"/>
      <c r="M19297"/>
    </row>
    <row r="19298" spans="5:13" x14ac:dyDescent="0.25">
      <c r="E19298"/>
      <c r="M19298"/>
    </row>
    <row r="19299" spans="5:13" x14ac:dyDescent="0.25">
      <c r="E19299"/>
      <c r="M19299"/>
    </row>
    <row r="19300" spans="5:13" x14ac:dyDescent="0.25">
      <c r="E19300"/>
      <c r="M19300"/>
    </row>
    <row r="19301" spans="5:13" x14ac:dyDescent="0.25">
      <c r="E19301"/>
      <c r="M19301"/>
    </row>
    <row r="19302" spans="5:13" x14ac:dyDescent="0.25">
      <c r="E19302"/>
      <c r="M19302"/>
    </row>
    <row r="19303" spans="5:13" x14ac:dyDescent="0.25">
      <c r="E19303"/>
      <c r="M19303"/>
    </row>
    <row r="19304" spans="5:13" x14ac:dyDescent="0.25">
      <c r="E19304"/>
      <c r="M19304"/>
    </row>
    <row r="19305" spans="5:13" x14ac:dyDescent="0.25">
      <c r="E19305"/>
      <c r="M19305"/>
    </row>
    <row r="19306" spans="5:13" x14ac:dyDescent="0.25">
      <c r="E19306"/>
      <c r="M19306"/>
    </row>
    <row r="19307" spans="5:13" x14ac:dyDescent="0.25">
      <c r="E19307"/>
      <c r="M19307"/>
    </row>
    <row r="19308" spans="5:13" x14ac:dyDescent="0.25">
      <c r="E19308"/>
      <c r="M19308"/>
    </row>
    <row r="19309" spans="5:13" x14ac:dyDescent="0.25">
      <c r="E19309"/>
      <c r="M19309"/>
    </row>
    <row r="19310" spans="5:13" x14ac:dyDescent="0.25">
      <c r="E19310"/>
      <c r="M19310"/>
    </row>
    <row r="19311" spans="5:13" x14ac:dyDescent="0.25">
      <c r="E19311"/>
      <c r="M19311"/>
    </row>
    <row r="19312" spans="5:13" x14ac:dyDescent="0.25">
      <c r="E19312"/>
      <c r="M19312"/>
    </row>
    <row r="19313" spans="5:13" x14ac:dyDescent="0.25">
      <c r="E19313"/>
      <c r="M19313"/>
    </row>
    <row r="19314" spans="5:13" x14ac:dyDescent="0.25">
      <c r="E19314"/>
      <c r="M19314"/>
    </row>
    <row r="19315" spans="5:13" x14ac:dyDescent="0.25">
      <c r="E19315"/>
      <c r="M19315"/>
    </row>
    <row r="19316" spans="5:13" x14ac:dyDescent="0.25">
      <c r="E19316"/>
      <c r="M19316"/>
    </row>
    <row r="19317" spans="5:13" x14ac:dyDescent="0.25">
      <c r="E19317"/>
      <c r="M19317"/>
    </row>
    <row r="19318" spans="5:13" x14ac:dyDescent="0.25">
      <c r="E19318"/>
      <c r="M19318"/>
    </row>
    <row r="19319" spans="5:13" x14ac:dyDescent="0.25">
      <c r="E19319"/>
      <c r="M19319"/>
    </row>
    <row r="19320" spans="5:13" x14ac:dyDescent="0.25">
      <c r="E19320"/>
      <c r="M19320"/>
    </row>
    <row r="19321" spans="5:13" x14ac:dyDescent="0.25">
      <c r="E19321"/>
      <c r="M19321"/>
    </row>
    <row r="19322" spans="5:13" x14ac:dyDescent="0.25">
      <c r="E19322"/>
      <c r="M19322"/>
    </row>
    <row r="19323" spans="5:13" x14ac:dyDescent="0.25">
      <c r="E19323"/>
      <c r="M19323"/>
    </row>
    <row r="19324" spans="5:13" x14ac:dyDescent="0.25">
      <c r="E19324"/>
      <c r="M19324"/>
    </row>
    <row r="19325" spans="5:13" x14ac:dyDescent="0.25">
      <c r="E19325"/>
      <c r="M19325"/>
    </row>
    <row r="19326" spans="5:13" x14ac:dyDescent="0.25">
      <c r="E19326"/>
      <c r="M19326"/>
    </row>
    <row r="19327" spans="5:13" x14ac:dyDescent="0.25">
      <c r="E19327"/>
      <c r="M19327"/>
    </row>
    <row r="19328" spans="5:13" x14ac:dyDescent="0.25">
      <c r="E19328"/>
      <c r="M19328"/>
    </row>
    <row r="19329" spans="5:13" x14ac:dyDescent="0.25">
      <c r="E19329"/>
      <c r="M19329"/>
    </row>
    <row r="19330" spans="5:13" x14ac:dyDescent="0.25">
      <c r="E19330"/>
      <c r="M19330"/>
    </row>
    <row r="19331" spans="5:13" x14ac:dyDescent="0.25">
      <c r="E19331"/>
      <c r="M19331"/>
    </row>
    <row r="19332" spans="5:13" x14ac:dyDescent="0.25">
      <c r="E19332"/>
      <c r="M19332"/>
    </row>
    <row r="19333" spans="5:13" x14ac:dyDescent="0.25">
      <c r="E19333"/>
      <c r="M19333"/>
    </row>
    <row r="19334" spans="5:13" x14ac:dyDescent="0.25">
      <c r="E19334"/>
      <c r="M19334"/>
    </row>
    <row r="19335" spans="5:13" x14ac:dyDescent="0.25">
      <c r="E19335"/>
      <c r="M19335"/>
    </row>
    <row r="19336" spans="5:13" x14ac:dyDescent="0.25">
      <c r="E19336"/>
      <c r="M19336"/>
    </row>
    <row r="19337" spans="5:13" x14ac:dyDescent="0.25">
      <c r="E19337"/>
      <c r="M19337"/>
    </row>
    <row r="19338" spans="5:13" x14ac:dyDescent="0.25">
      <c r="E19338"/>
      <c r="M19338"/>
    </row>
    <row r="19339" spans="5:13" x14ac:dyDescent="0.25">
      <c r="E19339"/>
      <c r="M19339"/>
    </row>
    <row r="19340" spans="5:13" x14ac:dyDescent="0.25">
      <c r="E19340"/>
      <c r="M19340"/>
    </row>
    <row r="19341" spans="5:13" x14ac:dyDescent="0.25">
      <c r="E19341"/>
      <c r="M19341"/>
    </row>
    <row r="19342" spans="5:13" x14ac:dyDescent="0.25">
      <c r="E19342"/>
      <c r="M19342"/>
    </row>
    <row r="19343" spans="5:13" x14ac:dyDescent="0.25">
      <c r="E19343"/>
      <c r="M19343"/>
    </row>
    <row r="19344" spans="5:13" x14ac:dyDescent="0.25">
      <c r="E19344"/>
      <c r="M19344"/>
    </row>
    <row r="19345" spans="5:13" x14ac:dyDescent="0.25">
      <c r="E19345"/>
      <c r="M19345"/>
    </row>
    <row r="19346" spans="5:13" x14ac:dyDescent="0.25">
      <c r="E19346"/>
      <c r="M19346"/>
    </row>
    <row r="19347" spans="5:13" x14ac:dyDescent="0.25">
      <c r="E19347"/>
      <c r="M19347"/>
    </row>
    <row r="19348" spans="5:13" x14ac:dyDescent="0.25">
      <c r="E19348"/>
      <c r="M19348"/>
    </row>
    <row r="19349" spans="5:13" x14ac:dyDescent="0.25">
      <c r="E19349"/>
      <c r="M19349"/>
    </row>
    <row r="19350" spans="5:13" x14ac:dyDescent="0.25">
      <c r="E19350"/>
      <c r="M19350"/>
    </row>
    <row r="19351" spans="5:13" x14ac:dyDescent="0.25">
      <c r="E19351"/>
      <c r="M19351"/>
    </row>
    <row r="19352" spans="5:13" x14ac:dyDescent="0.25">
      <c r="E19352"/>
      <c r="M19352"/>
    </row>
    <row r="19353" spans="5:13" x14ac:dyDescent="0.25">
      <c r="E19353"/>
      <c r="M19353"/>
    </row>
    <row r="19354" spans="5:13" x14ac:dyDescent="0.25">
      <c r="E19354"/>
      <c r="M19354"/>
    </row>
    <row r="19355" spans="5:13" x14ac:dyDescent="0.25">
      <c r="E19355"/>
      <c r="M19355"/>
    </row>
    <row r="19356" spans="5:13" x14ac:dyDescent="0.25">
      <c r="E19356"/>
      <c r="M19356"/>
    </row>
    <row r="19357" spans="5:13" x14ac:dyDescent="0.25">
      <c r="E19357"/>
      <c r="M19357"/>
    </row>
    <row r="19358" spans="5:13" x14ac:dyDescent="0.25">
      <c r="E19358"/>
      <c r="M19358"/>
    </row>
    <row r="19359" spans="5:13" x14ac:dyDescent="0.25">
      <c r="E19359"/>
      <c r="M19359"/>
    </row>
    <row r="19360" spans="5:13" x14ac:dyDescent="0.25">
      <c r="E19360"/>
      <c r="M19360"/>
    </row>
    <row r="19361" spans="5:13" x14ac:dyDescent="0.25">
      <c r="E19361"/>
      <c r="M19361"/>
    </row>
    <row r="19362" spans="5:13" x14ac:dyDescent="0.25">
      <c r="E19362"/>
      <c r="M19362"/>
    </row>
    <row r="19363" spans="5:13" x14ac:dyDescent="0.25">
      <c r="E19363"/>
      <c r="M19363"/>
    </row>
    <row r="19364" spans="5:13" x14ac:dyDescent="0.25">
      <c r="E19364"/>
      <c r="M19364"/>
    </row>
    <row r="19365" spans="5:13" x14ac:dyDescent="0.25">
      <c r="E19365"/>
      <c r="M19365"/>
    </row>
    <row r="19366" spans="5:13" x14ac:dyDescent="0.25">
      <c r="E19366"/>
      <c r="M19366"/>
    </row>
    <row r="19367" spans="5:13" x14ac:dyDescent="0.25">
      <c r="E19367"/>
      <c r="M19367"/>
    </row>
    <row r="19368" spans="5:13" x14ac:dyDescent="0.25">
      <c r="E19368"/>
      <c r="M19368"/>
    </row>
    <row r="19369" spans="5:13" x14ac:dyDescent="0.25">
      <c r="E19369"/>
      <c r="M19369"/>
    </row>
    <row r="19370" spans="5:13" x14ac:dyDescent="0.25">
      <c r="E19370"/>
      <c r="M19370"/>
    </row>
    <row r="19371" spans="5:13" x14ac:dyDescent="0.25">
      <c r="E19371"/>
      <c r="M19371"/>
    </row>
    <row r="19372" spans="5:13" x14ac:dyDescent="0.25">
      <c r="E19372"/>
      <c r="M19372"/>
    </row>
    <row r="19373" spans="5:13" x14ac:dyDescent="0.25">
      <c r="E19373"/>
      <c r="M19373"/>
    </row>
    <row r="19374" spans="5:13" x14ac:dyDescent="0.25">
      <c r="E19374"/>
      <c r="M19374"/>
    </row>
    <row r="19375" spans="5:13" x14ac:dyDescent="0.25">
      <c r="E19375"/>
      <c r="M19375"/>
    </row>
    <row r="19376" spans="5:13" x14ac:dyDescent="0.25">
      <c r="E19376"/>
      <c r="M19376"/>
    </row>
    <row r="19377" spans="5:13" x14ac:dyDescent="0.25">
      <c r="E19377"/>
      <c r="M19377"/>
    </row>
    <row r="19378" spans="5:13" x14ac:dyDescent="0.25">
      <c r="E19378"/>
      <c r="M19378"/>
    </row>
    <row r="19379" spans="5:13" x14ac:dyDescent="0.25">
      <c r="E19379"/>
      <c r="M19379"/>
    </row>
    <row r="19380" spans="5:13" x14ac:dyDescent="0.25">
      <c r="E19380"/>
      <c r="M19380"/>
    </row>
    <row r="19381" spans="5:13" x14ac:dyDescent="0.25">
      <c r="E19381"/>
      <c r="M19381"/>
    </row>
    <row r="19382" spans="5:13" x14ac:dyDescent="0.25">
      <c r="E19382"/>
      <c r="M19382"/>
    </row>
    <row r="19383" spans="5:13" x14ac:dyDescent="0.25">
      <c r="E19383"/>
      <c r="M19383"/>
    </row>
    <row r="19384" spans="5:13" x14ac:dyDescent="0.25">
      <c r="E19384"/>
      <c r="M19384"/>
    </row>
    <row r="19385" spans="5:13" x14ac:dyDescent="0.25">
      <c r="E19385"/>
      <c r="M19385"/>
    </row>
    <row r="19386" spans="5:13" x14ac:dyDescent="0.25">
      <c r="E19386"/>
      <c r="M19386"/>
    </row>
    <row r="19387" spans="5:13" x14ac:dyDescent="0.25">
      <c r="E19387"/>
      <c r="M19387"/>
    </row>
    <row r="19388" spans="5:13" x14ac:dyDescent="0.25">
      <c r="E19388"/>
      <c r="M19388"/>
    </row>
    <row r="19389" spans="5:13" x14ac:dyDescent="0.25">
      <c r="E19389"/>
      <c r="M19389"/>
    </row>
    <row r="19390" spans="5:13" x14ac:dyDescent="0.25">
      <c r="E19390"/>
      <c r="M19390"/>
    </row>
    <row r="19391" spans="5:13" x14ac:dyDescent="0.25">
      <c r="E19391"/>
      <c r="M19391"/>
    </row>
    <row r="19392" spans="5:13" x14ac:dyDescent="0.25">
      <c r="E19392"/>
      <c r="M19392"/>
    </row>
    <row r="19393" spans="5:13" x14ac:dyDescent="0.25">
      <c r="E19393"/>
      <c r="M19393"/>
    </row>
    <row r="19394" spans="5:13" x14ac:dyDescent="0.25">
      <c r="E19394"/>
      <c r="M19394"/>
    </row>
    <row r="19395" spans="5:13" x14ac:dyDescent="0.25">
      <c r="E19395"/>
      <c r="M19395"/>
    </row>
    <row r="19396" spans="5:13" x14ac:dyDescent="0.25">
      <c r="E19396"/>
      <c r="M19396"/>
    </row>
    <row r="19397" spans="5:13" x14ac:dyDescent="0.25">
      <c r="E19397"/>
      <c r="M19397"/>
    </row>
    <row r="19398" spans="5:13" x14ac:dyDescent="0.25">
      <c r="E19398"/>
      <c r="M19398"/>
    </row>
    <row r="19399" spans="5:13" x14ac:dyDescent="0.25">
      <c r="E19399"/>
      <c r="M19399"/>
    </row>
    <row r="19400" spans="5:13" x14ac:dyDescent="0.25">
      <c r="E19400"/>
      <c r="M19400"/>
    </row>
    <row r="19401" spans="5:13" x14ac:dyDescent="0.25">
      <c r="E19401"/>
      <c r="M19401"/>
    </row>
    <row r="19402" spans="5:13" x14ac:dyDescent="0.25">
      <c r="E19402"/>
      <c r="M19402"/>
    </row>
    <row r="19403" spans="5:13" x14ac:dyDescent="0.25">
      <c r="E19403"/>
      <c r="M19403"/>
    </row>
    <row r="19404" spans="5:13" x14ac:dyDescent="0.25">
      <c r="E19404"/>
      <c r="M19404"/>
    </row>
    <row r="19405" spans="5:13" x14ac:dyDescent="0.25">
      <c r="E19405"/>
      <c r="M19405"/>
    </row>
    <row r="19406" spans="5:13" x14ac:dyDescent="0.25">
      <c r="E19406"/>
      <c r="M19406"/>
    </row>
    <row r="19407" spans="5:13" x14ac:dyDescent="0.25">
      <c r="E19407"/>
      <c r="M19407"/>
    </row>
    <row r="19408" spans="5:13" x14ac:dyDescent="0.25">
      <c r="E19408"/>
      <c r="M19408"/>
    </row>
    <row r="19409" spans="5:13" x14ac:dyDescent="0.25">
      <c r="E19409"/>
      <c r="M19409"/>
    </row>
    <row r="19410" spans="5:13" x14ac:dyDescent="0.25">
      <c r="E19410"/>
      <c r="M19410"/>
    </row>
    <row r="19411" spans="5:13" x14ac:dyDescent="0.25">
      <c r="E19411"/>
      <c r="M19411"/>
    </row>
    <row r="19412" spans="5:13" x14ac:dyDescent="0.25">
      <c r="E19412"/>
      <c r="M19412"/>
    </row>
    <row r="19413" spans="5:13" x14ac:dyDescent="0.25">
      <c r="E19413"/>
      <c r="M19413"/>
    </row>
    <row r="19414" spans="5:13" x14ac:dyDescent="0.25">
      <c r="E19414"/>
      <c r="M19414"/>
    </row>
    <row r="19415" spans="5:13" x14ac:dyDescent="0.25">
      <c r="E19415"/>
      <c r="M19415"/>
    </row>
    <row r="19416" spans="5:13" x14ac:dyDescent="0.25">
      <c r="E19416"/>
      <c r="M19416"/>
    </row>
    <row r="19417" spans="5:13" x14ac:dyDescent="0.25">
      <c r="E19417"/>
      <c r="M19417"/>
    </row>
    <row r="19418" spans="5:13" x14ac:dyDescent="0.25">
      <c r="E19418"/>
      <c r="M19418"/>
    </row>
    <row r="19419" spans="5:13" x14ac:dyDescent="0.25">
      <c r="E19419"/>
      <c r="M19419"/>
    </row>
    <row r="19420" spans="5:13" x14ac:dyDescent="0.25">
      <c r="E19420"/>
      <c r="M19420"/>
    </row>
    <row r="19421" spans="5:13" x14ac:dyDescent="0.25">
      <c r="E19421"/>
      <c r="M19421"/>
    </row>
    <row r="19422" spans="5:13" x14ac:dyDescent="0.25">
      <c r="E19422"/>
      <c r="M19422"/>
    </row>
    <row r="19423" spans="5:13" x14ac:dyDescent="0.25">
      <c r="E19423"/>
      <c r="M19423"/>
    </row>
    <row r="19424" spans="5:13" x14ac:dyDescent="0.25">
      <c r="E19424"/>
      <c r="M19424"/>
    </row>
    <row r="19425" spans="5:13" x14ac:dyDescent="0.25">
      <c r="E19425"/>
      <c r="M19425"/>
    </row>
    <row r="19426" spans="5:13" x14ac:dyDescent="0.25">
      <c r="E19426"/>
      <c r="M19426"/>
    </row>
    <row r="19427" spans="5:13" x14ac:dyDescent="0.25">
      <c r="E19427"/>
      <c r="M19427"/>
    </row>
    <row r="19428" spans="5:13" x14ac:dyDescent="0.25">
      <c r="E19428"/>
      <c r="M19428"/>
    </row>
    <row r="19429" spans="5:13" x14ac:dyDescent="0.25">
      <c r="E19429"/>
      <c r="M19429"/>
    </row>
    <row r="19430" spans="5:13" x14ac:dyDescent="0.25">
      <c r="E19430"/>
      <c r="M19430"/>
    </row>
    <row r="19431" spans="5:13" x14ac:dyDescent="0.25">
      <c r="E19431"/>
      <c r="M19431"/>
    </row>
    <row r="19432" spans="5:13" x14ac:dyDescent="0.25">
      <c r="E19432"/>
      <c r="M19432"/>
    </row>
    <row r="19433" spans="5:13" x14ac:dyDescent="0.25">
      <c r="E19433"/>
      <c r="M19433"/>
    </row>
    <row r="19434" spans="5:13" x14ac:dyDescent="0.25">
      <c r="E19434"/>
      <c r="M19434"/>
    </row>
    <row r="19435" spans="5:13" x14ac:dyDescent="0.25">
      <c r="E19435"/>
      <c r="M19435"/>
    </row>
    <row r="19436" spans="5:13" x14ac:dyDescent="0.25">
      <c r="E19436"/>
      <c r="M19436"/>
    </row>
    <row r="19437" spans="5:13" x14ac:dyDescent="0.25">
      <c r="E19437"/>
      <c r="M19437"/>
    </row>
    <row r="19438" spans="5:13" x14ac:dyDescent="0.25">
      <c r="E19438"/>
      <c r="M19438"/>
    </row>
    <row r="19439" spans="5:13" x14ac:dyDescent="0.25">
      <c r="E19439"/>
      <c r="M19439"/>
    </row>
    <row r="19440" spans="5:13" x14ac:dyDescent="0.25">
      <c r="E19440"/>
      <c r="M19440"/>
    </row>
    <row r="19441" spans="5:13" x14ac:dyDescent="0.25">
      <c r="E19441"/>
      <c r="M19441"/>
    </row>
    <row r="19442" spans="5:13" x14ac:dyDescent="0.25">
      <c r="E19442"/>
      <c r="M19442"/>
    </row>
    <row r="19443" spans="5:13" x14ac:dyDescent="0.25">
      <c r="E19443"/>
      <c r="M19443"/>
    </row>
    <row r="19444" spans="5:13" x14ac:dyDescent="0.25">
      <c r="E19444"/>
      <c r="M19444"/>
    </row>
    <row r="19445" spans="5:13" x14ac:dyDescent="0.25">
      <c r="E19445"/>
      <c r="M19445"/>
    </row>
    <row r="19446" spans="5:13" x14ac:dyDescent="0.25">
      <c r="E19446"/>
      <c r="M19446"/>
    </row>
    <row r="19447" spans="5:13" x14ac:dyDescent="0.25">
      <c r="E19447"/>
      <c r="M19447"/>
    </row>
    <row r="19448" spans="5:13" x14ac:dyDescent="0.25">
      <c r="E19448"/>
      <c r="M19448"/>
    </row>
    <row r="19449" spans="5:13" x14ac:dyDescent="0.25">
      <c r="E19449"/>
      <c r="M19449"/>
    </row>
    <row r="19450" spans="5:13" x14ac:dyDescent="0.25">
      <c r="E19450"/>
      <c r="M19450"/>
    </row>
    <row r="19451" spans="5:13" x14ac:dyDescent="0.25">
      <c r="E19451"/>
      <c r="M19451"/>
    </row>
    <row r="19452" spans="5:13" x14ac:dyDescent="0.25">
      <c r="E19452"/>
      <c r="M19452"/>
    </row>
    <row r="19453" spans="5:13" x14ac:dyDescent="0.25">
      <c r="E19453"/>
      <c r="M19453"/>
    </row>
    <row r="19454" spans="5:13" x14ac:dyDescent="0.25">
      <c r="E19454"/>
      <c r="M19454"/>
    </row>
    <row r="19455" spans="5:13" x14ac:dyDescent="0.25">
      <c r="E19455"/>
      <c r="M19455"/>
    </row>
    <row r="19456" spans="5:13" x14ac:dyDescent="0.25">
      <c r="E19456"/>
      <c r="M19456"/>
    </row>
    <row r="19457" spans="5:13" x14ac:dyDescent="0.25">
      <c r="E19457"/>
      <c r="M19457"/>
    </row>
    <row r="19458" spans="5:13" x14ac:dyDescent="0.25">
      <c r="E19458"/>
      <c r="M19458"/>
    </row>
    <row r="19459" spans="5:13" x14ac:dyDescent="0.25">
      <c r="E19459"/>
      <c r="M19459"/>
    </row>
    <row r="19460" spans="5:13" x14ac:dyDescent="0.25">
      <c r="E19460"/>
      <c r="M19460"/>
    </row>
    <row r="19461" spans="5:13" x14ac:dyDescent="0.25">
      <c r="E19461"/>
      <c r="M19461"/>
    </row>
    <row r="19462" spans="5:13" x14ac:dyDescent="0.25">
      <c r="E19462"/>
      <c r="M19462"/>
    </row>
    <row r="19463" spans="5:13" x14ac:dyDescent="0.25">
      <c r="E19463"/>
      <c r="M19463"/>
    </row>
    <row r="19464" spans="5:13" x14ac:dyDescent="0.25">
      <c r="E19464"/>
      <c r="M19464"/>
    </row>
    <row r="19465" spans="5:13" x14ac:dyDescent="0.25">
      <c r="E19465"/>
      <c r="M19465"/>
    </row>
    <row r="19466" spans="5:13" x14ac:dyDescent="0.25">
      <c r="E19466"/>
      <c r="M19466"/>
    </row>
    <row r="19467" spans="5:13" x14ac:dyDescent="0.25">
      <c r="E19467"/>
      <c r="M19467"/>
    </row>
    <row r="19468" spans="5:13" x14ac:dyDescent="0.25">
      <c r="E19468"/>
      <c r="M19468"/>
    </row>
    <row r="19469" spans="5:13" x14ac:dyDescent="0.25">
      <c r="E19469"/>
      <c r="M19469"/>
    </row>
    <row r="19470" spans="5:13" x14ac:dyDescent="0.25">
      <c r="E19470"/>
      <c r="M19470"/>
    </row>
    <row r="19471" spans="5:13" x14ac:dyDescent="0.25">
      <c r="E19471"/>
      <c r="M19471"/>
    </row>
    <row r="19472" spans="5:13" x14ac:dyDescent="0.25">
      <c r="E19472"/>
      <c r="M19472"/>
    </row>
    <row r="19473" spans="5:13" x14ac:dyDescent="0.25">
      <c r="E19473"/>
      <c r="M19473"/>
    </row>
    <row r="19474" spans="5:13" x14ac:dyDescent="0.25">
      <c r="E19474"/>
      <c r="M19474"/>
    </row>
    <row r="19475" spans="5:13" x14ac:dyDescent="0.25">
      <c r="E19475"/>
      <c r="M19475"/>
    </row>
    <row r="19476" spans="5:13" x14ac:dyDescent="0.25">
      <c r="E19476"/>
      <c r="M19476"/>
    </row>
    <row r="19477" spans="5:13" x14ac:dyDescent="0.25">
      <c r="E19477"/>
      <c r="M19477"/>
    </row>
    <row r="19478" spans="5:13" x14ac:dyDescent="0.25">
      <c r="E19478"/>
      <c r="M19478"/>
    </row>
    <row r="19479" spans="5:13" x14ac:dyDescent="0.25">
      <c r="E19479"/>
      <c r="M19479"/>
    </row>
    <row r="19480" spans="5:13" x14ac:dyDescent="0.25">
      <c r="E19480"/>
      <c r="M19480"/>
    </row>
    <row r="19481" spans="5:13" x14ac:dyDescent="0.25">
      <c r="E19481"/>
      <c r="M19481"/>
    </row>
    <row r="19482" spans="5:13" x14ac:dyDescent="0.25">
      <c r="E19482"/>
      <c r="M19482"/>
    </row>
    <row r="19483" spans="5:13" x14ac:dyDescent="0.25">
      <c r="E19483"/>
      <c r="M19483"/>
    </row>
    <row r="19484" spans="5:13" x14ac:dyDescent="0.25">
      <c r="E19484"/>
      <c r="M19484"/>
    </row>
    <row r="19485" spans="5:13" x14ac:dyDescent="0.25">
      <c r="E19485"/>
      <c r="M19485"/>
    </row>
    <row r="19486" spans="5:13" x14ac:dyDescent="0.25">
      <c r="E19486"/>
      <c r="M19486"/>
    </row>
    <row r="19487" spans="5:13" x14ac:dyDescent="0.25">
      <c r="E19487"/>
      <c r="M19487"/>
    </row>
    <row r="19488" spans="5:13" x14ac:dyDescent="0.25">
      <c r="E19488"/>
      <c r="M19488"/>
    </row>
    <row r="19489" spans="5:13" x14ac:dyDescent="0.25">
      <c r="E19489"/>
      <c r="M19489"/>
    </row>
    <row r="19490" spans="5:13" x14ac:dyDescent="0.25">
      <c r="E19490"/>
      <c r="M19490"/>
    </row>
    <row r="19491" spans="5:13" x14ac:dyDescent="0.25">
      <c r="E19491"/>
      <c r="M19491"/>
    </row>
    <row r="19492" spans="5:13" x14ac:dyDescent="0.25">
      <c r="E19492"/>
      <c r="M19492"/>
    </row>
    <row r="19493" spans="5:13" x14ac:dyDescent="0.25">
      <c r="E19493"/>
      <c r="M19493"/>
    </row>
    <row r="19494" spans="5:13" x14ac:dyDescent="0.25">
      <c r="E19494"/>
      <c r="M19494"/>
    </row>
    <row r="19495" spans="5:13" x14ac:dyDescent="0.25">
      <c r="E19495"/>
      <c r="M19495"/>
    </row>
    <row r="19496" spans="5:13" x14ac:dyDescent="0.25">
      <c r="E19496"/>
      <c r="M19496"/>
    </row>
    <row r="19497" spans="5:13" x14ac:dyDescent="0.25">
      <c r="E19497"/>
      <c r="M19497"/>
    </row>
    <row r="19498" spans="5:13" x14ac:dyDescent="0.25">
      <c r="E19498"/>
      <c r="M19498"/>
    </row>
    <row r="19499" spans="5:13" x14ac:dyDescent="0.25">
      <c r="E19499"/>
      <c r="M19499"/>
    </row>
    <row r="19500" spans="5:13" x14ac:dyDescent="0.25">
      <c r="E19500"/>
      <c r="M19500"/>
    </row>
    <row r="19501" spans="5:13" x14ac:dyDescent="0.25">
      <c r="E19501"/>
      <c r="M19501"/>
    </row>
    <row r="19502" spans="5:13" x14ac:dyDescent="0.25">
      <c r="E19502"/>
      <c r="M19502"/>
    </row>
    <row r="19503" spans="5:13" x14ac:dyDescent="0.25">
      <c r="E19503"/>
      <c r="M19503"/>
    </row>
    <row r="19504" spans="5:13" x14ac:dyDescent="0.25">
      <c r="E19504"/>
      <c r="M19504"/>
    </row>
    <row r="19505" spans="5:13" x14ac:dyDescent="0.25">
      <c r="E19505"/>
      <c r="M19505"/>
    </row>
    <row r="19506" spans="5:13" x14ac:dyDescent="0.25">
      <c r="E19506"/>
      <c r="M19506"/>
    </row>
    <row r="19507" spans="5:13" x14ac:dyDescent="0.25">
      <c r="E19507"/>
      <c r="M19507"/>
    </row>
    <row r="19508" spans="5:13" x14ac:dyDescent="0.25">
      <c r="E19508"/>
      <c r="M19508"/>
    </row>
    <row r="19509" spans="5:13" x14ac:dyDescent="0.25">
      <c r="E19509"/>
      <c r="M19509"/>
    </row>
    <row r="19510" spans="5:13" x14ac:dyDescent="0.25">
      <c r="E19510"/>
      <c r="M19510"/>
    </row>
    <row r="19511" spans="5:13" x14ac:dyDescent="0.25">
      <c r="E19511"/>
      <c r="M19511"/>
    </row>
    <row r="19512" spans="5:13" x14ac:dyDescent="0.25">
      <c r="E19512"/>
      <c r="M19512"/>
    </row>
    <row r="19513" spans="5:13" x14ac:dyDescent="0.25">
      <c r="E19513"/>
      <c r="M19513"/>
    </row>
    <row r="19514" spans="5:13" x14ac:dyDescent="0.25">
      <c r="E19514"/>
      <c r="M19514"/>
    </row>
    <row r="19515" spans="5:13" x14ac:dyDescent="0.25">
      <c r="E19515"/>
      <c r="M19515"/>
    </row>
    <row r="19516" spans="5:13" x14ac:dyDescent="0.25">
      <c r="E19516"/>
      <c r="M19516"/>
    </row>
    <row r="19517" spans="5:13" x14ac:dyDescent="0.25">
      <c r="E19517"/>
      <c r="M19517"/>
    </row>
    <row r="19518" spans="5:13" x14ac:dyDescent="0.25">
      <c r="E19518"/>
      <c r="M19518"/>
    </row>
    <row r="19519" spans="5:13" x14ac:dyDescent="0.25">
      <c r="E19519"/>
      <c r="M19519"/>
    </row>
    <row r="19520" spans="5:13" x14ac:dyDescent="0.25">
      <c r="E19520"/>
      <c r="M19520"/>
    </row>
    <row r="19521" spans="5:13" x14ac:dyDescent="0.25">
      <c r="E19521"/>
      <c r="M19521"/>
    </row>
    <row r="19522" spans="5:13" x14ac:dyDescent="0.25">
      <c r="E19522"/>
      <c r="M19522"/>
    </row>
    <row r="19523" spans="5:13" x14ac:dyDescent="0.25">
      <c r="E19523"/>
      <c r="M19523"/>
    </row>
    <row r="19524" spans="5:13" x14ac:dyDescent="0.25">
      <c r="E19524"/>
      <c r="M19524"/>
    </row>
    <row r="19525" spans="5:13" x14ac:dyDescent="0.25">
      <c r="E19525"/>
      <c r="M19525"/>
    </row>
    <row r="19526" spans="5:13" x14ac:dyDescent="0.25">
      <c r="E19526"/>
      <c r="M19526"/>
    </row>
    <row r="19527" spans="5:13" x14ac:dyDescent="0.25">
      <c r="E19527"/>
      <c r="M19527"/>
    </row>
    <row r="19528" spans="5:13" x14ac:dyDescent="0.25">
      <c r="E19528"/>
      <c r="M19528"/>
    </row>
    <row r="19529" spans="5:13" x14ac:dyDescent="0.25">
      <c r="E19529"/>
      <c r="M19529"/>
    </row>
    <row r="19530" spans="5:13" x14ac:dyDescent="0.25">
      <c r="E19530"/>
      <c r="M19530"/>
    </row>
    <row r="19531" spans="5:13" x14ac:dyDescent="0.25">
      <c r="E19531"/>
      <c r="M19531"/>
    </row>
    <row r="19532" spans="5:13" x14ac:dyDescent="0.25">
      <c r="E19532"/>
      <c r="M19532"/>
    </row>
    <row r="19533" spans="5:13" x14ac:dyDescent="0.25">
      <c r="E19533"/>
      <c r="M19533"/>
    </row>
    <row r="19534" spans="5:13" x14ac:dyDescent="0.25">
      <c r="E19534"/>
      <c r="M19534"/>
    </row>
    <row r="19535" spans="5:13" x14ac:dyDescent="0.25">
      <c r="E19535"/>
      <c r="M19535"/>
    </row>
    <row r="19536" spans="5:13" x14ac:dyDescent="0.25">
      <c r="E19536"/>
      <c r="M19536"/>
    </row>
    <row r="19537" spans="5:13" x14ac:dyDescent="0.25">
      <c r="E19537"/>
      <c r="M19537"/>
    </row>
    <row r="19538" spans="5:13" x14ac:dyDescent="0.25">
      <c r="E19538"/>
      <c r="M19538"/>
    </row>
    <row r="19539" spans="5:13" x14ac:dyDescent="0.25">
      <c r="E19539"/>
      <c r="M19539"/>
    </row>
    <row r="19540" spans="5:13" x14ac:dyDescent="0.25">
      <c r="E19540"/>
      <c r="M19540"/>
    </row>
    <row r="19541" spans="5:13" x14ac:dyDescent="0.25">
      <c r="E19541"/>
      <c r="M19541"/>
    </row>
    <row r="19542" spans="5:13" x14ac:dyDescent="0.25">
      <c r="E19542"/>
      <c r="M19542"/>
    </row>
    <row r="19543" spans="5:13" x14ac:dyDescent="0.25">
      <c r="E19543"/>
      <c r="M19543"/>
    </row>
    <row r="19544" spans="5:13" x14ac:dyDescent="0.25">
      <c r="E19544"/>
      <c r="M19544"/>
    </row>
    <row r="19545" spans="5:13" x14ac:dyDescent="0.25">
      <c r="E19545"/>
      <c r="M19545"/>
    </row>
    <row r="19546" spans="5:13" x14ac:dyDescent="0.25">
      <c r="E19546"/>
      <c r="M19546"/>
    </row>
    <row r="19547" spans="5:13" x14ac:dyDescent="0.25">
      <c r="E19547"/>
      <c r="M19547"/>
    </row>
    <row r="19548" spans="5:13" x14ac:dyDescent="0.25">
      <c r="E19548"/>
      <c r="M19548"/>
    </row>
    <row r="19549" spans="5:13" x14ac:dyDescent="0.25">
      <c r="E19549"/>
      <c r="M19549"/>
    </row>
    <row r="19550" spans="5:13" x14ac:dyDescent="0.25">
      <c r="E19550"/>
      <c r="M19550"/>
    </row>
    <row r="19551" spans="5:13" x14ac:dyDescent="0.25">
      <c r="E19551"/>
      <c r="M19551"/>
    </row>
    <row r="19552" spans="5:13" x14ac:dyDescent="0.25">
      <c r="E19552"/>
      <c r="M19552"/>
    </row>
    <row r="19553" spans="5:13" x14ac:dyDescent="0.25">
      <c r="E19553"/>
      <c r="M19553"/>
    </row>
    <row r="19554" spans="5:13" x14ac:dyDescent="0.25">
      <c r="E19554"/>
      <c r="M19554"/>
    </row>
    <row r="19555" spans="5:13" x14ac:dyDescent="0.25">
      <c r="E19555"/>
      <c r="M19555"/>
    </row>
    <row r="19556" spans="5:13" x14ac:dyDescent="0.25">
      <c r="E19556"/>
      <c r="M19556"/>
    </row>
    <row r="19557" spans="5:13" x14ac:dyDescent="0.25">
      <c r="E19557"/>
      <c r="M19557"/>
    </row>
    <row r="19558" spans="5:13" x14ac:dyDescent="0.25">
      <c r="E19558"/>
      <c r="M19558"/>
    </row>
    <row r="19559" spans="5:13" x14ac:dyDescent="0.25">
      <c r="E19559"/>
      <c r="M19559"/>
    </row>
    <row r="19560" spans="5:13" x14ac:dyDescent="0.25">
      <c r="E19560"/>
      <c r="M19560"/>
    </row>
    <row r="19561" spans="5:13" x14ac:dyDescent="0.25">
      <c r="E19561"/>
      <c r="M19561"/>
    </row>
    <row r="19562" spans="5:13" x14ac:dyDescent="0.25">
      <c r="E19562"/>
      <c r="M19562"/>
    </row>
    <row r="19563" spans="5:13" x14ac:dyDescent="0.25">
      <c r="E19563"/>
      <c r="M19563"/>
    </row>
    <row r="19564" spans="5:13" x14ac:dyDescent="0.25">
      <c r="E19564"/>
      <c r="M19564"/>
    </row>
    <row r="19565" spans="5:13" x14ac:dyDescent="0.25">
      <c r="E19565"/>
      <c r="M19565"/>
    </row>
    <row r="19566" spans="5:13" x14ac:dyDescent="0.25">
      <c r="E19566"/>
      <c r="M19566"/>
    </row>
    <row r="19567" spans="5:13" x14ac:dyDescent="0.25">
      <c r="E19567"/>
      <c r="M19567"/>
    </row>
    <row r="19568" spans="5:13" x14ac:dyDescent="0.25">
      <c r="E19568"/>
      <c r="M19568"/>
    </row>
    <row r="19569" spans="5:13" x14ac:dyDescent="0.25">
      <c r="E19569"/>
      <c r="M19569"/>
    </row>
    <row r="19570" spans="5:13" x14ac:dyDescent="0.25">
      <c r="E19570"/>
      <c r="M19570"/>
    </row>
    <row r="19571" spans="5:13" x14ac:dyDescent="0.25">
      <c r="E19571"/>
      <c r="M19571"/>
    </row>
    <row r="19572" spans="5:13" x14ac:dyDescent="0.25">
      <c r="E19572"/>
      <c r="M19572"/>
    </row>
    <row r="19573" spans="5:13" x14ac:dyDescent="0.25">
      <c r="E19573"/>
      <c r="M19573"/>
    </row>
    <row r="19574" spans="5:13" x14ac:dyDescent="0.25">
      <c r="E19574"/>
      <c r="M19574"/>
    </row>
    <row r="19575" spans="5:13" x14ac:dyDescent="0.25">
      <c r="E19575"/>
      <c r="M19575"/>
    </row>
    <row r="19576" spans="5:13" x14ac:dyDescent="0.25">
      <c r="E19576"/>
      <c r="M19576"/>
    </row>
    <row r="19577" spans="5:13" x14ac:dyDescent="0.25">
      <c r="E19577"/>
      <c r="M19577"/>
    </row>
    <row r="19578" spans="5:13" x14ac:dyDescent="0.25">
      <c r="E19578"/>
      <c r="M19578"/>
    </row>
    <row r="19579" spans="5:13" x14ac:dyDescent="0.25">
      <c r="E19579"/>
      <c r="M19579"/>
    </row>
    <row r="19580" spans="5:13" x14ac:dyDescent="0.25">
      <c r="E19580"/>
      <c r="M19580"/>
    </row>
    <row r="19581" spans="5:13" x14ac:dyDescent="0.25">
      <c r="E19581"/>
      <c r="M19581"/>
    </row>
    <row r="19582" spans="5:13" x14ac:dyDescent="0.25">
      <c r="E19582"/>
      <c r="M19582"/>
    </row>
    <row r="19583" spans="5:13" x14ac:dyDescent="0.25">
      <c r="E19583"/>
      <c r="M19583"/>
    </row>
    <row r="19584" spans="5:13" x14ac:dyDescent="0.25">
      <c r="E19584"/>
      <c r="M19584"/>
    </row>
    <row r="19585" spans="5:13" x14ac:dyDescent="0.25">
      <c r="E19585"/>
      <c r="M19585"/>
    </row>
    <row r="19586" spans="5:13" x14ac:dyDescent="0.25">
      <c r="E19586"/>
      <c r="M19586"/>
    </row>
    <row r="19587" spans="5:13" x14ac:dyDescent="0.25">
      <c r="E19587"/>
      <c r="M19587"/>
    </row>
    <row r="19588" spans="5:13" x14ac:dyDescent="0.25">
      <c r="E19588"/>
      <c r="M19588"/>
    </row>
    <row r="19589" spans="5:13" x14ac:dyDescent="0.25">
      <c r="E19589"/>
      <c r="M19589"/>
    </row>
    <row r="19590" spans="5:13" x14ac:dyDescent="0.25">
      <c r="E19590"/>
      <c r="M19590"/>
    </row>
    <row r="19591" spans="5:13" x14ac:dyDescent="0.25">
      <c r="E19591"/>
      <c r="M19591"/>
    </row>
    <row r="19592" spans="5:13" x14ac:dyDescent="0.25">
      <c r="E19592"/>
      <c r="M19592"/>
    </row>
    <row r="19593" spans="5:13" x14ac:dyDescent="0.25">
      <c r="E19593"/>
      <c r="M19593"/>
    </row>
    <row r="19594" spans="5:13" x14ac:dyDescent="0.25">
      <c r="E19594"/>
      <c r="M19594"/>
    </row>
    <row r="19595" spans="5:13" x14ac:dyDescent="0.25">
      <c r="E19595"/>
      <c r="M19595"/>
    </row>
    <row r="19596" spans="5:13" x14ac:dyDescent="0.25">
      <c r="E19596"/>
      <c r="M19596"/>
    </row>
    <row r="19597" spans="5:13" x14ac:dyDescent="0.25">
      <c r="E19597"/>
      <c r="M19597"/>
    </row>
    <row r="19598" spans="5:13" x14ac:dyDescent="0.25">
      <c r="E19598"/>
      <c r="M19598"/>
    </row>
    <row r="19599" spans="5:13" x14ac:dyDescent="0.25">
      <c r="E19599"/>
      <c r="M19599"/>
    </row>
    <row r="19600" spans="5:13" x14ac:dyDescent="0.25">
      <c r="E19600"/>
      <c r="M19600"/>
    </row>
    <row r="19601" spans="5:13" x14ac:dyDescent="0.25">
      <c r="E19601"/>
      <c r="M19601"/>
    </row>
    <row r="19602" spans="5:13" x14ac:dyDescent="0.25">
      <c r="E19602"/>
      <c r="M19602"/>
    </row>
    <row r="19603" spans="5:13" x14ac:dyDescent="0.25">
      <c r="E19603"/>
      <c r="M19603"/>
    </row>
    <row r="19604" spans="5:13" x14ac:dyDescent="0.25">
      <c r="E19604"/>
      <c r="M19604"/>
    </row>
    <row r="19605" spans="5:13" x14ac:dyDescent="0.25">
      <c r="E19605"/>
      <c r="M19605"/>
    </row>
    <row r="19606" spans="5:13" x14ac:dyDescent="0.25">
      <c r="E19606"/>
      <c r="M19606"/>
    </row>
    <row r="19607" spans="5:13" x14ac:dyDescent="0.25">
      <c r="E19607"/>
      <c r="M19607"/>
    </row>
    <row r="19608" spans="5:13" x14ac:dyDescent="0.25">
      <c r="E19608"/>
      <c r="M19608"/>
    </row>
    <row r="19609" spans="5:13" x14ac:dyDescent="0.25">
      <c r="E19609"/>
      <c r="M19609"/>
    </row>
    <row r="19610" spans="5:13" x14ac:dyDescent="0.25">
      <c r="E19610"/>
      <c r="M19610"/>
    </row>
    <row r="19611" spans="5:13" x14ac:dyDescent="0.25">
      <c r="E19611"/>
      <c r="M19611"/>
    </row>
    <row r="19612" spans="5:13" x14ac:dyDescent="0.25">
      <c r="E19612"/>
      <c r="M19612"/>
    </row>
    <row r="19613" spans="5:13" x14ac:dyDescent="0.25">
      <c r="E19613"/>
      <c r="M19613"/>
    </row>
    <row r="19614" spans="5:13" x14ac:dyDescent="0.25">
      <c r="E19614"/>
      <c r="M19614"/>
    </row>
    <row r="19615" spans="5:13" x14ac:dyDescent="0.25">
      <c r="E19615"/>
      <c r="M19615"/>
    </row>
    <row r="19616" spans="5:13" x14ac:dyDescent="0.25">
      <c r="E19616"/>
      <c r="M19616"/>
    </row>
    <row r="19617" spans="5:13" x14ac:dyDescent="0.25">
      <c r="E19617"/>
      <c r="M19617"/>
    </row>
    <row r="19618" spans="5:13" x14ac:dyDescent="0.25">
      <c r="E19618"/>
      <c r="M19618"/>
    </row>
    <row r="19619" spans="5:13" x14ac:dyDescent="0.25">
      <c r="E19619"/>
      <c r="M19619"/>
    </row>
    <row r="19620" spans="5:13" x14ac:dyDescent="0.25">
      <c r="E19620"/>
      <c r="M19620"/>
    </row>
    <row r="19621" spans="5:13" x14ac:dyDescent="0.25">
      <c r="E19621"/>
      <c r="M19621"/>
    </row>
    <row r="19622" spans="5:13" x14ac:dyDescent="0.25">
      <c r="E19622"/>
      <c r="M19622"/>
    </row>
    <row r="19623" spans="5:13" x14ac:dyDescent="0.25">
      <c r="E19623"/>
      <c r="M19623"/>
    </row>
    <row r="19624" spans="5:13" x14ac:dyDescent="0.25">
      <c r="E19624"/>
      <c r="M19624"/>
    </row>
    <row r="19625" spans="5:13" x14ac:dyDescent="0.25">
      <c r="E19625"/>
      <c r="M19625"/>
    </row>
    <row r="19626" spans="5:13" x14ac:dyDescent="0.25">
      <c r="E19626"/>
      <c r="M19626"/>
    </row>
    <row r="19627" spans="5:13" x14ac:dyDescent="0.25">
      <c r="E19627"/>
      <c r="M19627"/>
    </row>
    <row r="19628" spans="5:13" x14ac:dyDescent="0.25">
      <c r="E19628"/>
      <c r="M19628"/>
    </row>
    <row r="19629" spans="5:13" x14ac:dyDescent="0.25">
      <c r="E19629"/>
      <c r="M19629"/>
    </row>
    <row r="19630" spans="5:13" x14ac:dyDescent="0.25">
      <c r="E19630"/>
      <c r="M19630"/>
    </row>
    <row r="19631" spans="5:13" x14ac:dyDescent="0.25">
      <c r="E19631"/>
      <c r="M19631"/>
    </row>
    <row r="19632" spans="5:13" x14ac:dyDescent="0.25">
      <c r="E19632"/>
      <c r="M19632"/>
    </row>
    <row r="19633" spans="5:13" x14ac:dyDescent="0.25">
      <c r="E19633"/>
      <c r="M19633"/>
    </row>
    <row r="19634" spans="5:13" x14ac:dyDescent="0.25">
      <c r="E19634"/>
      <c r="M19634"/>
    </row>
    <row r="19635" spans="5:13" x14ac:dyDescent="0.25">
      <c r="E19635"/>
      <c r="M19635"/>
    </row>
    <row r="19636" spans="5:13" x14ac:dyDescent="0.25">
      <c r="E19636"/>
      <c r="M19636"/>
    </row>
    <row r="19637" spans="5:13" x14ac:dyDescent="0.25">
      <c r="E19637"/>
      <c r="M19637"/>
    </row>
    <row r="19638" spans="5:13" x14ac:dyDescent="0.25">
      <c r="E19638"/>
      <c r="M19638"/>
    </row>
    <row r="19639" spans="5:13" x14ac:dyDescent="0.25">
      <c r="E19639"/>
      <c r="M19639"/>
    </row>
    <row r="19640" spans="5:13" x14ac:dyDescent="0.25">
      <c r="E19640"/>
      <c r="M19640"/>
    </row>
    <row r="19641" spans="5:13" x14ac:dyDescent="0.25">
      <c r="E19641"/>
      <c r="M19641"/>
    </row>
    <row r="19642" spans="5:13" x14ac:dyDescent="0.25">
      <c r="E19642"/>
      <c r="M19642"/>
    </row>
    <row r="19643" spans="5:13" x14ac:dyDescent="0.25">
      <c r="E19643"/>
      <c r="M19643"/>
    </row>
    <row r="19644" spans="5:13" x14ac:dyDescent="0.25">
      <c r="E19644"/>
      <c r="M19644"/>
    </row>
    <row r="19645" spans="5:13" x14ac:dyDescent="0.25">
      <c r="E19645"/>
      <c r="M19645"/>
    </row>
    <row r="19646" spans="5:13" x14ac:dyDescent="0.25">
      <c r="E19646"/>
      <c r="M19646"/>
    </row>
    <row r="19647" spans="5:13" x14ac:dyDescent="0.25">
      <c r="E19647"/>
      <c r="M19647"/>
    </row>
    <row r="19648" spans="5:13" x14ac:dyDescent="0.25">
      <c r="E19648"/>
      <c r="M19648"/>
    </row>
    <row r="19649" spans="5:13" x14ac:dyDescent="0.25">
      <c r="E19649"/>
      <c r="M19649"/>
    </row>
    <row r="19650" spans="5:13" x14ac:dyDescent="0.25">
      <c r="E19650"/>
      <c r="M19650"/>
    </row>
    <row r="19651" spans="5:13" x14ac:dyDescent="0.25">
      <c r="E19651"/>
      <c r="M19651"/>
    </row>
    <row r="19652" spans="5:13" x14ac:dyDescent="0.25">
      <c r="E19652"/>
      <c r="M19652"/>
    </row>
    <row r="19653" spans="5:13" x14ac:dyDescent="0.25">
      <c r="E19653"/>
      <c r="M19653"/>
    </row>
    <row r="19654" spans="5:13" x14ac:dyDescent="0.25">
      <c r="E19654"/>
      <c r="M19654"/>
    </row>
    <row r="19655" spans="5:13" x14ac:dyDescent="0.25">
      <c r="E19655"/>
      <c r="M19655"/>
    </row>
    <row r="19656" spans="5:13" x14ac:dyDescent="0.25">
      <c r="E19656"/>
      <c r="M19656"/>
    </row>
    <row r="19657" spans="5:13" x14ac:dyDescent="0.25">
      <c r="E19657"/>
      <c r="M19657"/>
    </row>
    <row r="19658" spans="5:13" x14ac:dyDescent="0.25">
      <c r="E19658"/>
      <c r="M19658"/>
    </row>
    <row r="19659" spans="5:13" x14ac:dyDescent="0.25">
      <c r="E19659"/>
      <c r="M19659"/>
    </row>
    <row r="19660" spans="5:13" x14ac:dyDescent="0.25">
      <c r="E19660"/>
      <c r="M19660"/>
    </row>
    <row r="19661" spans="5:13" x14ac:dyDescent="0.25">
      <c r="E19661"/>
      <c r="M19661"/>
    </row>
    <row r="19662" spans="5:13" x14ac:dyDescent="0.25">
      <c r="E19662"/>
      <c r="M19662"/>
    </row>
    <row r="19663" spans="5:13" x14ac:dyDescent="0.25">
      <c r="E19663"/>
      <c r="M19663"/>
    </row>
    <row r="19664" spans="5:13" x14ac:dyDescent="0.25">
      <c r="E19664"/>
      <c r="M19664"/>
    </row>
    <row r="19665" spans="5:13" x14ac:dyDescent="0.25">
      <c r="E19665"/>
      <c r="M19665"/>
    </row>
    <row r="19666" spans="5:13" x14ac:dyDescent="0.25">
      <c r="E19666"/>
      <c r="M19666"/>
    </row>
    <row r="19667" spans="5:13" x14ac:dyDescent="0.25">
      <c r="E19667"/>
      <c r="M19667"/>
    </row>
    <row r="19668" spans="5:13" x14ac:dyDescent="0.25">
      <c r="E19668"/>
      <c r="M19668"/>
    </row>
    <row r="19669" spans="5:13" x14ac:dyDescent="0.25">
      <c r="E19669"/>
      <c r="M19669"/>
    </row>
    <row r="19670" spans="5:13" x14ac:dyDescent="0.25">
      <c r="E19670"/>
      <c r="M19670"/>
    </row>
    <row r="19671" spans="5:13" x14ac:dyDescent="0.25">
      <c r="E19671"/>
      <c r="M19671"/>
    </row>
    <row r="19672" spans="5:13" x14ac:dyDescent="0.25">
      <c r="E19672"/>
      <c r="M19672"/>
    </row>
    <row r="19673" spans="5:13" x14ac:dyDescent="0.25">
      <c r="E19673"/>
      <c r="M19673"/>
    </row>
    <row r="19674" spans="5:13" x14ac:dyDescent="0.25">
      <c r="E19674"/>
      <c r="M19674"/>
    </row>
    <row r="19675" spans="5:13" x14ac:dyDescent="0.25">
      <c r="E19675"/>
      <c r="M19675"/>
    </row>
    <row r="19676" spans="5:13" x14ac:dyDescent="0.25">
      <c r="E19676"/>
      <c r="M19676"/>
    </row>
    <row r="19677" spans="5:13" x14ac:dyDescent="0.25">
      <c r="E19677"/>
      <c r="M19677"/>
    </row>
    <row r="19678" spans="5:13" x14ac:dyDescent="0.25">
      <c r="E19678"/>
      <c r="M19678"/>
    </row>
    <row r="19679" spans="5:13" x14ac:dyDescent="0.25">
      <c r="E19679"/>
      <c r="M19679"/>
    </row>
    <row r="19680" spans="5:13" x14ac:dyDescent="0.25">
      <c r="E19680"/>
      <c r="M19680"/>
    </row>
    <row r="19681" spans="5:13" x14ac:dyDescent="0.25">
      <c r="E19681"/>
      <c r="M19681"/>
    </row>
    <row r="19682" spans="5:13" x14ac:dyDescent="0.25">
      <c r="E19682"/>
      <c r="M19682"/>
    </row>
    <row r="19683" spans="5:13" x14ac:dyDescent="0.25">
      <c r="E19683"/>
      <c r="M19683"/>
    </row>
    <row r="19684" spans="5:13" x14ac:dyDescent="0.25">
      <c r="E19684"/>
      <c r="M19684"/>
    </row>
    <row r="19685" spans="5:13" x14ac:dyDescent="0.25">
      <c r="E19685"/>
      <c r="M19685"/>
    </row>
    <row r="19686" spans="5:13" x14ac:dyDescent="0.25">
      <c r="E19686"/>
      <c r="M19686"/>
    </row>
    <row r="19687" spans="5:13" x14ac:dyDescent="0.25">
      <c r="E19687"/>
      <c r="M19687"/>
    </row>
    <row r="19688" spans="5:13" x14ac:dyDescent="0.25">
      <c r="E19688"/>
      <c r="M19688"/>
    </row>
    <row r="19689" spans="5:13" x14ac:dyDescent="0.25">
      <c r="E19689"/>
      <c r="M19689"/>
    </row>
    <row r="19690" spans="5:13" x14ac:dyDescent="0.25">
      <c r="E19690"/>
      <c r="M19690"/>
    </row>
    <row r="19691" spans="5:13" x14ac:dyDescent="0.25">
      <c r="E19691"/>
      <c r="M19691"/>
    </row>
    <row r="19692" spans="5:13" x14ac:dyDescent="0.25">
      <c r="E19692"/>
      <c r="M19692"/>
    </row>
    <row r="19693" spans="5:13" x14ac:dyDescent="0.25">
      <c r="E19693"/>
      <c r="M19693"/>
    </row>
    <row r="19694" spans="5:13" x14ac:dyDescent="0.25">
      <c r="E19694"/>
      <c r="M19694"/>
    </row>
    <row r="19695" spans="5:13" x14ac:dyDescent="0.25">
      <c r="E19695"/>
      <c r="M19695"/>
    </row>
    <row r="19696" spans="5:13" x14ac:dyDescent="0.25">
      <c r="E19696"/>
      <c r="M19696"/>
    </row>
    <row r="19697" spans="5:13" x14ac:dyDescent="0.25">
      <c r="E19697"/>
      <c r="M19697"/>
    </row>
    <row r="19698" spans="5:13" x14ac:dyDescent="0.25">
      <c r="E19698"/>
      <c r="M19698"/>
    </row>
    <row r="19699" spans="5:13" x14ac:dyDescent="0.25">
      <c r="E19699"/>
      <c r="M19699"/>
    </row>
    <row r="19700" spans="5:13" x14ac:dyDescent="0.25">
      <c r="E19700"/>
      <c r="M19700"/>
    </row>
    <row r="19701" spans="5:13" x14ac:dyDescent="0.25">
      <c r="E19701"/>
      <c r="M19701"/>
    </row>
    <row r="19702" spans="5:13" x14ac:dyDescent="0.25">
      <c r="E19702"/>
      <c r="M19702"/>
    </row>
    <row r="19703" spans="5:13" x14ac:dyDescent="0.25">
      <c r="E19703"/>
      <c r="M19703"/>
    </row>
    <row r="19704" spans="5:13" x14ac:dyDescent="0.25">
      <c r="E19704"/>
      <c r="M19704"/>
    </row>
    <row r="19705" spans="5:13" x14ac:dyDescent="0.25">
      <c r="E19705"/>
      <c r="M19705"/>
    </row>
    <row r="19706" spans="5:13" x14ac:dyDescent="0.25">
      <c r="E19706"/>
      <c r="M19706"/>
    </row>
    <row r="19707" spans="5:13" x14ac:dyDescent="0.25">
      <c r="E19707"/>
      <c r="M19707"/>
    </row>
    <row r="19708" spans="5:13" x14ac:dyDescent="0.25">
      <c r="E19708"/>
      <c r="M19708"/>
    </row>
    <row r="19709" spans="5:13" x14ac:dyDescent="0.25">
      <c r="E19709"/>
      <c r="M19709"/>
    </row>
    <row r="19710" spans="5:13" x14ac:dyDescent="0.25">
      <c r="E19710"/>
      <c r="M19710"/>
    </row>
    <row r="19711" spans="5:13" x14ac:dyDescent="0.25">
      <c r="E19711"/>
      <c r="M19711"/>
    </row>
    <row r="19712" spans="5:13" x14ac:dyDescent="0.25">
      <c r="E19712"/>
      <c r="M19712"/>
    </row>
    <row r="19713" spans="5:13" x14ac:dyDescent="0.25">
      <c r="E19713"/>
      <c r="M19713"/>
    </row>
    <row r="19714" spans="5:13" x14ac:dyDescent="0.25">
      <c r="E19714"/>
      <c r="M19714"/>
    </row>
    <row r="19715" spans="5:13" x14ac:dyDescent="0.25">
      <c r="E19715"/>
      <c r="M19715"/>
    </row>
    <row r="19716" spans="5:13" x14ac:dyDescent="0.25">
      <c r="E19716"/>
      <c r="M19716"/>
    </row>
    <row r="19717" spans="5:13" x14ac:dyDescent="0.25">
      <c r="E19717"/>
      <c r="M19717"/>
    </row>
    <row r="19718" spans="5:13" x14ac:dyDescent="0.25">
      <c r="E19718"/>
      <c r="M19718"/>
    </row>
    <row r="19719" spans="5:13" x14ac:dyDescent="0.25">
      <c r="E19719"/>
      <c r="M19719"/>
    </row>
    <row r="19720" spans="5:13" x14ac:dyDescent="0.25">
      <c r="E19720"/>
      <c r="M19720"/>
    </row>
    <row r="19721" spans="5:13" x14ac:dyDescent="0.25">
      <c r="E19721"/>
      <c r="M19721"/>
    </row>
    <row r="19722" spans="5:13" x14ac:dyDescent="0.25">
      <c r="E19722"/>
      <c r="M19722"/>
    </row>
    <row r="19723" spans="5:13" x14ac:dyDescent="0.25">
      <c r="E19723"/>
      <c r="M19723"/>
    </row>
    <row r="19724" spans="5:13" x14ac:dyDescent="0.25">
      <c r="E19724"/>
      <c r="M19724"/>
    </row>
    <row r="19725" spans="5:13" x14ac:dyDescent="0.25">
      <c r="E19725"/>
      <c r="M19725"/>
    </row>
    <row r="19726" spans="5:13" x14ac:dyDescent="0.25">
      <c r="E19726"/>
      <c r="M19726"/>
    </row>
    <row r="19727" spans="5:13" x14ac:dyDescent="0.25">
      <c r="E19727"/>
      <c r="M19727"/>
    </row>
    <row r="19728" spans="5:13" x14ac:dyDescent="0.25">
      <c r="E19728"/>
      <c r="M19728"/>
    </row>
    <row r="19729" spans="5:13" x14ac:dyDescent="0.25">
      <c r="E19729"/>
      <c r="M19729"/>
    </row>
    <row r="19730" spans="5:13" x14ac:dyDescent="0.25">
      <c r="E19730"/>
      <c r="M19730"/>
    </row>
    <row r="19731" spans="5:13" x14ac:dyDescent="0.25">
      <c r="E19731"/>
      <c r="M19731"/>
    </row>
    <row r="19732" spans="5:13" x14ac:dyDescent="0.25">
      <c r="E19732"/>
      <c r="M19732"/>
    </row>
    <row r="19733" spans="5:13" x14ac:dyDescent="0.25">
      <c r="E19733"/>
      <c r="M19733"/>
    </row>
    <row r="19734" spans="5:13" x14ac:dyDescent="0.25">
      <c r="E19734"/>
      <c r="M19734"/>
    </row>
    <row r="19735" spans="5:13" x14ac:dyDescent="0.25">
      <c r="E19735"/>
      <c r="M19735"/>
    </row>
    <row r="19736" spans="5:13" x14ac:dyDescent="0.25">
      <c r="E19736"/>
      <c r="M19736"/>
    </row>
    <row r="19737" spans="5:13" x14ac:dyDescent="0.25">
      <c r="E19737"/>
      <c r="M19737"/>
    </row>
    <row r="19738" spans="5:13" x14ac:dyDescent="0.25">
      <c r="E19738"/>
      <c r="M19738"/>
    </row>
    <row r="19739" spans="5:13" x14ac:dyDescent="0.25">
      <c r="E19739"/>
      <c r="M19739"/>
    </row>
    <row r="19740" spans="5:13" x14ac:dyDescent="0.25">
      <c r="E19740"/>
      <c r="M19740"/>
    </row>
    <row r="19741" spans="5:13" x14ac:dyDescent="0.25">
      <c r="E19741"/>
      <c r="M19741"/>
    </row>
    <row r="19742" spans="5:13" x14ac:dyDescent="0.25">
      <c r="E19742"/>
      <c r="M19742"/>
    </row>
    <row r="19743" spans="5:13" x14ac:dyDescent="0.25">
      <c r="E19743"/>
      <c r="M19743"/>
    </row>
    <row r="19744" spans="5:13" x14ac:dyDescent="0.25">
      <c r="E19744"/>
      <c r="M19744"/>
    </row>
    <row r="19745" spans="5:13" x14ac:dyDescent="0.25">
      <c r="E19745"/>
      <c r="M19745"/>
    </row>
    <row r="19746" spans="5:13" x14ac:dyDescent="0.25">
      <c r="E19746"/>
      <c r="M19746"/>
    </row>
    <row r="19747" spans="5:13" x14ac:dyDescent="0.25">
      <c r="E19747"/>
      <c r="M19747"/>
    </row>
    <row r="19748" spans="5:13" x14ac:dyDescent="0.25">
      <c r="E19748"/>
      <c r="M19748"/>
    </row>
    <row r="19749" spans="5:13" x14ac:dyDescent="0.25">
      <c r="E19749"/>
      <c r="M19749"/>
    </row>
    <row r="19750" spans="5:13" x14ac:dyDescent="0.25">
      <c r="E19750"/>
      <c r="M19750"/>
    </row>
    <row r="19751" spans="5:13" x14ac:dyDescent="0.25">
      <c r="E19751"/>
      <c r="M19751"/>
    </row>
    <row r="19752" spans="5:13" x14ac:dyDescent="0.25">
      <c r="E19752"/>
      <c r="M19752"/>
    </row>
    <row r="19753" spans="5:13" x14ac:dyDescent="0.25">
      <c r="E19753"/>
      <c r="M19753"/>
    </row>
    <row r="19754" spans="5:13" x14ac:dyDescent="0.25">
      <c r="E19754"/>
      <c r="M19754"/>
    </row>
    <row r="19755" spans="5:13" x14ac:dyDescent="0.25">
      <c r="E19755"/>
      <c r="M19755"/>
    </row>
    <row r="19756" spans="5:13" x14ac:dyDescent="0.25">
      <c r="E19756"/>
      <c r="M19756"/>
    </row>
    <row r="19757" spans="5:13" x14ac:dyDescent="0.25">
      <c r="E19757"/>
      <c r="M19757"/>
    </row>
    <row r="19758" spans="5:13" x14ac:dyDescent="0.25">
      <c r="E19758"/>
      <c r="M19758"/>
    </row>
    <row r="19759" spans="5:13" x14ac:dyDescent="0.25">
      <c r="E19759"/>
      <c r="M19759"/>
    </row>
    <row r="19760" spans="5:13" x14ac:dyDescent="0.25">
      <c r="E19760"/>
      <c r="M19760"/>
    </row>
    <row r="19761" spans="5:13" x14ac:dyDescent="0.25">
      <c r="E19761"/>
      <c r="M19761"/>
    </row>
    <row r="19762" spans="5:13" x14ac:dyDescent="0.25">
      <c r="E19762"/>
      <c r="M19762"/>
    </row>
    <row r="19763" spans="5:13" x14ac:dyDescent="0.25">
      <c r="E19763"/>
      <c r="M19763"/>
    </row>
    <row r="19764" spans="5:13" x14ac:dyDescent="0.25">
      <c r="E19764"/>
      <c r="M19764"/>
    </row>
    <row r="19765" spans="5:13" x14ac:dyDescent="0.25">
      <c r="E19765"/>
      <c r="M19765"/>
    </row>
    <row r="19766" spans="5:13" x14ac:dyDescent="0.25">
      <c r="E19766"/>
      <c r="M19766"/>
    </row>
    <row r="19767" spans="5:13" x14ac:dyDescent="0.25">
      <c r="E19767"/>
      <c r="M19767"/>
    </row>
    <row r="19768" spans="5:13" x14ac:dyDescent="0.25">
      <c r="E19768"/>
      <c r="M19768"/>
    </row>
    <row r="19769" spans="5:13" x14ac:dyDescent="0.25">
      <c r="E19769"/>
      <c r="M19769"/>
    </row>
    <row r="19770" spans="5:13" x14ac:dyDescent="0.25">
      <c r="E19770"/>
      <c r="M19770"/>
    </row>
    <row r="19771" spans="5:13" x14ac:dyDescent="0.25">
      <c r="E19771"/>
      <c r="M19771"/>
    </row>
    <row r="19772" spans="5:13" x14ac:dyDescent="0.25">
      <c r="E19772"/>
      <c r="M19772"/>
    </row>
    <row r="19773" spans="5:13" x14ac:dyDescent="0.25">
      <c r="E19773"/>
      <c r="M19773"/>
    </row>
    <row r="19774" spans="5:13" x14ac:dyDescent="0.25">
      <c r="E19774"/>
      <c r="M19774"/>
    </row>
    <row r="19775" spans="5:13" x14ac:dyDescent="0.25">
      <c r="E19775"/>
      <c r="M19775"/>
    </row>
    <row r="19776" spans="5:13" x14ac:dyDescent="0.25">
      <c r="E19776"/>
      <c r="M19776"/>
    </row>
    <row r="19777" spans="5:13" x14ac:dyDescent="0.25">
      <c r="E19777"/>
      <c r="M19777"/>
    </row>
    <row r="19778" spans="5:13" x14ac:dyDescent="0.25">
      <c r="E19778"/>
      <c r="M19778"/>
    </row>
    <row r="19779" spans="5:13" x14ac:dyDescent="0.25">
      <c r="E19779"/>
      <c r="M19779"/>
    </row>
    <row r="19780" spans="5:13" x14ac:dyDescent="0.25">
      <c r="E19780"/>
      <c r="M19780"/>
    </row>
    <row r="19781" spans="5:13" x14ac:dyDescent="0.25">
      <c r="E19781"/>
      <c r="M19781"/>
    </row>
    <row r="19782" spans="5:13" x14ac:dyDescent="0.25">
      <c r="E19782"/>
      <c r="M19782"/>
    </row>
    <row r="19783" spans="5:13" x14ac:dyDescent="0.25">
      <c r="E19783"/>
      <c r="M19783"/>
    </row>
    <row r="19784" spans="5:13" x14ac:dyDescent="0.25">
      <c r="E19784"/>
      <c r="M19784"/>
    </row>
    <row r="19785" spans="5:13" x14ac:dyDescent="0.25">
      <c r="E19785"/>
      <c r="M19785"/>
    </row>
    <row r="19786" spans="5:13" x14ac:dyDescent="0.25">
      <c r="E19786"/>
      <c r="M19786"/>
    </row>
    <row r="19787" spans="5:13" x14ac:dyDescent="0.25">
      <c r="E19787"/>
      <c r="M19787"/>
    </row>
    <row r="19788" spans="5:13" x14ac:dyDescent="0.25">
      <c r="E19788"/>
      <c r="M19788"/>
    </row>
    <row r="19789" spans="5:13" x14ac:dyDescent="0.25">
      <c r="E19789"/>
      <c r="M19789"/>
    </row>
    <row r="19790" spans="5:13" x14ac:dyDescent="0.25">
      <c r="E19790"/>
      <c r="M19790"/>
    </row>
    <row r="19791" spans="5:13" x14ac:dyDescent="0.25">
      <c r="E19791"/>
      <c r="M19791"/>
    </row>
    <row r="19792" spans="5:13" x14ac:dyDescent="0.25">
      <c r="E19792"/>
      <c r="M19792"/>
    </row>
    <row r="19793" spans="5:13" x14ac:dyDescent="0.25">
      <c r="E19793"/>
      <c r="M19793"/>
    </row>
    <row r="19794" spans="5:13" x14ac:dyDescent="0.25">
      <c r="E19794"/>
      <c r="M19794"/>
    </row>
    <row r="19795" spans="5:13" x14ac:dyDescent="0.25">
      <c r="E19795"/>
      <c r="M19795"/>
    </row>
    <row r="19796" spans="5:13" x14ac:dyDescent="0.25">
      <c r="E19796"/>
      <c r="M19796"/>
    </row>
    <row r="19797" spans="5:13" x14ac:dyDescent="0.25">
      <c r="E19797"/>
      <c r="M19797"/>
    </row>
    <row r="19798" spans="5:13" x14ac:dyDescent="0.25">
      <c r="E19798"/>
      <c r="M19798"/>
    </row>
    <row r="19799" spans="5:13" x14ac:dyDescent="0.25">
      <c r="E19799"/>
      <c r="M19799"/>
    </row>
    <row r="19800" spans="5:13" x14ac:dyDescent="0.25">
      <c r="E19800"/>
      <c r="M19800"/>
    </row>
    <row r="19801" spans="5:13" x14ac:dyDescent="0.25">
      <c r="E19801"/>
      <c r="M19801"/>
    </row>
    <row r="19802" spans="5:13" x14ac:dyDescent="0.25">
      <c r="E19802"/>
      <c r="M19802"/>
    </row>
    <row r="19803" spans="5:13" x14ac:dyDescent="0.25">
      <c r="E19803"/>
      <c r="M19803"/>
    </row>
    <row r="19804" spans="5:13" x14ac:dyDescent="0.25">
      <c r="E19804"/>
      <c r="M19804"/>
    </row>
    <row r="19805" spans="5:13" x14ac:dyDescent="0.25">
      <c r="E19805"/>
      <c r="M19805"/>
    </row>
    <row r="19806" spans="5:13" x14ac:dyDescent="0.25">
      <c r="E19806"/>
      <c r="M19806"/>
    </row>
    <row r="19807" spans="5:13" x14ac:dyDescent="0.25">
      <c r="E19807"/>
      <c r="M19807"/>
    </row>
    <row r="19808" spans="5:13" x14ac:dyDescent="0.25">
      <c r="E19808"/>
      <c r="M19808"/>
    </row>
    <row r="19809" spans="5:13" x14ac:dyDescent="0.25">
      <c r="E19809"/>
      <c r="M19809"/>
    </row>
    <row r="19810" spans="5:13" x14ac:dyDescent="0.25">
      <c r="E19810"/>
      <c r="M19810"/>
    </row>
    <row r="19811" spans="5:13" x14ac:dyDescent="0.25">
      <c r="E19811"/>
      <c r="M19811"/>
    </row>
    <row r="19812" spans="5:13" x14ac:dyDescent="0.25">
      <c r="E19812"/>
      <c r="M19812"/>
    </row>
    <row r="19813" spans="5:13" x14ac:dyDescent="0.25">
      <c r="E19813"/>
      <c r="M19813"/>
    </row>
    <row r="19814" spans="5:13" x14ac:dyDescent="0.25">
      <c r="E19814"/>
      <c r="M19814"/>
    </row>
    <row r="19815" spans="5:13" x14ac:dyDescent="0.25">
      <c r="E19815"/>
      <c r="M19815"/>
    </row>
    <row r="19816" spans="5:13" x14ac:dyDescent="0.25">
      <c r="E19816"/>
      <c r="M19816"/>
    </row>
    <row r="19817" spans="5:13" x14ac:dyDescent="0.25">
      <c r="E19817"/>
      <c r="M19817"/>
    </row>
    <row r="19818" spans="5:13" x14ac:dyDescent="0.25">
      <c r="E19818"/>
      <c r="M19818"/>
    </row>
    <row r="19819" spans="5:13" x14ac:dyDescent="0.25">
      <c r="E19819"/>
      <c r="M19819"/>
    </row>
    <row r="19820" spans="5:13" x14ac:dyDescent="0.25">
      <c r="E19820"/>
      <c r="M19820"/>
    </row>
    <row r="19821" spans="5:13" x14ac:dyDescent="0.25">
      <c r="E19821"/>
      <c r="M19821"/>
    </row>
    <row r="19822" spans="5:13" x14ac:dyDescent="0.25">
      <c r="E19822"/>
      <c r="M19822"/>
    </row>
    <row r="19823" spans="5:13" x14ac:dyDescent="0.25">
      <c r="E19823"/>
      <c r="M19823"/>
    </row>
    <row r="19824" spans="5:13" x14ac:dyDescent="0.25">
      <c r="E19824"/>
      <c r="M19824"/>
    </row>
    <row r="19825" spans="5:13" x14ac:dyDescent="0.25">
      <c r="E19825"/>
      <c r="M19825"/>
    </row>
    <row r="19826" spans="5:13" x14ac:dyDescent="0.25">
      <c r="E19826"/>
      <c r="M19826"/>
    </row>
    <row r="19827" spans="5:13" x14ac:dyDescent="0.25">
      <c r="E19827"/>
      <c r="M19827"/>
    </row>
    <row r="19828" spans="5:13" x14ac:dyDescent="0.25">
      <c r="E19828"/>
      <c r="M19828"/>
    </row>
    <row r="19829" spans="5:13" x14ac:dyDescent="0.25">
      <c r="E19829"/>
      <c r="M19829"/>
    </row>
    <row r="19830" spans="5:13" x14ac:dyDescent="0.25">
      <c r="E19830"/>
      <c r="M19830"/>
    </row>
    <row r="19831" spans="5:13" x14ac:dyDescent="0.25">
      <c r="E19831"/>
      <c r="M19831"/>
    </row>
    <row r="19832" spans="5:13" x14ac:dyDescent="0.25">
      <c r="E19832"/>
      <c r="M19832"/>
    </row>
    <row r="19833" spans="5:13" x14ac:dyDescent="0.25">
      <c r="E19833"/>
      <c r="M19833"/>
    </row>
    <row r="19834" spans="5:13" x14ac:dyDescent="0.25">
      <c r="E19834"/>
      <c r="M19834"/>
    </row>
    <row r="19835" spans="5:13" x14ac:dyDescent="0.25">
      <c r="E19835"/>
      <c r="M19835"/>
    </row>
    <row r="19836" spans="5:13" x14ac:dyDescent="0.25">
      <c r="E19836"/>
      <c r="M19836"/>
    </row>
    <row r="19837" spans="5:13" x14ac:dyDescent="0.25">
      <c r="E19837"/>
      <c r="M19837"/>
    </row>
    <row r="19838" spans="5:13" x14ac:dyDescent="0.25">
      <c r="E19838"/>
      <c r="M19838"/>
    </row>
    <row r="19839" spans="5:13" x14ac:dyDescent="0.25">
      <c r="E19839"/>
      <c r="M19839"/>
    </row>
    <row r="19840" spans="5:13" x14ac:dyDescent="0.25">
      <c r="E19840"/>
      <c r="M19840"/>
    </row>
    <row r="19841" spans="5:13" x14ac:dyDescent="0.25">
      <c r="E19841"/>
      <c r="M19841"/>
    </row>
    <row r="19842" spans="5:13" x14ac:dyDescent="0.25">
      <c r="E19842"/>
      <c r="M19842"/>
    </row>
    <row r="19843" spans="5:13" x14ac:dyDescent="0.25">
      <c r="E19843"/>
      <c r="M19843"/>
    </row>
    <row r="19844" spans="5:13" x14ac:dyDescent="0.25">
      <c r="E19844"/>
      <c r="M19844"/>
    </row>
    <row r="19845" spans="5:13" x14ac:dyDescent="0.25">
      <c r="E19845"/>
      <c r="M19845"/>
    </row>
    <row r="19846" spans="5:13" x14ac:dyDescent="0.25">
      <c r="E19846"/>
      <c r="M19846"/>
    </row>
    <row r="19847" spans="5:13" x14ac:dyDescent="0.25">
      <c r="E19847"/>
      <c r="M19847"/>
    </row>
    <row r="19848" spans="5:13" x14ac:dyDescent="0.25">
      <c r="E19848"/>
      <c r="M19848"/>
    </row>
    <row r="19849" spans="5:13" x14ac:dyDescent="0.25">
      <c r="E19849"/>
      <c r="M19849"/>
    </row>
    <row r="19850" spans="5:13" x14ac:dyDescent="0.25">
      <c r="E19850"/>
      <c r="M19850"/>
    </row>
    <row r="19851" spans="5:13" x14ac:dyDescent="0.25">
      <c r="E19851"/>
      <c r="M19851"/>
    </row>
    <row r="19852" spans="5:13" x14ac:dyDescent="0.25">
      <c r="E19852"/>
      <c r="M19852"/>
    </row>
    <row r="19853" spans="5:13" x14ac:dyDescent="0.25">
      <c r="E19853"/>
      <c r="M19853"/>
    </row>
    <row r="19854" spans="5:13" x14ac:dyDescent="0.25">
      <c r="E19854"/>
      <c r="M19854"/>
    </row>
    <row r="19855" spans="5:13" x14ac:dyDescent="0.25">
      <c r="E19855"/>
      <c r="M19855"/>
    </row>
    <row r="19856" spans="5:13" x14ac:dyDescent="0.25">
      <c r="E19856"/>
      <c r="M19856"/>
    </row>
    <row r="19857" spans="5:13" x14ac:dyDescent="0.25">
      <c r="E19857"/>
      <c r="M19857"/>
    </row>
    <row r="19858" spans="5:13" x14ac:dyDescent="0.25">
      <c r="E19858"/>
      <c r="M19858"/>
    </row>
    <row r="19859" spans="5:13" x14ac:dyDescent="0.25">
      <c r="E19859"/>
      <c r="M19859"/>
    </row>
    <row r="19860" spans="5:13" x14ac:dyDescent="0.25">
      <c r="E19860"/>
      <c r="M19860"/>
    </row>
    <row r="19861" spans="5:13" x14ac:dyDescent="0.25">
      <c r="E19861"/>
      <c r="M19861"/>
    </row>
    <row r="19862" spans="5:13" x14ac:dyDescent="0.25">
      <c r="E19862"/>
      <c r="M19862"/>
    </row>
    <row r="19863" spans="5:13" x14ac:dyDescent="0.25">
      <c r="E19863"/>
      <c r="M19863"/>
    </row>
    <row r="19864" spans="5:13" x14ac:dyDescent="0.25">
      <c r="E19864"/>
      <c r="M19864"/>
    </row>
    <row r="19865" spans="5:13" x14ac:dyDescent="0.25">
      <c r="E19865"/>
      <c r="M19865"/>
    </row>
    <row r="19866" spans="5:13" x14ac:dyDescent="0.25">
      <c r="E19866"/>
      <c r="M19866"/>
    </row>
    <row r="19867" spans="5:13" x14ac:dyDescent="0.25">
      <c r="E19867"/>
      <c r="M19867"/>
    </row>
    <row r="19868" spans="5:13" x14ac:dyDescent="0.25">
      <c r="E19868"/>
      <c r="M19868"/>
    </row>
    <row r="19869" spans="5:13" x14ac:dyDescent="0.25">
      <c r="E19869"/>
      <c r="M19869"/>
    </row>
    <row r="19870" spans="5:13" x14ac:dyDescent="0.25">
      <c r="E19870"/>
      <c r="M19870"/>
    </row>
    <row r="19871" spans="5:13" x14ac:dyDescent="0.25">
      <c r="E19871"/>
      <c r="M19871"/>
    </row>
    <row r="19872" spans="5:13" x14ac:dyDescent="0.25">
      <c r="E19872"/>
      <c r="M19872"/>
    </row>
    <row r="19873" spans="5:13" x14ac:dyDescent="0.25">
      <c r="E19873"/>
      <c r="M19873"/>
    </row>
    <row r="19874" spans="5:13" x14ac:dyDescent="0.25">
      <c r="E19874"/>
      <c r="M19874"/>
    </row>
    <row r="19875" spans="5:13" x14ac:dyDescent="0.25">
      <c r="E19875"/>
      <c r="M19875"/>
    </row>
    <row r="19876" spans="5:13" x14ac:dyDescent="0.25">
      <c r="E19876"/>
      <c r="M19876"/>
    </row>
    <row r="19877" spans="5:13" x14ac:dyDescent="0.25">
      <c r="E19877"/>
      <c r="M19877"/>
    </row>
    <row r="19878" spans="5:13" x14ac:dyDescent="0.25">
      <c r="E19878"/>
      <c r="M19878"/>
    </row>
    <row r="19879" spans="5:13" x14ac:dyDescent="0.25">
      <c r="E19879"/>
      <c r="M19879"/>
    </row>
    <row r="19880" spans="5:13" x14ac:dyDescent="0.25">
      <c r="E19880"/>
      <c r="M19880"/>
    </row>
    <row r="19881" spans="5:13" x14ac:dyDescent="0.25">
      <c r="E19881"/>
      <c r="M19881"/>
    </row>
    <row r="19882" spans="5:13" x14ac:dyDescent="0.25">
      <c r="E19882"/>
      <c r="M19882"/>
    </row>
    <row r="19883" spans="5:13" x14ac:dyDescent="0.25">
      <c r="E19883"/>
      <c r="M19883"/>
    </row>
    <row r="19884" spans="5:13" x14ac:dyDescent="0.25">
      <c r="E19884"/>
      <c r="M19884"/>
    </row>
    <row r="19885" spans="5:13" x14ac:dyDescent="0.25">
      <c r="E19885"/>
      <c r="M19885"/>
    </row>
    <row r="19886" spans="5:13" x14ac:dyDescent="0.25">
      <c r="E19886"/>
      <c r="M19886"/>
    </row>
    <row r="19887" spans="5:13" x14ac:dyDescent="0.25">
      <c r="E19887"/>
      <c r="M19887"/>
    </row>
    <row r="19888" spans="5:13" x14ac:dyDescent="0.25">
      <c r="E19888"/>
      <c r="M19888"/>
    </row>
    <row r="19889" spans="5:13" x14ac:dyDescent="0.25">
      <c r="E19889"/>
      <c r="M19889"/>
    </row>
    <row r="19890" spans="5:13" x14ac:dyDescent="0.25">
      <c r="E19890"/>
      <c r="M19890"/>
    </row>
    <row r="19891" spans="5:13" x14ac:dyDescent="0.25">
      <c r="E19891"/>
      <c r="M19891"/>
    </row>
    <row r="19892" spans="5:13" x14ac:dyDescent="0.25">
      <c r="E19892"/>
      <c r="M19892"/>
    </row>
    <row r="19893" spans="5:13" x14ac:dyDescent="0.25">
      <c r="E19893"/>
      <c r="M19893"/>
    </row>
    <row r="19894" spans="5:13" x14ac:dyDescent="0.25">
      <c r="E19894"/>
      <c r="M19894"/>
    </row>
    <row r="19895" spans="5:13" x14ac:dyDescent="0.25">
      <c r="E19895"/>
      <c r="M19895"/>
    </row>
    <row r="19896" spans="5:13" x14ac:dyDescent="0.25">
      <c r="E19896"/>
      <c r="M19896"/>
    </row>
    <row r="19897" spans="5:13" x14ac:dyDescent="0.25">
      <c r="E19897"/>
      <c r="M19897"/>
    </row>
    <row r="19898" spans="5:13" x14ac:dyDescent="0.25">
      <c r="E19898"/>
      <c r="M19898"/>
    </row>
    <row r="19899" spans="5:13" x14ac:dyDescent="0.25">
      <c r="E19899"/>
      <c r="M19899"/>
    </row>
    <row r="19900" spans="5:13" x14ac:dyDescent="0.25">
      <c r="E19900"/>
      <c r="M19900"/>
    </row>
    <row r="19901" spans="5:13" x14ac:dyDescent="0.25">
      <c r="E19901"/>
      <c r="M19901"/>
    </row>
    <row r="19902" spans="5:13" x14ac:dyDescent="0.25">
      <c r="E19902"/>
      <c r="M19902"/>
    </row>
    <row r="19903" spans="5:13" x14ac:dyDescent="0.25">
      <c r="E19903"/>
      <c r="M19903"/>
    </row>
    <row r="19904" spans="5:13" x14ac:dyDescent="0.25">
      <c r="E19904"/>
      <c r="M19904"/>
    </row>
    <row r="19905" spans="5:13" x14ac:dyDescent="0.25">
      <c r="E19905"/>
      <c r="M19905"/>
    </row>
    <row r="19906" spans="5:13" x14ac:dyDescent="0.25">
      <c r="E19906"/>
      <c r="M19906"/>
    </row>
    <row r="19907" spans="5:13" x14ac:dyDescent="0.25">
      <c r="E19907"/>
      <c r="M19907"/>
    </row>
    <row r="19908" spans="5:13" x14ac:dyDescent="0.25">
      <c r="E19908"/>
      <c r="M19908"/>
    </row>
    <row r="19909" spans="5:13" x14ac:dyDescent="0.25">
      <c r="E19909"/>
      <c r="M19909"/>
    </row>
    <row r="19910" spans="5:13" x14ac:dyDescent="0.25">
      <c r="E19910"/>
      <c r="M19910"/>
    </row>
    <row r="19911" spans="5:13" x14ac:dyDescent="0.25">
      <c r="E19911"/>
      <c r="M19911"/>
    </row>
    <row r="19912" spans="5:13" x14ac:dyDescent="0.25">
      <c r="E19912"/>
      <c r="M19912"/>
    </row>
    <row r="19913" spans="5:13" x14ac:dyDescent="0.25">
      <c r="E19913"/>
      <c r="M19913"/>
    </row>
    <row r="19914" spans="5:13" x14ac:dyDescent="0.25">
      <c r="E19914"/>
      <c r="M19914"/>
    </row>
    <row r="19915" spans="5:13" x14ac:dyDescent="0.25">
      <c r="E19915"/>
      <c r="M19915"/>
    </row>
    <row r="19916" spans="5:13" x14ac:dyDescent="0.25">
      <c r="E19916"/>
      <c r="M19916"/>
    </row>
    <row r="19917" spans="5:13" x14ac:dyDescent="0.25">
      <c r="E19917"/>
      <c r="M19917"/>
    </row>
    <row r="19918" spans="5:13" x14ac:dyDescent="0.25">
      <c r="E19918"/>
      <c r="M19918"/>
    </row>
    <row r="19919" spans="5:13" x14ac:dyDescent="0.25">
      <c r="E19919"/>
      <c r="M19919"/>
    </row>
    <row r="19920" spans="5:13" x14ac:dyDescent="0.25">
      <c r="E19920"/>
      <c r="M19920"/>
    </row>
    <row r="19921" spans="5:13" x14ac:dyDescent="0.25">
      <c r="E19921"/>
      <c r="M19921"/>
    </row>
    <row r="19922" spans="5:13" x14ac:dyDescent="0.25">
      <c r="E19922"/>
      <c r="M19922"/>
    </row>
    <row r="19923" spans="5:13" x14ac:dyDescent="0.25">
      <c r="E19923"/>
      <c r="M19923"/>
    </row>
    <row r="19924" spans="5:13" x14ac:dyDescent="0.25">
      <c r="E19924"/>
      <c r="M19924"/>
    </row>
    <row r="19925" spans="5:13" x14ac:dyDescent="0.25">
      <c r="E19925"/>
      <c r="M19925"/>
    </row>
    <row r="19926" spans="5:13" x14ac:dyDescent="0.25">
      <c r="E19926"/>
      <c r="M19926"/>
    </row>
    <row r="19927" spans="5:13" x14ac:dyDescent="0.25">
      <c r="E19927"/>
      <c r="M19927"/>
    </row>
    <row r="19928" spans="5:13" x14ac:dyDescent="0.25">
      <c r="E19928"/>
      <c r="M19928"/>
    </row>
    <row r="19929" spans="5:13" x14ac:dyDescent="0.25">
      <c r="E19929"/>
      <c r="M19929"/>
    </row>
    <row r="19930" spans="5:13" x14ac:dyDescent="0.25">
      <c r="E19930"/>
      <c r="M19930"/>
    </row>
    <row r="19931" spans="5:13" x14ac:dyDescent="0.25">
      <c r="E19931"/>
      <c r="M19931"/>
    </row>
    <row r="19932" spans="5:13" x14ac:dyDescent="0.25">
      <c r="E19932"/>
      <c r="M19932"/>
    </row>
    <row r="19933" spans="5:13" x14ac:dyDescent="0.25">
      <c r="E19933"/>
      <c r="M19933"/>
    </row>
    <row r="19934" spans="5:13" x14ac:dyDescent="0.25">
      <c r="E19934"/>
      <c r="M19934"/>
    </row>
    <row r="19935" spans="5:13" x14ac:dyDescent="0.25">
      <c r="E19935"/>
      <c r="M19935"/>
    </row>
    <row r="19936" spans="5:13" x14ac:dyDescent="0.25">
      <c r="E19936"/>
      <c r="M19936"/>
    </row>
    <row r="19937" spans="5:13" x14ac:dyDescent="0.25">
      <c r="E19937"/>
      <c r="M19937"/>
    </row>
    <row r="19938" spans="5:13" x14ac:dyDescent="0.25">
      <c r="E19938"/>
      <c r="M19938"/>
    </row>
    <row r="19939" spans="5:13" x14ac:dyDescent="0.25">
      <c r="E19939"/>
      <c r="M19939"/>
    </row>
    <row r="19940" spans="5:13" x14ac:dyDescent="0.25">
      <c r="E19940"/>
      <c r="M19940"/>
    </row>
    <row r="19941" spans="5:13" x14ac:dyDescent="0.25">
      <c r="E19941"/>
      <c r="M19941"/>
    </row>
    <row r="19942" spans="5:13" x14ac:dyDescent="0.25">
      <c r="E19942"/>
      <c r="M19942"/>
    </row>
    <row r="19943" spans="5:13" x14ac:dyDescent="0.25">
      <c r="E19943"/>
      <c r="M19943"/>
    </row>
    <row r="19944" spans="5:13" x14ac:dyDescent="0.25">
      <c r="E19944"/>
      <c r="M19944"/>
    </row>
    <row r="19945" spans="5:13" x14ac:dyDescent="0.25">
      <c r="E19945"/>
      <c r="M19945"/>
    </row>
    <row r="19946" spans="5:13" x14ac:dyDescent="0.25">
      <c r="E19946"/>
      <c r="M19946"/>
    </row>
    <row r="19947" spans="5:13" x14ac:dyDescent="0.25">
      <c r="E19947"/>
      <c r="M19947"/>
    </row>
    <row r="19948" spans="5:13" x14ac:dyDescent="0.25">
      <c r="E19948"/>
      <c r="M19948"/>
    </row>
    <row r="19949" spans="5:13" x14ac:dyDescent="0.25">
      <c r="E19949"/>
      <c r="M19949"/>
    </row>
    <row r="19950" spans="5:13" x14ac:dyDescent="0.25">
      <c r="E19950"/>
      <c r="M19950"/>
    </row>
    <row r="19951" spans="5:13" x14ac:dyDescent="0.25">
      <c r="E19951"/>
      <c r="M19951"/>
    </row>
    <row r="19952" spans="5:13" x14ac:dyDescent="0.25">
      <c r="E19952"/>
      <c r="M19952"/>
    </row>
    <row r="19953" spans="5:13" x14ac:dyDescent="0.25">
      <c r="E19953"/>
      <c r="M19953"/>
    </row>
    <row r="19954" spans="5:13" x14ac:dyDescent="0.25">
      <c r="E19954"/>
      <c r="M19954"/>
    </row>
    <row r="19955" spans="5:13" x14ac:dyDescent="0.25">
      <c r="E19955"/>
      <c r="M19955"/>
    </row>
    <row r="19956" spans="5:13" x14ac:dyDescent="0.25">
      <c r="E19956"/>
      <c r="M19956"/>
    </row>
    <row r="19957" spans="5:13" x14ac:dyDescent="0.25">
      <c r="E19957"/>
      <c r="M19957"/>
    </row>
    <row r="19958" spans="5:13" x14ac:dyDescent="0.25">
      <c r="E19958"/>
      <c r="M19958"/>
    </row>
    <row r="19959" spans="5:13" x14ac:dyDescent="0.25">
      <c r="E19959"/>
      <c r="M19959"/>
    </row>
    <row r="19960" spans="5:13" x14ac:dyDescent="0.25">
      <c r="E19960"/>
      <c r="M19960"/>
    </row>
    <row r="19961" spans="5:13" x14ac:dyDescent="0.25">
      <c r="E19961"/>
      <c r="M19961"/>
    </row>
    <row r="19962" spans="5:13" x14ac:dyDescent="0.25">
      <c r="E19962"/>
      <c r="M19962"/>
    </row>
    <row r="19963" spans="5:13" x14ac:dyDescent="0.25">
      <c r="E19963"/>
      <c r="M19963"/>
    </row>
    <row r="19964" spans="5:13" x14ac:dyDescent="0.25">
      <c r="E19964"/>
      <c r="M19964"/>
    </row>
    <row r="19965" spans="5:13" x14ac:dyDescent="0.25">
      <c r="E19965"/>
      <c r="M19965"/>
    </row>
    <row r="19966" spans="5:13" x14ac:dyDescent="0.25">
      <c r="E19966"/>
      <c r="M19966"/>
    </row>
    <row r="19967" spans="5:13" x14ac:dyDescent="0.25">
      <c r="E19967"/>
      <c r="M19967"/>
    </row>
    <row r="19968" spans="5:13" x14ac:dyDescent="0.25">
      <c r="E19968"/>
      <c r="M19968"/>
    </row>
    <row r="19969" spans="5:13" x14ac:dyDescent="0.25">
      <c r="E19969"/>
      <c r="M19969"/>
    </row>
    <row r="19970" spans="5:13" x14ac:dyDescent="0.25">
      <c r="E19970"/>
      <c r="M19970"/>
    </row>
    <row r="19971" spans="5:13" x14ac:dyDescent="0.25">
      <c r="E19971"/>
      <c r="M19971"/>
    </row>
    <row r="19972" spans="5:13" x14ac:dyDescent="0.25">
      <c r="E19972"/>
      <c r="M19972"/>
    </row>
    <row r="19973" spans="5:13" x14ac:dyDescent="0.25">
      <c r="E19973"/>
      <c r="M19973"/>
    </row>
    <row r="19974" spans="5:13" x14ac:dyDescent="0.25">
      <c r="E19974"/>
      <c r="M19974"/>
    </row>
    <row r="19975" spans="5:13" x14ac:dyDescent="0.25">
      <c r="E19975"/>
      <c r="M19975"/>
    </row>
    <row r="19976" spans="5:13" x14ac:dyDescent="0.25">
      <c r="E19976"/>
      <c r="M19976"/>
    </row>
    <row r="19977" spans="5:13" x14ac:dyDescent="0.25">
      <c r="E19977"/>
      <c r="M19977"/>
    </row>
    <row r="19978" spans="5:13" x14ac:dyDescent="0.25">
      <c r="E19978"/>
      <c r="M19978"/>
    </row>
    <row r="19979" spans="5:13" x14ac:dyDescent="0.25">
      <c r="E19979"/>
      <c r="M19979"/>
    </row>
    <row r="19980" spans="5:13" x14ac:dyDescent="0.25">
      <c r="E19980"/>
      <c r="M19980"/>
    </row>
    <row r="19981" spans="5:13" x14ac:dyDescent="0.25">
      <c r="E19981"/>
      <c r="M19981"/>
    </row>
    <row r="19982" spans="5:13" x14ac:dyDescent="0.25">
      <c r="E19982"/>
      <c r="M19982"/>
    </row>
    <row r="19983" spans="5:13" x14ac:dyDescent="0.25">
      <c r="E19983"/>
      <c r="M19983"/>
    </row>
    <row r="19984" spans="5:13" x14ac:dyDescent="0.25">
      <c r="E19984"/>
      <c r="M19984"/>
    </row>
    <row r="19985" spans="5:13" x14ac:dyDescent="0.25">
      <c r="E19985"/>
      <c r="M19985"/>
    </row>
    <row r="19986" spans="5:13" x14ac:dyDescent="0.25">
      <c r="E19986"/>
      <c r="M19986"/>
    </row>
    <row r="19987" spans="5:13" x14ac:dyDescent="0.25">
      <c r="E19987"/>
      <c r="M19987"/>
    </row>
    <row r="19988" spans="5:13" x14ac:dyDescent="0.25">
      <c r="E19988"/>
      <c r="M19988"/>
    </row>
    <row r="19989" spans="5:13" x14ac:dyDescent="0.25">
      <c r="E19989"/>
      <c r="M19989"/>
    </row>
    <row r="19990" spans="5:13" x14ac:dyDescent="0.25">
      <c r="E19990"/>
      <c r="M19990"/>
    </row>
    <row r="19991" spans="5:13" x14ac:dyDescent="0.25">
      <c r="E19991"/>
      <c r="M19991"/>
    </row>
    <row r="19992" spans="5:13" x14ac:dyDescent="0.25">
      <c r="E19992"/>
      <c r="M19992"/>
    </row>
    <row r="19993" spans="5:13" x14ac:dyDescent="0.25">
      <c r="E19993"/>
      <c r="M19993"/>
    </row>
    <row r="19994" spans="5:13" x14ac:dyDescent="0.25">
      <c r="E19994"/>
      <c r="M19994"/>
    </row>
    <row r="19995" spans="5:13" x14ac:dyDescent="0.25">
      <c r="E19995"/>
      <c r="M19995"/>
    </row>
    <row r="19996" spans="5:13" x14ac:dyDescent="0.25">
      <c r="E19996"/>
      <c r="M19996"/>
    </row>
    <row r="19997" spans="5:13" x14ac:dyDescent="0.25">
      <c r="E19997"/>
      <c r="M19997"/>
    </row>
    <row r="19998" spans="5:13" x14ac:dyDescent="0.25">
      <c r="E19998"/>
      <c r="M19998"/>
    </row>
    <row r="19999" spans="5:13" x14ac:dyDescent="0.25">
      <c r="E19999"/>
      <c r="M19999"/>
    </row>
    <row r="20000" spans="5:13" x14ac:dyDescent="0.25">
      <c r="E20000"/>
      <c r="M20000"/>
    </row>
    <row r="20001" spans="5:13" x14ac:dyDescent="0.25">
      <c r="E20001"/>
      <c r="M20001"/>
    </row>
    <row r="20002" spans="5:13" x14ac:dyDescent="0.25">
      <c r="E20002"/>
      <c r="M20002"/>
    </row>
    <row r="20003" spans="5:13" x14ac:dyDescent="0.25">
      <c r="E20003"/>
      <c r="M20003"/>
    </row>
    <row r="20004" spans="5:13" x14ac:dyDescent="0.25">
      <c r="E20004"/>
      <c r="M20004"/>
    </row>
    <row r="20005" spans="5:13" x14ac:dyDescent="0.25">
      <c r="E20005"/>
      <c r="M20005"/>
    </row>
    <row r="20006" spans="5:13" x14ac:dyDescent="0.25">
      <c r="E20006"/>
      <c r="M20006"/>
    </row>
    <row r="20007" spans="5:13" x14ac:dyDescent="0.25">
      <c r="E20007"/>
      <c r="M20007"/>
    </row>
    <row r="20008" spans="5:13" x14ac:dyDescent="0.25">
      <c r="E20008"/>
      <c r="M20008"/>
    </row>
    <row r="20009" spans="5:13" x14ac:dyDescent="0.25">
      <c r="E20009"/>
      <c r="M20009"/>
    </row>
    <row r="20010" spans="5:13" x14ac:dyDescent="0.25">
      <c r="E20010"/>
      <c r="M20010"/>
    </row>
    <row r="20011" spans="5:13" x14ac:dyDescent="0.25">
      <c r="E20011"/>
      <c r="M20011"/>
    </row>
    <row r="20012" spans="5:13" x14ac:dyDescent="0.25">
      <c r="E20012"/>
      <c r="M20012"/>
    </row>
    <row r="20013" spans="5:13" x14ac:dyDescent="0.25">
      <c r="E20013"/>
      <c r="M20013"/>
    </row>
    <row r="20014" spans="5:13" x14ac:dyDescent="0.25">
      <c r="E20014"/>
      <c r="M20014"/>
    </row>
    <row r="20015" spans="5:13" x14ac:dyDescent="0.25">
      <c r="E20015"/>
      <c r="M20015"/>
    </row>
    <row r="20016" spans="5:13" x14ac:dyDescent="0.25">
      <c r="E20016"/>
      <c r="M20016"/>
    </row>
    <row r="20017" spans="5:13" x14ac:dyDescent="0.25">
      <c r="E20017"/>
      <c r="M20017"/>
    </row>
    <row r="20018" spans="5:13" x14ac:dyDescent="0.25">
      <c r="E20018"/>
      <c r="M20018"/>
    </row>
    <row r="20019" spans="5:13" x14ac:dyDescent="0.25">
      <c r="E20019"/>
      <c r="M20019"/>
    </row>
    <row r="20020" spans="5:13" x14ac:dyDescent="0.25">
      <c r="E20020"/>
      <c r="M20020"/>
    </row>
    <row r="20021" spans="5:13" x14ac:dyDescent="0.25">
      <c r="E20021"/>
      <c r="M20021"/>
    </row>
    <row r="20022" spans="5:13" x14ac:dyDescent="0.25">
      <c r="E20022"/>
      <c r="M20022"/>
    </row>
    <row r="20023" spans="5:13" x14ac:dyDescent="0.25">
      <c r="E20023"/>
      <c r="M20023"/>
    </row>
    <row r="20024" spans="5:13" x14ac:dyDescent="0.25">
      <c r="E20024"/>
      <c r="M20024"/>
    </row>
    <row r="20025" spans="5:13" x14ac:dyDescent="0.25">
      <c r="E20025"/>
      <c r="M20025"/>
    </row>
    <row r="20026" spans="5:13" x14ac:dyDescent="0.25">
      <c r="E20026"/>
      <c r="M20026"/>
    </row>
    <row r="20027" spans="5:13" x14ac:dyDescent="0.25">
      <c r="E20027"/>
      <c r="M20027"/>
    </row>
    <row r="20028" spans="5:13" x14ac:dyDescent="0.25">
      <c r="E20028"/>
      <c r="M20028"/>
    </row>
    <row r="20029" spans="5:13" x14ac:dyDescent="0.25">
      <c r="E20029"/>
      <c r="M20029"/>
    </row>
    <row r="20030" spans="5:13" x14ac:dyDescent="0.25">
      <c r="E20030"/>
      <c r="M20030"/>
    </row>
    <row r="20031" spans="5:13" x14ac:dyDescent="0.25">
      <c r="E20031"/>
      <c r="M20031"/>
    </row>
    <row r="20032" spans="5:13" x14ac:dyDescent="0.25">
      <c r="E20032"/>
      <c r="M20032"/>
    </row>
    <row r="20033" spans="5:13" x14ac:dyDescent="0.25">
      <c r="E20033"/>
      <c r="M20033"/>
    </row>
    <row r="20034" spans="5:13" x14ac:dyDescent="0.25">
      <c r="E20034"/>
      <c r="M20034"/>
    </row>
    <row r="20035" spans="5:13" x14ac:dyDescent="0.25">
      <c r="E20035"/>
      <c r="M20035"/>
    </row>
    <row r="20036" spans="5:13" x14ac:dyDescent="0.25">
      <c r="E20036"/>
      <c r="M20036"/>
    </row>
    <row r="20037" spans="5:13" x14ac:dyDescent="0.25">
      <c r="E20037"/>
      <c r="M20037"/>
    </row>
    <row r="20038" spans="5:13" x14ac:dyDescent="0.25">
      <c r="E20038"/>
      <c r="M20038"/>
    </row>
    <row r="20039" spans="5:13" x14ac:dyDescent="0.25">
      <c r="E20039"/>
      <c r="M20039"/>
    </row>
    <row r="20040" spans="5:13" x14ac:dyDescent="0.25">
      <c r="E20040"/>
      <c r="M20040"/>
    </row>
    <row r="20041" spans="5:13" x14ac:dyDescent="0.25">
      <c r="E20041"/>
      <c r="M20041"/>
    </row>
    <row r="20042" spans="5:13" x14ac:dyDescent="0.25">
      <c r="E20042"/>
      <c r="M20042"/>
    </row>
    <row r="20043" spans="5:13" x14ac:dyDescent="0.25">
      <c r="E20043"/>
      <c r="M20043"/>
    </row>
    <row r="20044" spans="5:13" x14ac:dyDescent="0.25">
      <c r="E20044"/>
      <c r="M20044"/>
    </row>
    <row r="20045" spans="5:13" x14ac:dyDescent="0.25">
      <c r="E20045"/>
      <c r="M20045"/>
    </row>
    <row r="20046" spans="5:13" x14ac:dyDescent="0.25">
      <c r="E20046"/>
      <c r="M20046"/>
    </row>
    <row r="20047" spans="5:13" x14ac:dyDescent="0.25">
      <c r="E20047"/>
      <c r="M20047"/>
    </row>
    <row r="20048" spans="5:13" x14ac:dyDescent="0.25">
      <c r="E20048"/>
      <c r="M20048"/>
    </row>
    <row r="20049" spans="5:13" x14ac:dyDescent="0.25">
      <c r="E20049"/>
      <c r="M20049"/>
    </row>
    <row r="20050" spans="5:13" x14ac:dyDescent="0.25">
      <c r="E20050"/>
      <c r="M20050"/>
    </row>
    <row r="20051" spans="5:13" x14ac:dyDescent="0.25">
      <c r="E20051"/>
      <c r="M20051"/>
    </row>
    <row r="20052" spans="5:13" x14ac:dyDescent="0.25">
      <c r="E20052"/>
      <c r="M20052"/>
    </row>
    <row r="20053" spans="5:13" x14ac:dyDescent="0.25">
      <c r="E20053"/>
      <c r="M20053"/>
    </row>
    <row r="20054" spans="5:13" x14ac:dyDescent="0.25">
      <c r="E20054"/>
      <c r="M20054"/>
    </row>
    <row r="20055" spans="5:13" x14ac:dyDescent="0.25">
      <c r="E20055"/>
      <c r="M20055"/>
    </row>
    <row r="20056" spans="5:13" x14ac:dyDescent="0.25">
      <c r="E20056"/>
      <c r="M20056"/>
    </row>
    <row r="20057" spans="5:13" x14ac:dyDescent="0.25">
      <c r="E20057"/>
      <c r="M20057"/>
    </row>
    <row r="20058" spans="5:13" x14ac:dyDescent="0.25">
      <c r="E20058"/>
      <c r="M20058"/>
    </row>
    <row r="20059" spans="5:13" x14ac:dyDescent="0.25">
      <c r="E20059"/>
      <c r="M20059"/>
    </row>
    <row r="20060" spans="5:13" x14ac:dyDescent="0.25">
      <c r="E20060"/>
      <c r="M20060"/>
    </row>
    <row r="20061" spans="5:13" x14ac:dyDescent="0.25">
      <c r="E20061"/>
      <c r="M20061"/>
    </row>
    <row r="20062" spans="5:13" x14ac:dyDescent="0.25">
      <c r="E20062"/>
      <c r="M20062"/>
    </row>
    <row r="20063" spans="5:13" x14ac:dyDescent="0.25">
      <c r="E20063"/>
      <c r="M20063"/>
    </row>
    <row r="20064" spans="5:13" x14ac:dyDescent="0.25">
      <c r="E20064"/>
      <c r="M20064"/>
    </row>
    <row r="20065" spans="5:13" x14ac:dyDescent="0.25">
      <c r="E20065"/>
      <c r="M20065"/>
    </row>
    <row r="20066" spans="5:13" x14ac:dyDescent="0.25">
      <c r="E20066"/>
      <c r="M20066"/>
    </row>
    <row r="20067" spans="5:13" x14ac:dyDescent="0.25">
      <c r="E20067"/>
      <c r="M20067"/>
    </row>
    <row r="20068" spans="5:13" x14ac:dyDescent="0.25">
      <c r="E20068"/>
      <c r="M20068"/>
    </row>
    <row r="20069" spans="5:13" x14ac:dyDescent="0.25">
      <c r="E20069"/>
      <c r="M20069"/>
    </row>
    <row r="20070" spans="5:13" x14ac:dyDescent="0.25">
      <c r="E20070"/>
      <c r="M20070"/>
    </row>
    <row r="20071" spans="5:13" x14ac:dyDescent="0.25">
      <c r="E20071"/>
      <c r="M20071"/>
    </row>
    <row r="20072" spans="5:13" x14ac:dyDescent="0.25">
      <c r="E20072"/>
      <c r="M20072"/>
    </row>
    <row r="20073" spans="5:13" x14ac:dyDescent="0.25">
      <c r="E20073"/>
      <c r="M20073"/>
    </row>
    <row r="20074" spans="5:13" x14ac:dyDescent="0.25">
      <c r="E20074"/>
      <c r="M20074"/>
    </row>
    <row r="20075" spans="5:13" x14ac:dyDescent="0.25">
      <c r="E20075"/>
      <c r="M20075"/>
    </row>
    <row r="20076" spans="5:13" x14ac:dyDescent="0.25">
      <c r="E20076"/>
      <c r="M20076"/>
    </row>
    <row r="20077" spans="5:13" x14ac:dyDescent="0.25">
      <c r="E20077"/>
      <c r="M20077"/>
    </row>
    <row r="20078" spans="5:13" x14ac:dyDescent="0.25">
      <c r="E20078"/>
      <c r="M20078"/>
    </row>
    <row r="20079" spans="5:13" x14ac:dyDescent="0.25">
      <c r="E20079"/>
      <c r="M20079"/>
    </row>
    <row r="20080" spans="5:13" x14ac:dyDescent="0.25">
      <c r="E20080"/>
      <c r="M20080"/>
    </row>
    <row r="20081" spans="5:13" x14ac:dyDescent="0.25">
      <c r="E20081"/>
      <c r="M20081"/>
    </row>
    <row r="20082" spans="5:13" x14ac:dyDescent="0.25">
      <c r="E20082"/>
      <c r="M20082"/>
    </row>
    <row r="20083" spans="5:13" x14ac:dyDescent="0.25">
      <c r="E20083"/>
      <c r="M20083"/>
    </row>
    <row r="20084" spans="5:13" x14ac:dyDescent="0.25">
      <c r="E20084"/>
      <c r="M20084"/>
    </row>
    <row r="20085" spans="5:13" x14ac:dyDescent="0.25">
      <c r="E20085"/>
      <c r="M20085"/>
    </row>
    <row r="20086" spans="5:13" x14ac:dyDescent="0.25">
      <c r="E20086"/>
      <c r="M20086"/>
    </row>
    <row r="20087" spans="5:13" x14ac:dyDescent="0.25">
      <c r="E20087"/>
      <c r="M20087"/>
    </row>
    <row r="20088" spans="5:13" x14ac:dyDescent="0.25">
      <c r="E20088"/>
      <c r="M20088"/>
    </row>
    <row r="20089" spans="5:13" x14ac:dyDescent="0.25">
      <c r="E20089"/>
      <c r="M20089"/>
    </row>
    <row r="20090" spans="5:13" x14ac:dyDescent="0.25">
      <c r="E20090"/>
      <c r="M20090"/>
    </row>
    <row r="20091" spans="5:13" x14ac:dyDescent="0.25">
      <c r="E20091"/>
      <c r="M20091"/>
    </row>
    <row r="20092" spans="5:13" x14ac:dyDescent="0.25">
      <c r="E20092"/>
      <c r="M20092"/>
    </row>
    <row r="20093" spans="5:13" x14ac:dyDescent="0.25">
      <c r="E20093"/>
      <c r="M20093"/>
    </row>
    <row r="20094" spans="5:13" x14ac:dyDescent="0.25">
      <c r="E20094"/>
      <c r="M20094"/>
    </row>
    <row r="20095" spans="5:13" x14ac:dyDescent="0.25">
      <c r="E20095"/>
      <c r="M20095"/>
    </row>
    <row r="20096" spans="5:13" x14ac:dyDescent="0.25">
      <c r="E20096"/>
      <c r="M20096"/>
    </row>
    <row r="20097" spans="5:13" x14ac:dyDescent="0.25">
      <c r="E20097"/>
      <c r="M20097"/>
    </row>
    <row r="20098" spans="5:13" x14ac:dyDescent="0.25">
      <c r="E20098"/>
      <c r="M20098"/>
    </row>
    <row r="20099" spans="5:13" x14ac:dyDescent="0.25">
      <c r="E20099"/>
      <c r="M20099"/>
    </row>
    <row r="20100" spans="5:13" x14ac:dyDescent="0.25">
      <c r="E20100"/>
      <c r="M20100"/>
    </row>
    <row r="20101" spans="5:13" x14ac:dyDescent="0.25">
      <c r="E20101"/>
      <c r="M20101"/>
    </row>
    <row r="20102" spans="5:13" x14ac:dyDescent="0.25">
      <c r="E20102"/>
      <c r="M20102"/>
    </row>
    <row r="20103" spans="5:13" x14ac:dyDescent="0.25">
      <c r="E20103"/>
      <c r="M20103"/>
    </row>
    <row r="20104" spans="5:13" x14ac:dyDescent="0.25">
      <c r="E20104"/>
      <c r="M20104"/>
    </row>
    <row r="20105" spans="5:13" x14ac:dyDescent="0.25">
      <c r="E20105"/>
      <c r="M20105"/>
    </row>
    <row r="20106" spans="5:13" x14ac:dyDescent="0.25">
      <c r="E20106"/>
      <c r="M20106"/>
    </row>
    <row r="20107" spans="5:13" x14ac:dyDescent="0.25">
      <c r="E20107"/>
      <c r="M20107"/>
    </row>
    <row r="20108" spans="5:13" x14ac:dyDescent="0.25">
      <c r="E20108"/>
      <c r="M20108"/>
    </row>
    <row r="20109" spans="5:13" x14ac:dyDescent="0.25">
      <c r="E20109"/>
      <c r="M20109"/>
    </row>
    <row r="20110" spans="5:13" x14ac:dyDescent="0.25">
      <c r="E20110"/>
      <c r="M20110"/>
    </row>
    <row r="20111" spans="5:13" x14ac:dyDescent="0.25">
      <c r="E20111"/>
      <c r="M20111"/>
    </row>
    <row r="20112" spans="5:13" x14ac:dyDescent="0.25">
      <c r="E20112"/>
      <c r="M20112"/>
    </row>
    <row r="20113" spans="5:13" x14ac:dyDescent="0.25">
      <c r="E20113"/>
      <c r="M20113"/>
    </row>
    <row r="20114" spans="5:13" x14ac:dyDescent="0.25">
      <c r="E20114"/>
      <c r="M20114"/>
    </row>
    <row r="20115" spans="5:13" x14ac:dyDescent="0.25">
      <c r="E20115"/>
      <c r="M20115"/>
    </row>
    <row r="20116" spans="5:13" x14ac:dyDescent="0.25">
      <c r="E20116"/>
      <c r="M20116"/>
    </row>
    <row r="20117" spans="5:13" x14ac:dyDescent="0.25">
      <c r="E20117"/>
      <c r="M20117"/>
    </row>
    <row r="20118" spans="5:13" x14ac:dyDescent="0.25">
      <c r="E20118"/>
      <c r="M20118"/>
    </row>
    <row r="20119" spans="5:13" x14ac:dyDescent="0.25">
      <c r="E20119"/>
      <c r="M20119"/>
    </row>
    <row r="20120" spans="5:13" x14ac:dyDescent="0.25">
      <c r="E20120"/>
      <c r="M20120"/>
    </row>
    <row r="20121" spans="5:13" x14ac:dyDescent="0.25">
      <c r="E20121"/>
      <c r="M20121"/>
    </row>
    <row r="20122" spans="5:13" x14ac:dyDescent="0.25">
      <c r="E20122"/>
      <c r="M20122"/>
    </row>
    <row r="20123" spans="5:13" x14ac:dyDescent="0.25">
      <c r="E20123"/>
      <c r="M20123"/>
    </row>
    <row r="20124" spans="5:13" x14ac:dyDescent="0.25">
      <c r="E20124"/>
      <c r="M20124"/>
    </row>
    <row r="20125" spans="5:13" x14ac:dyDescent="0.25">
      <c r="E20125"/>
      <c r="M20125"/>
    </row>
    <row r="20126" spans="5:13" x14ac:dyDescent="0.25">
      <c r="E20126"/>
      <c r="M20126"/>
    </row>
    <row r="20127" spans="5:13" x14ac:dyDescent="0.25">
      <c r="E20127"/>
      <c r="M20127"/>
    </row>
    <row r="20128" spans="5:13" x14ac:dyDescent="0.25">
      <c r="E20128"/>
      <c r="M20128"/>
    </row>
    <row r="20129" spans="5:13" x14ac:dyDescent="0.25">
      <c r="E20129"/>
      <c r="M20129"/>
    </row>
    <row r="20130" spans="5:13" x14ac:dyDescent="0.25">
      <c r="E20130"/>
      <c r="M20130"/>
    </row>
    <row r="20131" spans="5:13" x14ac:dyDescent="0.25">
      <c r="E20131"/>
      <c r="M20131"/>
    </row>
    <row r="20132" spans="5:13" x14ac:dyDescent="0.25">
      <c r="E20132"/>
      <c r="M20132"/>
    </row>
    <row r="20133" spans="5:13" x14ac:dyDescent="0.25">
      <c r="E20133"/>
      <c r="M20133"/>
    </row>
    <row r="20134" spans="5:13" x14ac:dyDescent="0.25">
      <c r="E20134"/>
      <c r="M20134"/>
    </row>
    <row r="20135" spans="5:13" x14ac:dyDescent="0.25">
      <c r="E20135"/>
      <c r="M20135"/>
    </row>
    <row r="20136" spans="5:13" x14ac:dyDescent="0.25">
      <c r="E20136"/>
      <c r="M20136"/>
    </row>
    <row r="20137" spans="5:13" x14ac:dyDescent="0.25">
      <c r="E20137"/>
      <c r="M20137"/>
    </row>
    <row r="20138" spans="5:13" x14ac:dyDescent="0.25">
      <c r="E20138"/>
      <c r="M20138"/>
    </row>
    <row r="20139" spans="5:13" x14ac:dyDescent="0.25">
      <c r="E20139"/>
      <c r="M20139"/>
    </row>
    <row r="20140" spans="5:13" x14ac:dyDescent="0.25">
      <c r="E20140"/>
      <c r="M20140"/>
    </row>
    <row r="20141" spans="5:13" x14ac:dyDescent="0.25">
      <c r="E20141"/>
      <c r="M20141"/>
    </row>
    <row r="20142" spans="5:13" x14ac:dyDescent="0.25">
      <c r="E20142"/>
      <c r="M20142"/>
    </row>
    <row r="20143" spans="5:13" x14ac:dyDescent="0.25">
      <c r="E20143"/>
      <c r="M20143"/>
    </row>
    <row r="20144" spans="5:13" x14ac:dyDescent="0.25">
      <c r="E20144"/>
      <c r="M20144"/>
    </row>
    <row r="20145" spans="5:13" x14ac:dyDescent="0.25">
      <c r="E20145"/>
      <c r="M20145"/>
    </row>
    <row r="20146" spans="5:13" x14ac:dyDescent="0.25">
      <c r="E20146"/>
      <c r="M20146"/>
    </row>
    <row r="20147" spans="5:13" x14ac:dyDescent="0.25">
      <c r="E20147"/>
      <c r="M20147"/>
    </row>
    <row r="20148" spans="5:13" x14ac:dyDescent="0.25">
      <c r="E20148"/>
      <c r="M20148"/>
    </row>
    <row r="20149" spans="5:13" x14ac:dyDescent="0.25">
      <c r="E20149"/>
      <c r="M20149"/>
    </row>
    <row r="20150" spans="5:13" x14ac:dyDescent="0.25">
      <c r="E20150"/>
      <c r="M20150"/>
    </row>
    <row r="20151" spans="5:13" x14ac:dyDescent="0.25">
      <c r="E20151"/>
      <c r="M20151"/>
    </row>
    <row r="20152" spans="5:13" x14ac:dyDescent="0.25">
      <c r="E20152"/>
      <c r="M20152"/>
    </row>
    <row r="20153" spans="5:13" x14ac:dyDescent="0.25">
      <c r="E20153"/>
      <c r="M20153"/>
    </row>
    <row r="20154" spans="5:13" x14ac:dyDescent="0.25">
      <c r="E20154"/>
      <c r="M20154"/>
    </row>
    <row r="20155" spans="5:13" x14ac:dyDescent="0.25">
      <c r="E20155"/>
      <c r="M20155"/>
    </row>
    <row r="20156" spans="5:13" x14ac:dyDescent="0.25">
      <c r="E20156"/>
      <c r="M20156"/>
    </row>
    <row r="20157" spans="5:13" x14ac:dyDescent="0.25">
      <c r="E20157"/>
      <c r="M20157"/>
    </row>
    <row r="20158" spans="5:13" x14ac:dyDescent="0.25">
      <c r="E20158"/>
      <c r="M20158"/>
    </row>
    <row r="20159" spans="5:13" x14ac:dyDescent="0.25">
      <c r="E20159"/>
      <c r="M20159"/>
    </row>
    <row r="20160" spans="5:13" x14ac:dyDescent="0.25">
      <c r="E20160"/>
      <c r="M20160"/>
    </row>
    <row r="20161" spans="5:13" x14ac:dyDescent="0.25">
      <c r="E20161"/>
      <c r="M20161"/>
    </row>
    <row r="20162" spans="5:13" x14ac:dyDescent="0.25">
      <c r="E20162"/>
      <c r="M20162"/>
    </row>
    <row r="20163" spans="5:13" x14ac:dyDescent="0.25">
      <c r="E20163"/>
      <c r="M20163"/>
    </row>
    <row r="20164" spans="5:13" x14ac:dyDescent="0.25">
      <c r="E20164"/>
      <c r="M20164"/>
    </row>
    <row r="20165" spans="5:13" x14ac:dyDescent="0.25">
      <c r="E20165"/>
      <c r="M20165"/>
    </row>
    <row r="20166" spans="5:13" x14ac:dyDescent="0.25">
      <c r="E20166"/>
      <c r="M20166"/>
    </row>
    <row r="20167" spans="5:13" x14ac:dyDescent="0.25">
      <c r="E20167"/>
      <c r="M20167"/>
    </row>
    <row r="20168" spans="5:13" x14ac:dyDescent="0.25">
      <c r="E20168"/>
      <c r="M20168"/>
    </row>
    <row r="20169" spans="5:13" x14ac:dyDescent="0.25">
      <c r="E20169"/>
      <c r="M20169"/>
    </row>
    <row r="20170" spans="5:13" x14ac:dyDescent="0.25">
      <c r="E20170"/>
      <c r="M20170"/>
    </row>
    <row r="20171" spans="5:13" x14ac:dyDescent="0.25">
      <c r="E20171"/>
      <c r="M20171"/>
    </row>
    <row r="20172" spans="5:13" x14ac:dyDescent="0.25">
      <c r="E20172"/>
      <c r="M20172"/>
    </row>
    <row r="20173" spans="5:13" x14ac:dyDescent="0.25">
      <c r="E20173"/>
      <c r="M20173"/>
    </row>
    <row r="20174" spans="5:13" x14ac:dyDescent="0.25">
      <c r="E20174"/>
      <c r="M20174"/>
    </row>
    <row r="20175" spans="5:13" x14ac:dyDescent="0.25">
      <c r="E20175"/>
      <c r="M20175"/>
    </row>
    <row r="20176" spans="5:13" x14ac:dyDescent="0.25">
      <c r="E20176"/>
      <c r="M20176"/>
    </row>
    <row r="20177" spans="5:13" x14ac:dyDescent="0.25">
      <c r="E20177"/>
      <c r="M20177"/>
    </row>
    <row r="20178" spans="5:13" x14ac:dyDescent="0.25">
      <c r="E20178"/>
      <c r="M20178"/>
    </row>
    <row r="20179" spans="5:13" x14ac:dyDescent="0.25">
      <c r="E20179"/>
      <c r="M20179"/>
    </row>
    <row r="20180" spans="5:13" x14ac:dyDescent="0.25">
      <c r="E20180"/>
      <c r="M20180"/>
    </row>
    <row r="20181" spans="5:13" x14ac:dyDescent="0.25">
      <c r="E20181"/>
      <c r="M20181"/>
    </row>
    <row r="20182" spans="5:13" x14ac:dyDescent="0.25">
      <c r="E20182"/>
      <c r="M20182"/>
    </row>
    <row r="20183" spans="5:13" x14ac:dyDescent="0.25">
      <c r="E20183"/>
      <c r="M20183"/>
    </row>
    <row r="20184" spans="5:13" x14ac:dyDescent="0.25">
      <c r="E20184"/>
      <c r="M20184"/>
    </row>
    <row r="20185" spans="5:13" x14ac:dyDescent="0.25">
      <c r="E20185"/>
      <c r="M20185"/>
    </row>
    <row r="20186" spans="5:13" x14ac:dyDescent="0.25">
      <c r="E20186"/>
      <c r="M20186"/>
    </row>
    <row r="20187" spans="5:13" x14ac:dyDescent="0.25">
      <c r="E20187"/>
      <c r="M20187"/>
    </row>
    <row r="20188" spans="5:13" x14ac:dyDescent="0.25">
      <c r="E20188"/>
      <c r="M20188"/>
    </row>
    <row r="20189" spans="5:13" x14ac:dyDescent="0.25">
      <c r="E20189"/>
      <c r="M20189"/>
    </row>
    <row r="20190" spans="5:13" x14ac:dyDescent="0.25">
      <c r="E20190"/>
      <c r="M20190"/>
    </row>
    <row r="20191" spans="5:13" x14ac:dyDescent="0.25">
      <c r="E20191"/>
      <c r="M20191"/>
    </row>
    <row r="20192" spans="5:13" x14ac:dyDescent="0.25">
      <c r="E20192"/>
      <c r="M20192"/>
    </row>
    <row r="20193" spans="5:13" x14ac:dyDescent="0.25">
      <c r="E20193"/>
      <c r="M20193"/>
    </row>
    <row r="20194" spans="5:13" x14ac:dyDescent="0.25">
      <c r="E20194"/>
      <c r="M20194"/>
    </row>
    <row r="20195" spans="5:13" x14ac:dyDescent="0.25">
      <c r="E20195"/>
      <c r="M20195"/>
    </row>
    <row r="20196" spans="5:13" x14ac:dyDescent="0.25">
      <c r="E20196"/>
      <c r="M20196"/>
    </row>
    <row r="20197" spans="5:13" x14ac:dyDescent="0.25">
      <c r="E20197"/>
      <c r="M20197"/>
    </row>
    <row r="20198" spans="5:13" x14ac:dyDescent="0.25">
      <c r="E20198"/>
      <c r="M20198"/>
    </row>
    <row r="20199" spans="5:13" x14ac:dyDescent="0.25">
      <c r="E20199"/>
      <c r="M20199"/>
    </row>
    <row r="20200" spans="5:13" x14ac:dyDescent="0.25">
      <c r="E20200"/>
      <c r="M20200"/>
    </row>
    <row r="20201" spans="5:13" x14ac:dyDescent="0.25">
      <c r="E20201"/>
      <c r="M20201"/>
    </row>
    <row r="20202" spans="5:13" x14ac:dyDescent="0.25">
      <c r="E20202"/>
      <c r="M20202"/>
    </row>
    <row r="20203" spans="5:13" x14ac:dyDescent="0.25">
      <c r="E20203"/>
      <c r="M20203"/>
    </row>
    <row r="20204" spans="5:13" x14ac:dyDescent="0.25">
      <c r="E20204"/>
      <c r="M20204"/>
    </row>
    <row r="20205" spans="5:13" x14ac:dyDescent="0.25">
      <c r="E20205"/>
      <c r="M20205"/>
    </row>
    <row r="20206" spans="5:13" x14ac:dyDescent="0.25">
      <c r="E20206"/>
      <c r="M20206"/>
    </row>
    <row r="20207" spans="5:13" x14ac:dyDescent="0.25">
      <c r="E20207"/>
      <c r="M20207"/>
    </row>
    <row r="20208" spans="5:13" x14ac:dyDescent="0.25">
      <c r="E20208"/>
      <c r="M20208"/>
    </row>
    <row r="20209" spans="5:13" x14ac:dyDescent="0.25">
      <c r="E20209"/>
      <c r="M20209"/>
    </row>
    <row r="20210" spans="5:13" x14ac:dyDescent="0.25">
      <c r="E20210"/>
      <c r="M20210"/>
    </row>
    <row r="20211" spans="5:13" x14ac:dyDescent="0.25">
      <c r="E20211"/>
      <c r="M20211"/>
    </row>
    <row r="20212" spans="5:13" x14ac:dyDescent="0.25">
      <c r="E20212"/>
      <c r="M20212"/>
    </row>
    <row r="20213" spans="5:13" x14ac:dyDescent="0.25">
      <c r="E20213"/>
      <c r="M20213"/>
    </row>
    <row r="20214" spans="5:13" x14ac:dyDescent="0.25">
      <c r="E20214"/>
      <c r="M20214"/>
    </row>
    <row r="20215" spans="5:13" x14ac:dyDescent="0.25">
      <c r="E20215"/>
      <c r="M20215"/>
    </row>
    <row r="20216" spans="5:13" x14ac:dyDescent="0.25">
      <c r="E20216"/>
      <c r="M20216"/>
    </row>
    <row r="20217" spans="5:13" x14ac:dyDescent="0.25">
      <c r="E20217"/>
      <c r="M20217"/>
    </row>
    <row r="20218" spans="5:13" x14ac:dyDescent="0.25">
      <c r="E20218"/>
      <c r="M20218"/>
    </row>
    <row r="20219" spans="5:13" x14ac:dyDescent="0.25">
      <c r="E20219"/>
      <c r="M20219"/>
    </row>
    <row r="20220" spans="5:13" x14ac:dyDescent="0.25">
      <c r="E20220"/>
      <c r="M20220"/>
    </row>
    <row r="20221" spans="5:13" x14ac:dyDescent="0.25">
      <c r="E20221"/>
      <c r="M20221"/>
    </row>
    <row r="20222" spans="5:13" x14ac:dyDescent="0.25">
      <c r="E20222"/>
      <c r="M20222"/>
    </row>
    <row r="20223" spans="5:13" x14ac:dyDescent="0.25">
      <c r="E20223"/>
      <c r="M20223"/>
    </row>
    <row r="20224" spans="5:13" x14ac:dyDescent="0.25">
      <c r="E20224"/>
      <c r="M20224"/>
    </row>
    <row r="20225" spans="5:13" x14ac:dyDescent="0.25">
      <c r="E20225"/>
      <c r="M20225"/>
    </row>
    <row r="20226" spans="5:13" x14ac:dyDescent="0.25">
      <c r="E20226"/>
      <c r="M20226"/>
    </row>
    <row r="20227" spans="5:13" x14ac:dyDescent="0.25">
      <c r="E20227"/>
      <c r="M20227"/>
    </row>
    <row r="20228" spans="5:13" x14ac:dyDescent="0.25">
      <c r="E20228"/>
      <c r="M20228"/>
    </row>
    <row r="20229" spans="5:13" x14ac:dyDescent="0.25">
      <c r="E20229"/>
      <c r="M20229"/>
    </row>
    <row r="20230" spans="5:13" x14ac:dyDescent="0.25">
      <c r="E20230"/>
      <c r="M20230"/>
    </row>
    <row r="20231" spans="5:13" x14ac:dyDescent="0.25">
      <c r="E20231"/>
      <c r="M20231"/>
    </row>
    <row r="20232" spans="5:13" x14ac:dyDescent="0.25">
      <c r="E20232"/>
      <c r="M20232"/>
    </row>
    <row r="20233" spans="5:13" x14ac:dyDescent="0.25">
      <c r="E20233"/>
      <c r="M20233"/>
    </row>
    <row r="20234" spans="5:13" x14ac:dyDescent="0.25">
      <c r="E20234"/>
      <c r="M20234"/>
    </row>
    <row r="20235" spans="5:13" x14ac:dyDescent="0.25">
      <c r="E20235"/>
      <c r="M20235"/>
    </row>
    <row r="20236" spans="5:13" x14ac:dyDescent="0.25">
      <c r="E20236"/>
      <c r="M20236"/>
    </row>
    <row r="20237" spans="5:13" x14ac:dyDescent="0.25">
      <c r="E20237"/>
      <c r="M20237"/>
    </row>
    <row r="20238" spans="5:13" x14ac:dyDescent="0.25">
      <c r="E20238"/>
      <c r="M20238"/>
    </row>
    <row r="20239" spans="5:13" x14ac:dyDescent="0.25">
      <c r="E20239"/>
      <c r="M20239"/>
    </row>
    <row r="20240" spans="5:13" x14ac:dyDescent="0.25">
      <c r="E20240"/>
      <c r="M20240"/>
    </row>
    <row r="20241" spans="5:13" x14ac:dyDescent="0.25">
      <c r="E20241"/>
      <c r="M20241"/>
    </row>
    <row r="20242" spans="5:13" x14ac:dyDescent="0.25">
      <c r="E20242"/>
      <c r="M20242"/>
    </row>
    <row r="20243" spans="5:13" x14ac:dyDescent="0.25">
      <c r="E20243"/>
      <c r="M20243"/>
    </row>
    <row r="20244" spans="5:13" x14ac:dyDescent="0.25">
      <c r="E20244"/>
      <c r="M20244"/>
    </row>
    <row r="20245" spans="5:13" x14ac:dyDescent="0.25">
      <c r="E20245"/>
      <c r="M20245"/>
    </row>
    <row r="20246" spans="5:13" x14ac:dyDescent="0.25">
      <c r="E20246"/>
      <c r="M20246"/>
    </row>
    <row r="20247" spans="5:13" x14ac:dyDescent="0.25">
      <c r="E20247"/>
      <c r="M20247"/>
    </row>
    <row r="20248" spans="5:13" x14ac:dyDescent="0.25">
      <c r="E20248"/>
      <c r="M20248"/>
    </row>
    <row r="20249" spans="5:13" x14ac:dyDescent="0.25">
      <c r="E20249"/>
      <c r="M20249"/>
    </row>
    <row r="20250" spans="5:13" x14ac:dyDescent="0.25">
      <c r="E20250"/>
      <c r="M20250"/>
    </row>
    <row r="20251" spans="5:13" x14ac:dyDescent="0.25">
      <c r="E20251"/>
      <c r="M20251"/>
    </row>
    <row r="20252" spans="5:13" x14ac:dyDescent="0.25">
      <c r="E20252"/>
      <c r="M20252"/>
    </row>
    <row r="20253" spans="5:13" x14ac:dyDescent="0.25">
      <c r="E20253"/>
      <c r="M20253"/>
    </row>
    <row r="20254" spans="5:13" x14ac:dyDescent="0.25">
      <c r="E20254"/>
      <c r="M20254"/>
    </row>
    <row r="20255" spans="5:13" x14ac:dyDescent="0.25">
      <c r="E20255"/>
      <c r="M20255"/>
    </row>
    <row r="20256" spans="5:13" x14ac:dyDescent="0.25">
      <c r="E20256"/>
      <c r="M20256"/>
    </row>
    <row r="20257" spans="5:13" x14ac:dyDescent="0.25">
      <c r="E20257"/>
      <c r="M20257"/>
    </row>
    <row r="20258" spans="5:13" x14ac:dyDescent="0.25">
      <c r="E20258"/>
      <c r="M20258"/>
    </row>
    <row r="20259" spans="5:13" x14ac:dyDescent="0.25">
      <c r="E20259"/>
      <c r="M20259"/>
    </row>
    <row r="20260" spans="5:13" x14ac:dyDescent="0.25">
      <c r="E20260"/>
      <c r="M20260"/>
    </row>
    <row r="20261" spans="5:13" x14ac:dyDescent="0.25">
      <c r="E20261"/>
      <c r="M20261"/>
    </row>
    <row r="20262" spans="5:13" x14ac:dyDescent="0.25">
      <c r="E20262"/>
      <c r="M20262"/>
    </row>
    <row r="20263" spans="5:13" x14ac:dyDescent="0.25">
      <c r="E20263"/>
      <c r="M20263"/>
    </row>
    <row r="20264" spans="5:13" x14ac:dyDescent="0.25">
      <c r="E20264"/>
      <c r="M20264"/>
    </row>
    <row r="20265" spans="5:13" x14ac:dyDescent="0.25">
      <c r="E20265"/>
      <c r="M20265"/>
    </row>
    <row r="20266" spans="5:13" x14ac:dyDescent="0.25">
      <c r="E20266"/>
      <c r="M20266"/>
    </row>
    <row r="20267" spans="5:13" x14ac:dyDescent="0.25">
      <c r="E20267"/>
      <c r="M20267"/>
    </row>
    <row r="20268" spans="5:13" x14ac:dyDescent="0.25">
      <c r="E20268"/>
      <c r="M20268"/>
    </row>
    <row r="20269" spans="5:13" x14ac:dyDescent="0.25">
      <c r="E20269"/>
      <c r="M20269"/>
    </row>
    <row r="20270" spans="5:13" x14ac:dyDescent="0.25">
      <c r="E20270"/>
      <c r="M20270"/>
    </row>
    <row r="20271" spans="5:13" x14ac:dyDescent="0.25">
      <c r="E20271"/>
      <c r="M20271"/>
    </row>
    <row r="20272" spans="5:13" x14ac:dyDescent="0.25">
      <c r="E20272"/>
      <c r="M20272"/>
    </row>
    <row r="20273" spans="5:13" x14ac:dyDescent="0.25">
      <c r="E20273"/>
      <c r="M20273"/>
    </row>
    <row r="20274" spans="5:13" x14ac:dyDescent="0.25">
      <c r="E20274"/>
      <c r="M20274"/>
    </row>
    <row r="20275" spans="5:13" x14ac:dyDescent="0.25">
      <c r="E20275"/>
      <c r="M20275"/>
    </row>
    <row r="20276" spans="5:13" x14ac:dyDescent="0.25">
      <c r="E20276"/>
      <c r="M20276"/>
    </row>
    <row r="20277" spans="5:13" x14ac:dyDescent="0.25">
      <c r="E20277"/>
      <c r="M20277"/>
    </row>
    <row r="20278" spans="5:13" x14ac:dyDescent="0.25">
      <c r="E20278"/>
      <c r="M20278"/>
    </row>
    <row r="20279" spans="5:13" x14ac:dyDescent="0.25">
      <c r="E20279"/>
      <c r="M20279"/>
    </row>
    <row r="20280" spans="5:13" x14ac:dyDescent="0.25">
      <c r="E20280"/>
      <c r="M20280"/>
    </row>
    <row r="20281" spans="5:13" x14ac:dyDescent="0.25">
      <c r="E20281"/>
      <c r="M20281"/>
    </row>
    <row r="20282" spans="5:13" x14ac:dyDescent="0.25">
      <c r="E20282"/>
      <c r="M20282"/>
    </row>
    <row r="20283" spans="5:13" x14ac:dyDescent="0.25">
      <c r="E20283"/>
      <c r="M20283"/>
    </row>
    <row r="20284" spans="5:13" x14ac:dyDescent="0.25">
      <c r="E20284"/>
      <c r="M20284"/>
    </row>
    <row r="20285" spans="5:13" x14ac:dyDescent="0.25">
      <c r="E20285"/>
      <c r="M20285"/>
    </row>
    <row r="20286" spans="5:13" x14ac:dyDescent="0.25">
      <c r="E20286"/>
      <c r="M20286"/>
    </row>
    <row r="20287" spans="5:13" x14ac:dyDescent="0.25">
      <c r="E20287"/>
      <c r="M20287"/>
    </row>
    <row r="20288" spans="5:13" x14ac:dyDescent="0.25">
      <c r="E20288"/>
      <c r="M20288"/>
    </row>
    <row r="20289" spans="5:13" x14ac:dyDescent="0.25">
      <c r="E20289"/>
      <c r="M20289"/>
    </row>
    <row r="20290" spans="5:13" x14ac:dyDescent="0.25">
      <c r="E20290"/>
      <c r="M20290"/>
    </row>
    <row r="20291" spans="5:13" x14ac:dyDescent="0.25">
      <c r="E20291"/>
      <c r="M20291"/>
    </row>
    <row r="20292" spans="5:13" x14ac:dyDescent="0.25">
      <c r="E20292"/>
      <c r="M20292"/>
    </row>
    <row r="20293" spans="5:13" x14ac:dyDescent="0.25">
      <c r="E20293"/>
      <c r="M20293"/>
    </row>
    <row r="20294" spans="5:13" x14ac:dyDescent="0.25">
      <c r="E20294"/>
      <c r="M20294"/>
    </row>
    <row r="20295" spans="5:13" x14ac:dyDescent="0.25">
      <c r="E20295"/>
      <c r="M20295"/>
    </row>
    <row r="20296" spans="5:13" x14ac:dyDescent="0.25">
      <c r="E20296"/>
      <c r="M20296"/>
    </row>
    <row r="20297" spans="5:13" x14ac:dyDescent="0.25">
      <c r="E20297"/>
      <c r="M20297"/>
    </row>
    <row r="20298" spans="5:13" x14ac:dyDescent="0.25">
      <c r="E20298"/>
      <c r="M20298"/>
    </row>
    <row r="20299" spans="5:13" x14ac:dyDescent="0.25">
      <c r="E20299"/>
      <c r="M20299"/>
    </row>
    <row r="20300" spans="5:13" x14ac:dyDescent="0.25">
      <c r="E20300"/>
      <c r="M20300"/>
    </row>
    <row r="20301" spans="5:13" x14ac:dyDescent="0.25">
      <c r="E20301"/>
      <c r="M20301"/>
    </row>
    <row r="20302" spans="5:13" x14ac:dyDescent="0.25">
      <c r="E20302"/>
      <c r="M20302"/>
    </row>
    <row r="20303" spans="5:13" x14ac:dyDescent="0.25">
      <c r="E20303"/>
      <c r="M20303"/>
    </row>
    <row r="20304" spans="5:13" x14ac:dyDescent="0.25">
      <c r="E20304"/>
      <c r="M20304"/>
    </row>
    <row r="20305" spans="5:13" x14ac:dyDescent="0.25">
      <c r="E20305"/>
      <c r="M20305"/>
    </row>
    <row r="20306" spans="5:13" x14ac:dyDescent="0.25">
      <c r="E20306"/>
      <c r="M20306"/>
    </row>
    <row r="20307" spans="5:13" x14ac:dyDescent="0.25">
      <c r="E20307"/>
      <c r="M20307"/>
    </row>
    <row r="20308" spans="5:13" x14ac:dyDescent="0.25">
      <c r="E20308"/>
      <c r="M20308"/>
    </row>
    <row r="20309" spans="5:13" x14ac:dyDescent="0.25">
      <c r="E20309"/>
      <c r="M20309"/>
    </row>
    <row r="20310" spans="5:13" x14ac:dyDescent="0.25">
      <c r="E20310"/>
      <c r="M20310"/>
    </row>
    <row r="20311" spans="5:13" x14ac:dyDescent="0.25">
      <c r="E20311"/>
      <c r="M20311"/>
    </row>
    <row r="20312" spans="5:13" x14ac:dyDescent="0.25">
      <c r="E20312"/>
      <c r="M20312"/>
    </row>
    <row r="20313" spans="5:13" x14ac:dyDescent="0.25">
      <c r="E20313"/>
      <c r="M20313"/>
    </row>
    <row r="20314" spans="5:13" x14ac:dyDescent="0.25">
      <c r="E20314"/>
      <c r="M20314"/>
    </row>
    <row r="20315" spans="5:13" x14ac:dyDescent="0.25">
      <c r="E20315"/>
      <c r="M20315"/>
    </row>
    <row r="20316" spans="5:13" x14ac:dyDescent="0.25">
      <c r="E20316"/>
      <c r="M20316"/>
    </row>
    <row r="20317" spans="5:13" x14ac:dyDescent="0.25">
      <c r="E20317"/>
      <c r="M20317"/>
    </row>
    <row r="20318" spans="5:13" x14ac:dyDescent="0.25">
      <c r="E20318"/>
      <c r="M20318"/>
    </row>
    <row r="20319" spans="5:13" x14ac:dyDescent="0.25">
      <c r="E20319"/>
      <c r="M20319"/>
    </row>
    <row r="20320" spans="5:13" x14ac:dyDescent="0.25">
      <c r="E20320"/>
      <c r="M20320"/>
    </row>
    <row r="20321" spans="5:13" x14ac:dyDescent="0.25">
      <c r="E20321"/>
      <c r="M20321"/>
    </row>
    <row r="20322" spans="5:13" x14ac:dyDescent="0.25">
      <c r="E20322"/>
      <c r="M20322"/>
    </row>
    <row r="20323" spans="5:13" x14ac:dyDescent="0.25">
      <c r="E20323"/>
      <c r="M20323"/>
    </row>
    <row r="20324" spans="5:13" x14ac:dyDescent="0.25">
      <c r="E20324"/>
      <c r="M20324"/>
    </row>
    <row r="20325" spans="5:13" x14ac:dyDescent="0.25">
      <c r="E20325"/>
      <c r="M20325"/>
    </row>
    <row r="20326" spans="5:13" x14ac:dyDescent="0.25">
      <c r="E20326"/>
      <c r="M20326"/>
    </row>
    <row r="20327" spans="5:13" x14ac:dyDescent="0.25">
      <c r="E20327"/>
      <c r="M20327"/>
    </row>
    <row r="20328" spans="5:13" x14ac:dyDescent="0.25">
      <c r="E20328"/>
      <c r="M20328"/>
    </row>
    <row r="20329" spans="5:13" x14ac:dyDescent="0.25">
      <c r="E20329"/>
      <c r="M20329"/>
    </row>
    <row r="20330" spans="5:13" x14ac:dyDescent="0.25">
      <c r="E20330"/>
      <c r="M20330"/>
    </row>
    <row r="20331" spans="5:13" x14ac:dyDescent="0.25">
      <c r="E20331"/>
      <c r="M20331"/>
    </row>
    <row r="20332" spans="5:13" x14ac:dyDescent="0.25">
      <c r="E20332"/>
      <c r="M20332"/>
    </row>
    <row r="20333" spans="5:13" x14ac:dyDescent="0.25">
      <c r="E20333"/>
      <c r="M20333"/>
    </row>
    <row r="20334" spans="5:13" x14ac:dyDescent="0.25">
      <c r="E20334"/>
      <c r="M20334"/>
    </row>
    <row r="20335" spans="5:13" x14ac:dyDescent="0.25">
      <c r="E20335"/>
      <c r="M20335"/>
    </row>
    <row r="20336" spans="5:13" x14ac:dyDescent="0.25">
      <c r="E20336"/>
      <c r="M20336"/>
    </row>
    <row r="20337" spans="5:13" x14ac:dyDescent="0.25">
      <c r="E20337"/>
      <c r="M20337"/>
    </row>
    <row r="20338" spans="5:13" x14ac:dyDescent="0.25">
      <c r="E20338"/>
      <c r="M20338"/>
    </row>
    <row r="20339" spans="5:13" x14ac:dyDescent="0.25">
      <c r="E20339"/>
      <c r="M20339"/>
    </row>
    <row r="20340" spans="5:13" x14ac:dyDescent="0.25">
      <c r="E20340"/>
      <c r="M20340"/>
    </row>
    <row r="20341" spans="5:13" x14ac:dyDescent="0.25">
      <c r="E20341"/>
      <c r="M20341"/>
    </row>
    <row r="20342" spans="5:13" x14ac:dyDescent="0.25">
      <c r="E20342"/>
      <c r="M20342"/>
    </row>
    <row r="20343" spans="5:13" x14ac:dyDescent="0.25">
      <c r="E20343"/>
      <c r="M20343"/>
    </row>
    <row r="20344" spans="5:13" x14ac:dyDescent="0.25">
      <c r="E20344"/>
      <c r="M20344"/>
    </row>
    <row r="20345" spans="5:13" x14ac:dyDescent="0.25">
      <c r="E20345"/>
      <c r="M20345"/>
    </row>
    <row r="20346" spans="5:13" x14ac:dyDescent="0.25">
      <c r="E20346"/>
      <c r="M20346"/>
    </row>
    <row r="20347" spans="5:13" x14ac:dyDescent="0.25">
      <c r="E20347"/>
      <c r="M20347"/>
    </row>
    <row r="20348" spans="5:13" x14ac:dyDescent="0.25">
      <c r="E20348"/>
      <c r="M20348"/>
    </row>
    <row r="20349" spans="5:13" x14ac:dyDescent="0.25">
      <c r="E20349"/>
      <c r="M20349"/>
    </row>
    <row r="20350" spans="5:13" x14ac:dyDescent="0.25">
      <c r="E20350"/>
      <c r="M20350"/>
    </row>
    <row r="20351" spans="5:13" x14ac:dyDescent="0.25">
      <c r="E20351"/>
      <c r="M20351"/>
    </row>
    <row r="20352" spans="5:13" x14ac:dyDescent="0.25">
      <c r="E20352"/>
      <c r="M20352"/>
    </row>
    <row r="20353" spans="5:13" x14ac:dyDescent="0.25">
      <c r="E20353"/>
      <c r="M20353"/>
    </row>
    <row r="20354" spans="5:13" x14ac:dyDescent="0.25">
      <c r="E20354"/>
      <c r="M20354"/>
    </row>
    <row r="20355" spans="5:13" x14ac:dyDescent="0.25">
      <c r="E20355"/>
      <c r="M20355"/>
    </row>
    <row r="20356" spans="5:13" x14ac:dyDescent="0.25">
      <c r="E20356"/>
      <c r="M20356"/>
    </row>
    <row r="20357" spans="5:13" x14ac:dyDescent="0.25">
      <c r="E20357"/>
      <c r="M20357"/>
    </row>
    <row r="20358" spans="5:13" x14ac:dyDescent="0.25">
      <c r="E20358"/>
      <c r="M20358"/>
    </row>
    <row r="20359" spans="5:13" x14ac:dyDescent="0.25">
      <c r="E20359"/>
      <c r="M20359"/>
    </row>
    <row r="20360" spans="5:13" x14ac:dyDescent="0.25">
      <c r="E20360"/>
      <c r="M20360"/>
    </row>
    <row r="20361" spans="5:13" x14ac:dyDescent="0.25">
      <c r="E20361"/>
      <c r="M20361"/>
    </row>
    <row r="20362" spans="5:13" x14ac:dyDescent="0.25">
      <c r="E20362"/>
      <c r="M20362"/>
    </row>
    <row r="20363" spans="5:13" x14ac:dyDescent="0.25">
      <c r="E20363"/>
      <c r="M20363"/>
    </row>
    <row r="20364" spans="5:13" x14ac:dyDescent="0.25">
      <c r="E20364"/>
      <c r="M20364"/>
    </row>
    <row r="20365" spans="5:13" x14ac:dyDescent="0.25">
      <c r="E20365"/>
      <c r="M20365"/>
    </row>
    <row r="20366" spans="5:13" x14ac:dyDescent="0.25">
      <c r="E20366"/>
      <c r="M20366"/>
    </row>
    <row r="20367" spans="5:13" x14ac:dyDescent="0.25">
      <c r="E20367"/>
      <c r="M20367"/>
    </row>
    <row r="20368" spans="5:13" x14ac:dyDescent="0.25">
      <c r="E20368"/>
      <c r="M20368"/>
    </row>
    <row r="20369" spans="5:13" x14ac:dyDescent="0.25">
      <c r="E20369"/>
      <c r="M20369"/>
    </row>
    <row r="20370" spans="5:13" x14ac:dyDescent="0.25">
      <c r="E20370"/>
      <c r="M20370"/>
    </row>
    <row r="20371" spans="5:13" x14ac:dyDescent="0.25">
      <c r="E20371"/>
      <c r="M20371"/>
    </row>
    <row r="20372" spans="5:13" x14ac:dyDescent="0.25">
      <c r="E20372"/>
      <c r="M20372"/>
    </row>
    <row r="20373" spans="5:13" x14ac:dyDescent="0.25">
      <c r="E20373"/>
      <c r="M20373"/>
    </row>
    <row r="20374" spans="5:13" x14ac:dyDescent="0.25">
      <c r="E20374"/>
      <c r="M20374"/>
    </row>
    <row r="20375" spans="5:13" x14ac:dyDescent="0.25">
      <c r="E20375"/>
      <c r="M20375"/>
    </row>
    <row r="20376" spans="5:13" x14ac:dyDescent="0.25">
      <c r="E20376"/>
      <c r="M20376"/>
    </row>
    <row r="20377" spans="5:13" x14ac:dyDescent="0.25">
      <c r="E20377"/>
      <c r="M20377"/>
    </row>
    <row r="20378" spans="5:13" x14ac:dyDescent="0.25">
      <c r="E20378"/>
      <c r="M20378"/>
    </row>
    <row r="20379" spans="5:13" x14ac:dyDescent="0.25">
      <c r="E20379"/>
      <c r="M20379"/>
    </row>
    <row r="20380" spans="5:13" x14ac:dyDescent="0.25">
      <c r="E20380"/>
      <c r="M20380"/>
    </row>
    <row r="20381" spans="5:13" x14ac:dyDescent="0.25">
      <c r="E20381"/>
      <c r="M20381"/>
    </row>
    <row r="20382" spans="5:13" x14ac:dyDescent="0.25">
      <c r="E20382"/>
      <c r="M20382"/>
    </row>
    <row r="20383" spans="5:13" x14ac:dyDescent="0.25">
      <c r="E20383"/>
      <c r="M20383"/>
    </row>
    <row r="20384" spans="5:13" x14ac:dyDescent="0.25">
      <c r="E20384"/>
      <c r="M20384"/>
    </row>
    <row r="20385" spans="5:13" x14ac:dyDescent="0.25">
      <c r="E20385"/>
      <c r="M20385"/>
    </row>
    <row r="20386" spans="5:13" x14ac:dyDescent="0.25">
      <c r="E20386"/>
      <c r="M20386"/>
    </row>
    <row r="20387" spans="5:13" x14ac:dyDescent="0.25">
      <c r="E20387"/>
      <c r="M20387"/>
    </row>
    <row r="20388" spans="5:13" x14ac:dyDescent="0.25">
      <c r="E20388"/>
      <c r="M20388"/>
    </row>
    <row r="20389" spans="5:13" x14ac:dyDescent="0.25">
      <c r="E20389"/>
      <c r="M20389"/>
    </row>
    <row r="20390" spans="5:13" x14ac:dyDescent="0.25">
      <c r="E20390"/>
      <c r="M20390"/>
    </row>
    <row r="20391" spans="5:13" x14ac:dyDescent="0.25">
      <c r="E20391"/>
      <c r="M20391"/>
    </row>
    <row r="20392" spans="5:13" x14ac:dyDescent="0.25">
      <c r="E20392"/>
      <c r="M20392"/>
    </row>
    <row r="20393" spans="5:13" x14ac:dyDescent="0.25">
      <c r="E20393"/>
      <c r="M20393"/>
    </row>
    <row r="20394" spans="5:13" x14ac:dyDescent="0.25">
      <c r="E20394"/>
      <c r="M20394"/>
    </row>
    <row r="20395" spans="5:13" x14ac:dyDescent="0.25">
      <c r="E20395"/>
      <c r="M20395"/>
    </row>
    <row r="20396" spans="5:13" x14ac:dyDescent="0.25">
      <c r="E20396"/>
      <c r="M20396"/>
    </row>
    <row r="20397" spans="5:13" x14ac:dyDescent="0.25">
      <c r="E20397"/>
      <c r="M20397"/>
    </row>
    <row r="20398" spans="5:13" x14ac:dyDescent="0.25">
      <c r="E20398"/>
      <c r="M20398"/>
    </row>
    <row r="20399" spans="5:13" x14ac:dyDescent="0.25">
      <c r="E20399"/>
      <c r="M20399"/>
    </row>
    <row r="20400" spans="5:13" x14ac:dyDescent="0.25">
      <c r="E20400"/>
      <c r="M20400"/>
    </row>
    <row r="20401" spans="5:13" x14ac:dyDescent="0.25">
      <c r="E20401"/>
      <c r="M20401"/>
    </row>
    <row r="20402" spans="5:13" x14ac:dyDescent="0.25">
      <c r="E20402"/>
      <c r="M20402"/>
    </row>
    <row r="20403" spans="5:13" x14ac:dyDescent="0.25">
      <c r="E20403"/>
      <c r="M20403"/>
    </row>
    <row r="20404" spans="5:13" x14ac:dyDescent="0.25">
      <c r="E20404"/>
      <c r="M20404"/>
    </row>
    <row r="20405" spans="5:13" x14ac:dyDescent="0.25">
      <c r="E20405"/>
      <c r="M20405"/>
    </row>
    <row r="20406" spans="5:13" x14ac:dyDescent="0.25">
      <c r="E20406"/>
      <c r="M20406"/>
    </row>
    <row r="20407" spans="5:13" x14ac:dyDescent="0.25">
      <c r="E20407"/>
      <c r="M20407"/>
    </row>
    <row r="20408" spans="5:13" x14ac:dyDescent="0.25">
      <c r="E20408"/>
      <c r="M20408"/>
    </row>
    <row r="20409" spans="5:13" x14ac:dyDescent="0.25">
      <c r="E20409"/>
      <c r="M20409"/>
    </row>
    <row r="20410" spans="5:13" x14ac:dyDescent="0.25">
      <c r="E20410"/>
      <c r="M20410"/>
    </row>
    <row r="20411" spans="5:13" x14ac:dyDescent="0.25">
      <c r="E20411"/>
      <c r="M20411"/>
    </row>
    <row r="20412" spans="5:13" x14ac:dyDescent="0.25">
      <c r="E20412"/>
      <c r="M20412"/>
    </row>
    <row r="20413" spans="5:13" x14ac:dyDescent="0.25">
      <c r="E20413"/>
      <c r="M20413"/>
    </row>
    <row r="20414" spans="5:13" x14ac:dyDescent="0.25">
      <c r="E20414"/>
      <c r="M20414"/>
    </row>
    <row r="20415" spans="5:13" x14ac:dyDescent="0.25">
      <c r="E20415"/>
      <c r="M20415"/>
    </row>
    <row r="20416" spans="5:13" x14ac:dyDescent="0.25">
      <c r="E20416"/>
      <c r="M20416"/>
    </row>
    <row r="20417" spans="5:13" x14ac:dyDescent="0.25">
      <c r="E20417"/>
      <c r="M20417"/>
    </row>
    <row r="20418" spans="5:13" x14ac:dyDescent="0.25">
      <c r="E20418"/>
      <c r="M20418"/>
    </row>
    <row r="20419" spans="5:13" x14ac:dyDescent="0.25">
      <c r="E20419"/>
      <c r="M20419"/>
    </row>
    <row r="20420" spans="5:13" x14ac:dyDescent="0.25">
      <c r="E20420"/>
      <c r="M20420"/>
    </row>
    <row r="20421" spans="5:13" x14ac:dyDescent="0.25">
      <c r="E20421"/>
      <c r="M20421"/>
    </row>
    <row r="20422" spans="5:13" x14ac:dyDescent="0.25">
      <c r="E20422"/>
      <c r="M20422"/>
    </row>
    <row r="20423" spans="5:13" x14ac:dyDescent="0.25">
      <c r="E20423"/>
      <c r="M20423"/>
    </row>
    <row r="20424" spans="5:13" x14ac:dyDescent="0.25">
      <c r="E20424"/>
      <c r="M20424"/>
    </row>
    <row r="20425" spans="5:13" x14ac:dyDescent="0.25">
      <c r="E20425"/>
      <c r="M20425"/>
    </row>
    <row r="20426" spans="5:13" x14ac:dyDescent="0.25">
      <c r="E20426"/>
      <c r="M20426"/>
    </row>
    <row r="20427" spans="5:13" x14ac:dyDescent="0.25">
      <c r="E20427"/>
      <c r="M20427"/>
    </row>
    <row r="20428" spans="5:13" x14ac:dyDescent="0.25">
      <c r="E20428"/>
      <c r="M20428"/>
    </row>
    <row r="20429" spans="5:13" x14ac:dyDescent="0.25">
      <c r="E20429"/>
      <c r="M20429"/>
    </row>
    <row r="20430" spans="5:13" x14ac:dyDescent="0.25">
      <c r="E20430"/>
      <c r="M20430"/>
    </row>
    <row r="20431" spans="5:13" x14ac:dyDescent="0.25">
      <c r="E20431"/>
      <c r="M20431"/>
    </row>
    <row r="20432" spans="5:13" x14ac:dyDescent="0.25">
      <c r="E20432"/>
      <c r="M20432"/>
    </row>
    <row r="20433" spans="5:13" x14ac:dyDescent="0.25">
      <c r="E20433"/>
      <c r="M20433"/>
    </row>
    <row r="20434" spans="5:13" x14ac:dyDescent="0.25">
      <c r="E20434"/>
      <c r="M20434"/>
    </row>
    <row r="20435" spans="5:13" x14ac:dyDescent="0.25">
      <c r="E20435"/>
      <c r="M20435"/>
    </row>
    <row r="20436" spans="5:13" x14ac:dyDescent="0.25">
      <c r="E20436"/>
      <c r="M20436"/>
    </row>
    <row r="20437" spans="5:13" x14ac:dyDescent="0.25">
      <c r="E20437"/>
      <c r="M20437"/>
    </row>
    <row r="20438" spans="5:13" x14ac:dyDescent="0.25">
      <c r="E20438"/>
      <c r="M20438"/>
    </row>
    <row r="20439" spans="5:13" x14ac:dyDescent="0.25">
      <c r="E20439"/>
      <c r="M20439"/>
    </row>
    <row r="20440" spans="5:13" x14ac:dyDescent="0.25">
      <c r="E20440"/>
      <c r="M20440"/>
    </row>
    <row r="20441" spans="5:13" x14ac:dyDescent="0.25">
      <c r="E20441"/>
      <c r="M20441"/>
    </row>
    <row r="20442" spans="5:13" x14ac:dyDescent="0.25">
      <c r="E20442"/>
      <c r="M20442"/>
    </row>
    <row r="20443" spans="5:13" x14ac:dyDescent="0.25">
      <c r="E20443"/>
      <c r="M20443"/>
    </row>
    <row r="20444" spans="5:13" x14ac:dyDescent="0.25">
      <c r="E20444"/>
      <c r="M20444"/>
    </row>
    <row r="20445" spans="5:13" x14ac:dyDescent="0.25">
      <c r="E20445"/>
      <c r="M20445"/>
    </row>
    <row r="20446" spans="5:13" x14ac:dyDescent="0.25">
      <c r="E20446"/>
      <c r="M20446"/>
    </row>
    <row r="20447" spans="5:13" x14ac:dyDescent="0.25">
      <c r="E20447"/>
      <c r="M20447"/>
    </row>
    <row r="20448" spans="5:13" x14ac:dyDescent="0.25">
      <c r="E20448"/>
      <c r="M20448"/>
    </row>
    <row r="20449" spans="5:13" x14ac:dyDescent="0.25">
      <c r="E20449"/>
      <c r="M20449"/>
    </row>
    <row r="20450" spans="5:13" x14ac:dyDescent="0.25">
      <c r="E20450"/>
      <c r="M20450"/>
    </row>
    <row r="20451" spans="5:13" x14ac:dyDescent="0.25">
      <c r="E20451"/>
      <c r="M20451"/>
    </row>
    <row r="20452" spans="5:13" x14ac:dyDescent="0.25">
      <c r="E20452"/>
      <c r="M20452"/>
    </row>
    <row r="20453" spans="5:13" x14ac:dyDescent="0.25">
      <c r="E20453"/>
      <c r="M20453"/>
    </row>
    <row r="20454" spans="5:13" x14ac:dyDescent="0.25">
      <c r="E20454"/>
      <c r="M20454"/>
    </row>
    <row r="20455" spans="5:13" x14ac:dyDescent="0.25">
      <c r="E20455"/>
      <c r="M20455"/>
    </row>
    <row r="20456" spans="5:13" x14ac:dyDescent="0.25">
      <c r="E20456"/>
      <c r="M20456"/>
    </row>
    <row r="20457" spans="5:13" x14ac:dyDescent="0.25">
      <c r="E20457"/>
      <c r="M20457"/>
    </row>
    <row r="20458" spans="5:13" x14ac:dyDescent="0.25">
      <c r="E20458"/>
      <c r="M20458"/>
    </row>
    <row r="20459" spans="5:13" x14ac:dyDescent="0.25">
      <c r="E20459"/>
      <c r="M20459"/>
    </row>
    <row r="20460" spans="5:13" x14ac:dyDescent="0.25">
      <c r="E20460"/>
      <c r="M20460"/>
    </row>
    <row r="20461" spans="5:13" x14ac:dyDescent="0.25">
      <c r="E20461"/>
      <c r="M20461"/>
    </row>
    <row r="20462" spans="5:13" x14ac:dyDescent="0.25">
      <c r="E20462"/>
      <c r="M20462"/>
    </row>
    <row r="20463" spans="5:13" x14ac:dyDescent="0.25">
      <c r="E20463"/>
      <c r="M20463"/>
    </row>
    <row r="20464" spans="5:13" x14ac:dyDescent="0.25">
      <c r="E20464"/>
      <c r="M20464"/>
    </row>
    <row r="20465" spans="5:13" x14ac:dyDescent="0.25">
      <c r="E20465"/>
      <c r="M20465"/>
    </row>
    <row r="20466" spans="5:13" x14ac:dyDescent="0.25">
      <c r="E20466"/>
      <c r="M20466"/>
    </row>
    <row r="20467" spans="5:13" x14ac:dyDescent="0.25">
      <c r="E20467"/>
      <c r="M20467"/>
    </row>
    <row r="20468" spans="5:13" x14ac:dyDescent="0.25">
      <c r="E20468"/>
      <c r="M20468"/>
    </row>
    <row r="20469" spans="5:13" x14ac:dyDescent="0.25">
      <c r="E20469"/>
      <c r="M20469"/>
    </row>
    <row r="20470" spans="5:13" x14ac:dyDescent="0.25">
      <c r="E20470"/>
      <c r="M20470"/>
    </row>
    <row r="20471" spans="5:13" x14ac:dyDescent="0.25">
      <c r="E20471"/>
      <c r="M20471"/>
    </row>
    <row r="20472" spans="5:13" x14ac:dyDescent="0.25">
      <c r="E20472"/>
      <c r="M20472"/>
    </row>
    <row r="20473" spans="5:13" x14ac:dyDescent="0.25">
      <c r="E20473"/>
      <c r="M20473"/>
    </row>
    <row r="20474" spans="5:13" x14ac:dyDescent="0.25">
      <c r="E20474"/>
      <c r="M20474"/>
    </row>
    <row r="20475" spans="5:13" x14ac:dyDescent="0.25">
      <c r="E20475"/>
      <c r="M20475"/>
    </row>
    <row r="20476" spans="5:13" x14ac:dyDescent="0.25">
      <c r="E20476"/>
      <c r="M20476"/>
    </row>
    <row r="20477" spans="5:13" x14ac:dyDescent="0.25">
      <c r="E20477"/>
      <c r="M20477"/>
    </row>
    <row r="20478" spans="5:13" x14ac:dyDescent="0.25">
      <c r="E20478"/>
      <c r="M20478"/>
    </row>
    <row r="20479" spans="5:13" x14ac:dyDescent="0.25">
      <c r="E20479"/>
      <c r="M20479"/>
    </row>
    <row r="20480" spans="5:13" x14ac:dyDescent="0.25">
      <c r="E20480"/>
      <c r="M20480"/>
    </row>
    <row r="20481" spans="5:13" x14ac:dyDescent="0.25">
      <c r="E20481"/>
      <c r="M20481"/>
    </row>
    <row r="20482" spans="5:13" x14ac:dyDescent="0.25">
      <c r="E20482"/>
      <c r="M20482"/>
    </row>
    <row r="20483" spans="5:13" x14ac:dyDescent="0.25">
      <c r="E20483"/>
      <c r="M20483"/>
    </row>
    <row r="20484" spans="5:13" x14ac:dyDescent="0.25">
      <c r="E20484"/>
      <c r="M20484"/>
    </row>
    <row r="20485" spans="5:13" x14ac:dyDescent="0.25">
      <c r="E20485"/>
      <c r="M20485"/>
    </row>
    <row r="20486" spans="5:13" x14ac:dyDescent="0.25">
      <c r="E20486"/>
      <c r="M20486"/>
    </row>
    <row r="20487" spans="5:13" x14ac:dyDescent="0.25">
      <c r="E20487"/>
      <c r="M20487"/>
    </row>
    <row r="20488" spans="5:13" x14ac:dyDescent="0.25">
      <c r="E20488"/>
      <c r="M20488"/>
    </row>
    <row r="20489" spans="5:13" x14ac:dyDescent="0.25">
      <c r="E20489"/>
      <c r="M20489"/>
    </row>
    <row r="20490" spans="5:13" x14ac:dyDescent="0.25">
      <c r="E20490"/>
      <c r="M20490"/>
    </row>
    <row r="20491" spans="5:13" x14ac:dyDescent="0.25">
      <c r="E20491"/>
      <c r="M20491"/>
    </row>
    <row r="20492" spans="5:13" x14ac:dyDescent="0.25">
      <c r="E20492"/>
      <c r="M20492"/>
    </row>
    <row r="20493" spans="5:13" x14ac:dyDescent="0.25">
      <c r="E20493"/>
      <c r="M20493"/>
    </row>
    <row r="20494" spans="5:13" x14ac:dyDescent="0.25">
      <c r="E20494"/>
      <c r="M20494"/>
    </row>
    <row r="20495" spans="5:13" x14ac:dyDescent="0.25">
      <c r="E20495"/>
      <c r="M20495"/>
    </row>
    <row r="20496" spans="5:13" x14ac:dyDescent="0.25">
      <c r="E20496"/>
      <c r="M20496"/>
    </row>
    <row r="20497" spans="5:13" x14ac:dyDescent="0.25">
      <c r="E20497"/>
      <c r="M20497"/>
    </row>
    <row r="20498" spans="5:13" x14ac:dyDescent="0.25">
      <c r="E20498"/>
      <c r="M20498"/>
    </row>
    <row r="20499" spans="5:13" x14ac:dyDescent="0.25">
      <c r="E20499"/>
      <c r="M20499"/>
    </row>
    <row r="20500" spans="5:13" x14ac:dyDescent="0.25">
      <c r="E20500"/>
      <c r="M20500"/>
    </row>
    <row r="20501" spans="5:13" x14ac:dyDescent="0.25">
      <c r="E20501"/>
      <c r="M20501"/>
    </row>
    <row r="20502" spans="5:13" x14ac:dyDescent="0.25">
      <c r="E20502"/>
      <c r="M20502"/>
    </row>
    <row r="20503" spans="5:13" x14ac:dyDescent="0.25">
      <c r="E20503"/>
      <c r="M20503"/>
    </row>
    <row r="20504" spans="5:13" x14ac:dyDescent="0.25">
      <c r="E20504"/>
      <c r="M20504"/>
    </row>
    <row r="20505" spans="5:13" x14ac:dyDescent="0.25">
      <c r="E20505"/>
      <c r="M20505"/>
    </row>
    <row r="20506" spans="5:13" x14ac:dyDescent="0.25">
      <c r="E20506"/>
      <c r="M20506"/>
    </row>
    <row r="20507" spans="5:13" x14ac:dyDescent="0.25">
      <c r="E20507"/>
      <c r="M20507"/>
    </row>
    <row r="20508" spans="5:13" x14ac:dyDescent="0.25">
      <c r="E20508"/>
      <c r="M20508"/>
    </row>
    <row r="20509" spans="5:13" x14ac:dyDescent="0.25">
      <c r="E20509"/>
      <c r="M20509"/>
    </row>
    <row r="20510" spans="5:13" x14ac:dyDescent="0.25">
      <c r="E20510"/>
      <c r="M20510"/>
    </row>
    <row r="20511" spans="5:13" x14ac:dyDescent="0.25">
      <c r="E20511"/>
      <c r="M20511"/>
    </row>
    <row r="20512" spans="5:13" x14ac:dyDescent="0.25">
      <c r="E20512"/>
      <c r="M20512"/>
    </row>
    <row r="20513" spans="5:13" x14ac:dyDescent="0.25">
      <c r="E20513"/>
      <c r="M20513"/>
    </row>
    <row r="20514" spans="5:13" x14ac:dyDescent="0.25">
      <c r="E20514"/>
      <c r="M20514"/>
    </row>
    <row r="20515" spans="5:13" x14ac:dyDescent="0.25">
      <c r="E20515"/>
      <c r="M20515"/>
    </row>
    <row r="20516" spans="5:13" x14ac:dyDescent="0.25">
      <c r="E20516"/>
      <c r="M20516"/>
    </row>
    <row r="20517" spans="5:13" x14ac:dyDescent="0.25">
      <c r="E20517"/>
      <c r="M20517"/>
    </row>
    <row r="20518" spans="5:13" x14ac:dyDescent="0.25">
      <c r="E20518"/>
      <c r="M20518"/>
    </row>
    <row r="20519" spans="5:13" x14ac:dyDescent="0.25">
      <c r="E20519"/>
      <c r="M20519"/>
    </row>
    <row r="20520" spans="5:13" x14ac:dyDescent="0.25">
      <c r="E20520"/>
      <c r="M20520"/>
    </row>
    <row r="20521" spans="5:13" x14ac:dyDescent="0.25">
      <c r="E20521"/>
      <c r="M20521"/>
    </row>
    <row r="20522" spans="5:13" x14ac:dyDescent="0.25">
      <c r="E20522"/>
      <c r="M20522"/>
    </row>
    <row r="20523" spans="5:13" x14ac:dyDescent="0.25">
      <c r="E20523"/>
      <c r="M20523"/>
    </row>
    <row r="20524" spans="5:13" x14ac:dyDescent="0.25">
      <c r="E20524"/>
      <c r="M20524"/>
    </row>
    <row r="20525" spans="5:13" x14ac:dyDescent="0.25">
      <c r="E20525"/>
      <c r="M20525"/>
    </row>
    <row r="20526" spans="5:13" x14ac:dyDescent="0.25">
      <c r="E20526"/>
      <c r="M20526"/>
    </row>
    <row r="20527" spans="5:13" x14ac:dyDescent="0.25">
      <c r="E20527"/>
      <c r="M20527"/>
    </row>
    <row r="20528" spans="5:13" x14ac:dyDescent="0.25">
      <c r="E20528"/>
      <c r="M20528"/>
    </row>
    <row r="20529" spans="5:13" x14ac:dyDescent="0.25">
      <c r="E20529"/>
      <c r="M20529"/>
    </row>
    <row r="20530" spans="5:13" x14ac:dyDescent="0.25">
      <c r="E20530"/>
      <c r="M20530"/>
    </row>
    <row r="20531" spans="5:13" x14ac:dyDescent="0.25">
      <c r="E20531"/>
      <c r="M20531"/>
    </row>
    <row r="20532" spans="5:13" x14ac:dyDescent="0.25">
      <c r="E20532"/>
      <c r="M20532"/>
    </row>
    <row r="20533" spans="5:13" x14ac:dyDescent="0.25">
      <c r="E20533"/>
      <c r="M20533"/>
    </row>
    <row r="20534" spans="5:13" x14ac:dyDescent="0.25">
      <c r="E20534"/>
      <c r="M20534"/>
    </row>
    <row r="20535" spans="5:13" x14ac:dyDescent="0.25">
      <c r="E20535"/>
      <c r="M20535"/>
    </row>
    <row r="20536" spans="5:13" x14ac:dyDescent="0.25">
      <c r="E20536"/>
      <c r="M20536"/>
    </row>
    <row r="20537" spans="5:13" x14ac:dyDescent="0.25">
      <c r="E20537"/>
      <c r="M20537"/>
    </row>
    <row r="20538" spans="5:13" x14ac:dyDescent="0.25">
      <c r="E20538"/>
      <c r="M20538"/>
    </row>
    <row r="20539" spans="5:13" x14ac:dyDescent="0.25">
      <c r="E20539"/>
      <c r="M20539"/>
    </row>
    <row r="20540" spans="5:13" x14ac:dyDescent="0.25">
      <c r="E20540"/>
      <c r="M20540"/>
    </row>
    <row r="20541" spans="5:13" x14ac:dyDescent="0.25">
      <c r="E20541"/>
      <c r="M20541"/>
    </row>
    <row r="20542" spans="5:13" x14ac:dyDescent="0.25">
      <c r="E20542"/>
      <c r="M20542"/>
    </row>
    <row r="20543" spans="5:13" x14ac:dyDescent="0.25">
      <c r="E20543"/>
      <c r="M20543"/>
    </row>
    <row r="20544" spans="5:13" x14ac:dyDescent="0.25">
      <c r="E20544"/>
      <c r="M20544"/>
    </row>
    <row r="20545" spans="5:13" x14ac:dyDescent="0.25">
      <c r="E20545"/>
      <c r="M20545"/>
    </row>
    <row r="20546" spans="5:13" x14ac:dyDescent="0.25">
      <c r="E20546"/>
      <c r="M20546"/>
    </row>
    <row r="20547" spans="5:13" x14ac:dyDescent="0.25">
      <c r="E20547"/>
      <c r="M20547"/>
    </row>
    <row r="20548" spans="5:13" x14ac:dyDescent="0.25">
      <c r="E20548"/>
      <c r="M20548"/>
    </row>
    <row r="20549" spans="5:13" x14ac:dyDescent="0.25">
      <c r="E20549"/>
      <c r="M20549"/>
    </row>
    <row r="20550" spans="5:13" x14ac:dyDescent="0.25">
      <c r="E20550"/>
      <c r="M20550"/>
    </row>
    <row r="20551" spans="5:13" x14ac:dyDescent="0.25">
      <c r="E20551"/>
      <c r="M20551"/>
    </row>
    <row r="20552" spans="5:13" x14ac:dyDescent="0.25">
      <c r="E20552"/>
      <c r="M20552"/>
    </row>
    <row r="20553" spans="5:13" x14ac:dyDescent="0.25">
      <c r="E20553"/>
      <c r="M20553"/>
    </row>
    <row r="20554" spans="5:13" x14ac:dyDescent="0.25">
      <c r="E20554"/>
      <c r="M20554"/>
    </row>
    <row r="20555" spans="5:13" x14ac:dyDescent="0.25">
      <c r="E20555"/>
      <c r="M20555"/>
    </row>
    <row r="20556" spans="5:13" x14ac:dyDescent="0.25">
      <c r="E20556"/>
      <c r="M20556"/>
    </row>
    <row r="20557" spans="5:13" x14ac:dyDescent="0.25">
      <c r="E20557"/>
      <c r="M20557"/>
    </row>
    <row r="20558" spans="5:13" x14ac:dyDescent="0.25">
      <c r="E20558"/>
      <c r="M20558"/>
    </row>
    <row r="20559" spans="5:13" x14ac:dyDescent="0.25">
      <c r="E20559"/>
      <c r="M20559"/>
    </row>
    <row r="20560" spans="5:13" x14ac:dyDescent="0.25">
      <c r="E20560"/>
      <c r="M20560"/>
    </row>
    <row r="20561" spans="5:13" x14ac:dyDescent="0.25">
      <c r="E20561"/>
      <c r="M20561"/>
    </row>
    <row r="20562" spans="5:13" x14ac:dyDescent="0.25">
      <c r="E20562"/>
      <c r="M20562"/>
    </row>
    <row r="20563" spans="5:13" x14ac:dyDescent="0.25">
      <c r="E20563"/>
      <c r="M20563"/>
    </row>
    <row r="20564" spans="5:13" x14ac:dyDescent="0.25">
      <c r="E20564"/>
      <c r="M20564"/>
    </row>
    <row r="20565" spans="5:13" x14ac:dyDescent="0.25">
      <c r="E20565"/>
      <c r="M20565"/>
    </row>
    <row r="20566" spans="5:13" x14ac:dyDescent="0.25">
      <c r="E20566"/>
      <c r="M20566"/>
    </row>
    <row r="20567" spans="5:13" x14ac:dyDescent="0.25">
      <c r="E20567"/>
      <c r="M20567"/>
    </row>
    <row r="20568" spans="5:13" x14ac:dyDescent="0.25">
      <c r="E20568"/>
      <c r="M20568"/>
    </row>
    <row r="20569" spans="5:13" x14ac:dyDescent="0.25">
      <c r="E20569"/>
      <c r="M20569"/>
    </row>
    <row r="20570" spans="5:13" x14ac:dyDescent="0.25">
      <c r="E20570"/>
      <c r="M20570"/>
    </row>
    <row r="20571" spans="5:13" x14ac:dyDescent="0.25">
      <c r="E20571"/>
      <c r="M20571"/>
    </row>
    <row r="20572" spans="5:13" x14ac:dyDescent="0.25">
      <c r="E20572"/>
      <c r="M20572"/>
    </row>
    <row r="20573" spans="5:13" x14ac:dyDescent="0.25">
      <c r="E20573"/>
      <c r="M20573"/>
    </row>
    <row r="20574" spans="5:13" x14ac:dyDescent="0.25">
      <c r="E20574"/>
      <c r="M20574"/>
    </row>
    <row r="20575" spans="5:13" x14ac:dyDescent="0.25">
      <c r="E20575"/>
      <c r="M20575"/>
    </row>
    <row r="20576" spans="5:13" x14ac:dyDescent="0.25">
      <c r="E20576"/>
      <c r="M20576"/>
    </row>
    <row r="20577" spans="5:13" x14ac:dyDescent="0.25">
      <c r="E20577"/>
      <c r="M20577"/>
    </row>
    <row r="20578" spans="5:13" x14ac:dyDescent="0.25">
      <c r="E20578"/>
      <c r="M20578"/>
    </row>
    <row r="20579" spans="5:13" x14ac:dyDescent="0.25">
      <c r="E20579"/>
      <c r="M20579"/>
    </row>
    <row r="20580" spans="5:13" x14ac:dyDescent="0.25">
      <c r="E20580"/>
      <c r="M20580"/>
    </row>
    <row r="20581" spans="5:13" x14ac:dyDescent="0.25">
      <c r="E20581"/>
      <c r="M20581"/>
    </row>
    <row r="20582" spans="5:13" x14ac:dyDescent="0.25">
      <c r="E20582"/>
      <c r="M20582"/>
    </row>
    <row r="20583" spans="5:13" x14ac:dyDescent="0.25">
      <c r="E20583"/>
      <c r="M20583"/>
    </row>
    <row r="20584" spans="5:13" x14ac:dyDescent="0.25">
      <c r="E20584"/>
      <c r="M20584"/>
    </row>
    <row r="20585" spans="5:13" x14ac:dyDescent="0.25">
      <c r="E20585"/>
      <c r="M20585"/>
    </row>
    <row r="20586" spans="5:13" x14ac:dyDescent="0.25">
      <c r="E20586"/>
      <c r="M20586"/>
    </row>
    <row r="20587" spans="5:13" x14ac:dyDescent="0.25">
      <c r="E20587"/>
      <c r="M20587"/>
    </row>
    <row r="20588" spans="5:13" x14ac:dyDescent="0.25">
      <c r="E20588"/>
      <c r="M20588"/>
    </row>
    <row r="20589" spans="5:13" x14ac:dyDescent="0.25">
      <c r="E20589"/>
      <c r="M20589"/>
    </row>
    <row r="20590" spans="5:13" x14ac:dyDescent="0.25">
      <c r="E20590"/>
      <c r="M20590"/>
    </row>
    <row r="20591" spans="5:13" x14ac:dyDescent="0.25">
      <c r="E20591"/>
      <c r="M20591"/>
    </row>
    <row r="20592" spans="5:13" x14ac:dyDescent="0.25">
      <c r="E20592"/>
      <c r="M20592"/>
    </row>
    <row r="20593" spans="5:13" x14ac:dyDescent="0.25">
      <c r="E20593"/>
      <c r="M20593"/>
    </row>
    <row r="20594" spans="5:13" x14ac:dyDescent="0.25">
      <c r="E20594"/>
      <c r="M20594"/>
    </row>
    <row r="20595" spans="5:13" x14ac:dyDescent="0.25">
      <c r="E20595"/>
      <c r="M20595"/>
    </row>
    <row r="20596" spans="5:13" x14ac:dyDescent="0.25">
      <c r="E20596"/>
      <c r="M20596"/>
    </row>
    <row r="20597" spans="5:13" x14ac:dyDescent="0.25">
      <c r="E20597"/>
      <c r="M20597"/>
    </row>
    <row r="20598" spans="5:13" x14ac:dyDescent="0.25">
      <c r="E20598"/>
      <c r="M20598"/>
    </row>
    <row r="20599" spans="5:13" x14ac:dyDescent="0.25">
      <c r="E20599"/>
      <c r="M20599"/>
    </row>
    <row r="20600" spans="5:13" x14ac:dyDescent="0.25">
      <c r="E20600"/>
      <c r="M20600"/>
    </row>
    <row r="20601" spans="5:13" x14ac:dyDescent="0.25">
      <c r="E20601"/>
      <c r="M20601"/>
    </row>
    <row r="20602" spans="5:13" x14ac:dyDescent="0.25">
      <c r="E20602"/>
      <c r="M20602"/>
    </row>
    <row r="20603" spans="5:13" x14ac:dyDescent="0.25">
      <c r="E20603"/>
      <c r="M20603"/>
    </row>
    <row r="20604" spans="5:13" x14ac:dyDescent="0.25">
      <c r="E20604"/>
      <c r="M20604"/>
    </row>
    <row r="20605" spans="5:13" x14ac:dyDescent="0.25">
      <c r="E20605"/>
      <c r="M20605"/>
    </row>
    <row r="20606" spans="5:13" x14ac:dyDescent="0.25">
      <c r="E20606"/>
      <c r="M20606"/>
    </row>
    <row r="20607" spans="5:13" x14ac:dyDescent="0.25">
      <c r="E20607"/>
      <c r="M20607"/>
    </row>
    <row r="20608" spans="5:13" x14ac:dyDescent="0.25">
      <c r="E20608"/>
      <c r="M20608"/>
    </row>
    <row r="20609" spans="5:13" x14ac:dyDescent="0.25">
      <c r="E20609"/>
      <c r="M20609"/>
    </row>
    <row r="20610" spans="5:13" x14ac:dyDescent="0.25">
      <c r="E20610"/>
      <c r="M20610"/>
    </row>
    <row r="20611" spans="5:13" x14ac:dyDescent="0.25">
      <c r="E20611"/>
      <c r="M20611"/>
    </row>
    <row r="20612" spans="5:13" x14ac:dyDescent="0.25">
      <c r="E20612"/>
      <c r="M20612"/>
    </row>
    <row r="20613" spans="5:13" x14ac:dyDescent="0.25">
      <c r="E20613"/>
      <c r="M20613"/>
    </row>
    <row r="20614" spans="5:13" x14ac:dyDescent="0.25">
      <c r="E20614"/>
      <c r="M20614"/>
    </row>
    <row r="20615" spans="5:13" x14ac:dyDescent="0.25">
      <c r="E20615"/>
      <c r="M20615"/>
    </row>
    <row r="20616" spans="5:13" x14ac:dyDescent="0.25">
      <c r="E20616"/>
      <c r="M20616"/>
    </row>
    <row r="20617" spans="5:13" x14ac:dyDescent="0.25">
      <c r="E20617"/>
      <c r="M20617"/>
    </row>
    <row r="20618" spans="5:13" x14ac:dyDescent="0.25">
      <c r="E20618"/>
      <c r="M20618"/>
    </row>
    <row r="20619" spans="5:13" x14ac:dyDescent="0.25">
      <c r="E20619"/>
      <c r="M20619"/>
    </row>
    <row r="20620" spans="5:13" x14ac:dyDescent="0.25">
      <c r="E20620"/>
      <c r="M20620"/>
    </row>
    <row r="20621" spans="5:13" x14ac:dyDescent="0.25">
      <c r="E20621"/>
      <c r="M20621"/>
    </row>
    <row r="20622" spans="5:13" x14ac:dyDescent="0.25">
      <c r="E20622"/>
      <c r="M20622"/>
    </row>
    <row r="20623" spans="5:13" x14ac:dyDescent="0.25">
      <c r="E20623"/>
      <c r="M20623"/>
    </row>
    <row r="20624" spans="5:13" x14ac:dyDescent="0.25">
      <c r="E20624"/>
      <c r="M20624"/>
    </row>
    <row r="20625" spans="5:13" x14ac:dyDescent="0.25">
      <c r="E20625"/>
      <c r="M20625"/>
    </row>
    <row r="20626" spans="5:13" x14ac:dyDescent="0.25">
      <c r="E20626"/>
      <c r="M20626"/>
    </row>
    <row r="20627" spans="5:13" x14ac:dyDescent="0.25">
      <c r="E20627"/>
      <c r="M20627"/>
    </row>
    <row r="20628" spans="5:13" x14ac:dyDescent="0.25">
      <c r="E20628"/>
      <c r="M20628"/>
    </row>
    <row r="20629" spans="5:13" x14ac:dyDescent="0.25">
      <c r="E20629"/>
      <c r="M20629"/>
    </row>
    <row r="20630" spans="5:13" x14ac:dyDescent="0.25">
      <c r="E20630"/>
      <c r="M20630"/>
    </row>
    <row r="20631" spans="5:13" x14ac:dyDescent="0.25">
      <c r="E20631"/>
      <c r="M20631"/>
    </row>
    <row r="20632" spans="5:13" x14ac:dyDescent="0.25">
      <c r="E20632"/>
      <c r="M20632"/>
    </row>
    <row r="20633" spans="5:13" x14ac:dyDescent="0.25">
      <c r="E20633"/>
      <c r="M20633"/>
    </row>
    <row r="20634" spans="5:13" x14ac:dyDescent="0.25">
      <c r="E20634"/>
      <c r="M20634"/>
    </row>
    <row r="20635" spans="5:13" x14ac:dyDescent="0.25">
      <c r="E20635"/>
      <c r="M20635"/>
    </row>
    <row r="20636" spans="5:13" x14ac:dyDescent="0.25">
      <c r="E20636"/>
      <c r="M20636"/>
    </row>
    <row r="20637" spans="5:13" x14ac:dyDescent="0.25">
      <c r="E20637"/>
      <c r="M20637"/>
    </row>
    <row r="20638" spans="5:13" x14ac:dyDescent="0.25">
      <c r="E20638"/>
      <c r="M20638"/>
    </row>
    <row r="20639" spans="5:13" x14ac:dyDescent="0.25">
      <c r="E20639"/>
      <c r="M20639"/>
    </row>
    <row r="20640" spans="5:13" x14ac:dyDescent="0.25">
      <c r="E20640"/>
      <c r="M20640"/>
    </row>
    <row r="20641" spans="5:13" x14ac:dyDescent="0.25">
      <c r="E20641"/>
      <c r="M20641"/>
    </row>
    <row r="20642" spans="5:13" x14ac:dyDescent="0.25">
      <c r="E20642"/>
      <c r="M20642"/>
    </row>
    <row r="20643" spans="5:13" x14ac:dyDescent="0.25">
      <c r="E20643"/>
      <c r="M20643"/>
    </row>
    <row r="20644" spans="5:13" x14ac:dyDescent="0.25">
      <c r="E20644"/>
      <c r="M20644"/>
    </row>
    <row r="20645" spans="5:13" x14ac:dyDescent="0.25">
      <c r="E20645"/>
      <c r="M20645"/>
    </row>
    <row r="20646" spans="5:13" x14ac:dyDescent="0.25">
      <c r="E20646"/>
      <c r="M20646"/>
    </row>
    <row r="20647" spans="5:13" x14ac:dyDescent="0.25">
      <c r="E20647"/>
      <c r="M20647"/>
    </row>
    <row r="20648" spans="5:13" x14ac:dyDescent="0.25">
      <c r="E20648"/>
      <c r="M20648"/>
    </row>
    <row r="20649" spans="5:13" x14ac:dyDescent="0.25">
      <c r="E20649"/>
      <c r="M20649"/>
    </row>
    <row r="20650" spans="5:13" x14ac:dyDescent="0.25">
      <c r="E20650"/>
      <c r="M20650"/>
    </row>
    <row r="20651" spans="5:13" x14ac:dyDescent="0.25">
      <c r="E20651"/>
      <c r="M20651"/>
    </row>
    <row r="20652" spans="5:13" x14ac:dyDescent="0.25">
      <c r="E20652"/>
      <c r="M20652"/>
    </row>
    <row r="20653" spans="5:13" x14ac:dyDescent="0.25">
      <c r="E20653"/>
      <c r="M20653"/>
    </row>
    <row r="20654" spans="5:13" x14ac:dyDescent="0.25">
      <c r="E20654"/>
      <c r="M20654"/>
    </row>
    <row r="20655" spans="5:13" x14ac:dyDescent="0.25">
      <c r="E20655"/>
      <c r="M20655"/>
    </row>
    <row r="20656" spans="5:13" x14ac:dyDescent="0.25">
      <c r="E20656"/>
      <c r="M20656"/>
    </row>
    <row r="20657" spans="5:13" x14ac:dyDescent="0.25">
      <c r="E20657"/>
      <c r="M20657"/>
    </row>
    <row r="20658" spans="5:13" x14ac:dyDescent="0.25">
      <c r="E20658"/>
      <c r="M20658"/>
    </row>
    <row r="20659" spans="5:13" x14ac:dyDescent="0.25">
      <c r="E20659"/>
      <c r="M20659"/>
    </row>
    <row r="20660" spans="5:13" x14ac:dyDescent="0.25">
      <c r="E20660"/>
      <c r="M20660"/>
    </row>
    <row r="20661" spans="5:13" x14ac:dyDescent="0.25">
      <c r="E20661"/>
      <c r="M20661"/>
    </row>
    <row r="20662" spans="5:13" x14ac:dyDescent="0.25">
      <c r="E20662"/>
      <c r="M20662"/>
    </row>
    <row r="20663" spans="5:13" x14ac:dyDescent="0.25">
      <c r="E20663"/>
      <c r="M20663"/>
    </row>
    <row r="20664" spans="5:13" x14ac:dyDescent="0.25">
      <c r="E20664"/>
      <c r="M20664"/>
    </row>
    <row r="20665" spans="5:13" x14ac:dyDescent="0.25">
      <c r="E20665"/>
      <c r="M20665"/>
    </row>
    <row r="20666" spans="5:13" x14ac:dyDescent="0.25">
      <c r="E20666"/>
      <c r="M20666"/>
    </row>
    <row r="20667" spans="5:13" x14ac:dyDescent="0.25">
      <c r="E20667"/>
      <c r="M20667"/>
    </row>
    <row r="20668" spans="5:13" x14ac:dyDescent="0.25">
      <c r="E20668"/>
      <c r="M20668"/>
    </row>
    <row r="20669" spans="5:13" x14ac:dyDescent="0.25">
      <c r="E20669"/>
      <c r="M20669"/>
    </row>
    <row r="20670" spans="5:13" x14ac:dyDescent="0.25">
      <c r="E20670"/>
      <c r="M20670"/>
    </row>
    <row r="20671" spans="5:13" x14ac:dyDescent="0.25">
      <c r="E20671"/>
      <c r="M20671"/>
    </row>
    <row r="20672" spans="5:13" x14ac:dyDescent="0.25">
      <c r="E20672"/>
      <c r="M20672"/>
    </row>
    <row r="20673" spans="5:13" x14ac:dyDescent="0.25">
      <c r="E20673"/>
      <c r="M20673"/>
    </row>
    <row r="20674" spans="5:13" x14ac:dyDescent="0.25">
      <c r="E20674"/>
      <c r="M20674"/>
    </row>
    <row r="20675" spans="5:13" x14ac:dyDescent="0.25">
      <c r="E20675"/>
      <c r="M20675"/>
    </row>
    <row r="20676" spans="5:13" x14ac:dyDescent="0.25">
      <c r="E20676"/>
      <c r="M20676"/>
    </row>
    <row r="20677" spans="5:13" x14ac:dyDescent="0.25">
      <c r="E20677"/>
      <c r="M20677"/>
    </row>
    <row r="20678" spans="5:13" x14ac:dyDescent="0.25">
      <c r="E20678"/>
      <c r="M20678"/>
    </row>
    <row r="20679" spans="5:13" x14ac:dyDescent="0.25">
      <c r="E20679"/>
      <c r="M20679"/>
    </row>
    <row r="20680" spans="5:13" x14ac:dyDescent="0.25">
      <c r="E20680"/>
      <c r="M20680"/>
    </row>
    <row r="20681" spans="5:13" x14ac:dyDescent="0.25">
      <c r="E20681"/>
      <c r="M20681"/>
    </row>
    <row r="20682" spans="5:13" x14ac:dyDescent="0.25">
      <c r="E20682"/>
      <c r="M20682"/>
    </row>
    <row r="20683" spans="5:13" x14ac:dyDescent="0.25">
      <c r="E20683"/>
      <c r="M20683"/>
    </row>
    <row r="20684" spans="5:13" x14ac:dyDescent="0.25">
      <c r="E20684"/>
      <c r="M20684"/>
    </row>
    <row r="20685" spans="5:13" x14ac:dyDescent="0.25">
      <c r="E20685"/>
      <c r="M20685"/>
    </row>
    <row r="20686" spans="5:13" x14ac:dyDescent="0.25">
      <c r="E20686"/>
      <c r="M20686"/>
    </row>
    <row r="20687" spans="5:13" x14ac:dyDescent="0.25">
      <c r="E20687"/>
      <c r="M20687"/>
    </row>
    <row r="20688" spans="5:13" x14ac:dyDescent="0.25">
      <c r="E20688"/>
      <c r="M20688"/>
    </row>
    <row r="20689" spans="5:13" x14ac:dyDescent="0.25">
      <c r="E20689"/>
      <c r="M20689"/>
    </row>
    <row r="20690" spans="5:13" x14ac:dyDescent="0.25">
      <c r="E20690"/>
      <c r="M20690"/>
    </row>
    <row r="20691" spans="5:13" x14ac:dyDescent="0.25">
      <c r="E20691"/>
      <c r="M20691"/>
    </row>
    <row r="20692" spans="5:13" x14ac:dyDescent="0.25">
      <c r="E20692"/>
      <c r="M20692"/>
    </row>
    <row r="20693" spans="5:13" x14ac:dyDescent="0.25">
      <c r="E20693"/>
      <c r="M20693"/>
    </row>
    <row r="20694" spans="5:13" x14ac:dyDescent="0.25">
      <c r="E20694"/>
      <c r="M20694"/>
    </row>
    <row r="20695" spans="5:13" x14ac:dyDescent="0.25">
      <c r="E20695"/>
      <c r="M20695"/>
    </row>
    <row r="20696" spans="5:13" x14ac:dyDescent="0.25">
      <c r="E20696"/>
      <c r="M20696"/>
    </row>
    <row r="20697" spans="5:13" x14ac:dyDescent="0.25">
      <c r="E20697"/>
      <c r="M20697"/>
    </row>
    <row r="20698" spans="5:13" x14ac:dyDescent="0.25">
      <c r="E20698"/>
      <c r="M20698"/>
    </row>
    <row r="20699" spans="5:13" x14ac:dyDescent="0.25">
      <c r="E20699"/>
      <c r="M20699"/>
    </row>
    <row r="20700" spans="5:13" x14ac:dyDescent="0.25">
      <c r="E20700"/>
      <c r="M20700"/>
    </row>
    <row r="20701" spans="5:13" x14ac:dyDescent="0.25">
      <c r="E20701"/>
      <c r="M20701"/>
    </row>
    <row r="20702" spans="5:13" x14ac:dyDescent="0.25">
      <c r="E20702"/>
      <c r="M20702"/>
    </row>
    <row r="20703" spans="5:13" x14ac:dyDescent="0.25">
      <c r="E20703"/>
      <c r="M20703"/>
    </row>
    <row r="20704" spans="5:13" x14ac:dyDescent="0.25">
      <c r="E20704"/>
      <c r="M20704"/>
    </row>
    <row r="20705" spans="5:13" x14ac:dyDescent="0.25">
      <c r="E20705"/>
      <c r="M20705"/>
    </row>
    <row r="20706" spans="5:13" x14ac:dyDescent="0.25">
      <c r="E20706"/>
      <c r="M20706"/>
    </row>
    <row r="20707" spans="5:13" x14ac:dyDescent="0.25">
      <c r="E20707"/>
      <c r="M20707"/>
    </row>
    <row r="20708" spans="5:13" x14ac:dyDescent="0.25">
      <c r="E20708"/>
      <c r="M20708"/>
    </row>
    <row r="20709" spans="5:13" x14ac:dyDescent="0.25">
      <c r="E20709"/>
      <c r="M20709"/>
    </row>
    <row r="20710" spans="5:13" x14ac:dyDescent="0.25">
      <c r="E20710"/>
      <c r="M20710"/>
    </row>
    <row r="20711" spans="5:13" x14ac:dyDescent="0.25">
      <c r="E20711"/>
      <c r="M20711"/>
    </row>
    <row r="20712" spans="5:13" x14ac:dyDescent="0.25">
      <c r="E20712"/>
      <c r="M20712"/>
    </row>
    <row r="20713" spans="5:13" x14ac:dyDescent="0.25">
      <c r="E20713"/>
      <c r="M20713"/>
    </row>
    <row r="20714" spans="5:13" x14ac:dyDescent="0.25">
      <c r="E20714"/>
      <c r="M20714"/>
    </row>
    <row r="20715" spans="5:13" x14ac:dyDescent="0.25">
      <c r="E20715"/>
      <c r="M20715"/>
    </row>
    <row r="20716" spans="5:13" x14ac:dyDescent="0.25">
      <c r="E20716"/>
      <c r="M20716"/>
    </row>
    <row r="20717" spans="5:13" x14ac:dyDescent="0.25">
      <c r="E20717"/>
      <c r="M20717"/>
    </row>
    <row r="20718" spans="5:13" x14ac:dyDescent="0.25">
      <c r="E20718"/>
      <c r="M20718"/>
    </row>
    <row r="20719" spans="5:13" x14ac:dyDescent="0.25">
      <c r="E20719"/>
      <c r="M20719"/>
    </row>
    <row r="20720" spans="5:13" x14ac:dyDescent="0.25">
      <c r="E20720"/>
      <c r="M20720"/>
    </row>
    <row r="20721" spans="5:13" x14ac:dyDescent="0.25">
      <c r="E20721"/>
      <c r="M20721"/>
    </row>
    <row r="20722" spans="5:13" x14ac:dyDescent="0.25">
      <c r="E20722"/>
      <c r="M20722"/>
    </row>
    <row r="20723" spans="5:13" x14ac:dyDescent="0.25">
      <c r="E20723"/>
      <c r="M20723"/>
    </row>
    <row r="20724" spans="5:13" x14ac:dyDescent="0.25">
      <c r="E20724"/>
      <c r="M20724"/>
    </row>
    <row r="20725" spans="5:13" x14ac:dyDescent="0.25">
      <c r="E20725"/>
      <c r="M20725"/>
    </row>
    <row r="20726" spans="5:13" x14ac:dyDescent="0.25">
      <c r="E20726"/>
      <c r="M20726"/>
    </row>
    <row r="20727" spans="5:13" x14ac:dyDescent="0.25">
      <c r="E20727"/>
      <c r="M20727"/>
    </row>
    <row r="20728" spans="5:13" x14ac:dyDescent="0.25">
      <c r="E20728"/>
      <c r="M20728"/>
    </row>
    <row r="20729" spans="5:13" x14ac:dyDescent="0.25">
      <c r="E20729"/>
      <c r="M20729"/>
    </row>
    <row r="20730" spans="5:13" x14ac:dyDescent="0.25">
      <c r="E20730"/>
      <c r="M20730"/>
    </row>
    <row r="20731" spans="5:13" x14ac:dyDescent="0.25">
      <c r="E20731"/>
      <c r="M20731"/>
    </row>
    <row r="20732" spans="5:13" x14ac:dyDescent="0.25">
      <c r="E20732"/>
      <c r="M20732"/>
    </row>
    <row r="20733" spans="5:13" x14ac:dyDescent="0.25">
      <c r="E20733"/>
      <c r="M20733"/>
    </row>
    <row r="20734" spans="5:13" x14ac:dyDescent="0.25">
      <c r="E20734"/>
      <c r="M20734"/>
    </row>
    <row r="20735" spans="5:13" x14ac:dyDescent="0.25">
      <c r="E20735"/>
      <c r="M20735"/>
    </row>
    <row r="20736" spans="5:13" x14ac:dyDescent="0.25">
      <c r="E20736"/>
      <c r="M20736"/>
    </row>
    <row r="20737" spans="5:13" x14ac:dyDescent="0.25">
      <c r="E20737"/>
      <c r="M20737"/>
    </row>
    <row r="20738" spans="5:13" x14ac:dyDescent="0.25">
      <c r="E20738"/>
      <c r="M20738"/>
    </row>
    <row r="20739" spans="5:13" x14ac:dyDescent="0.25">
      <c r="E20739"/>
      <c r="M20739"/>
    </row>
    <row r="20740" spans="5:13" x14ac:dyDescent="0.25">
      <c r="E20740"/>
      <c r="M20740"/>
    </row>
    <row r="20741" spans="5:13" x14ac:dyDescent="0.25">
      <c r="E20741"/>
      <c r="M20741"/>
    </row>
    <row r="20742" spans="5:13" x14ac:dyDescent="0.25">
      <c r="E20742"/>
      <c r="M20742"/>
    </row>
    <row r="20743" spans="5:13" x14ac:dyDescent="0.25">
      <c r="E20743"/>
      <c r="M20743"/>
    </row>
    <row r="20744" spans="5:13" x14ac:dyDescent="0.25">
      <c r="E20744"/>
      <c r="M20744"/>
    </row>
    <row r="20745" spans="5:13" x14ac:dyDescent="0.25">
      <c r="E20745"/>
      <c r="M20745"/>
    </row>
    <row r="20746" spans="5:13" x14ac:dyDescent="0.25">
      <c r="E20746"/>
      <c r="M20746"/>
    </row>
    <row r="20747" spans="5:13" x14ac:dyDescent="0.25">
      <c r="E20747"/>
      <c r="M20747"/>
    </row>
    <row r="20748" spans="5:13" x14ac:dyDescent="0.25">
      <c r="E20748"/>
      <c r="M20748"/>
    </row>
    <row r="20749" spans="5:13" x14ac:dyDescent="0.25">
      <c r="E20749"/>
      <c r="M20749"/>
    </row>
    <row r="20750" spans="5:13" x14ac:dyDescent="0.25">
      <c r="E20750"/>
      <c r="M20750"/>
    </row>
    <row r="20751" spans="5:13" x14ac:dyDescent="0.25">
      <c r="E20751"/>
      <c r="M20751"/>
    </row>
    <row r="20752" spans="5:13" x14ac:dyDescent="0.25">
      <c r="E20752"/>
      <c r="M20752"/>
    </row>
    <row r="20753" spans="5:13" x14ac:dyDescent="0.25">
      <c r="E20753"/>
      <c r="M20753"/>
    </row>
    <row r="20754" spans="5:13" x14ac:dyDescent="0.25">
      <c r="E20754"/>
      <c r="M20754"/>
    </row>
    <row r="20755" spans="5:13" x14ac:dyDescent="0.25">
      <c r="E20755"/>
      <c r="M20755"/>
    </row>
    <row r="20756" spans="5:13" x14ac:dyDescent="0.25">
      <c r="E20756"/>
      <c r="M20756"/>
    </row>
    <row r="20757" spans="5:13" x14ac:dyDescent="0.25">
      <c r="E20757"/>
      <c r="M20757"/>
    </row>
    <row r="20758" spans="5:13" x14ac:dyDescent="0.25">
      <c r="E20758"/>
      <c r="M20758"/>
    </row>
    <row r="20759" spans="5:13" x14ac:dyDescent="0.25">
      <c r="E20759"/>
      <c r="M20759"/>
    </row>
    <row r="20760" spans="5:13" x14ac:dyDescent="0.25">
      <c r="E20760"/>
      <c r="M20760"/>
    </row>
    <row r="20761" spans="5:13" x14ac:dyDescent="0.25">
      <c r="E20761"/>
      <c r="M20761"/>
    </row>
    <row r="20762" spans="5:13" x14ac:dyDescent="0.25">
      <c r="E20762"/>
      <c r="M20762"/>
    </row>
    <row r="20763" spans="5:13" x14ac:dyDescent="0.25">
      <c r="E20763"/>
      <c r="M20763"/>
    </row>
  </sheetData>
  <mergeCells count="2">
    <mergeCell ref="B2:I2"/>
    <mergeCell ref="J1:L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3C9DC-AB5B-461E-9C06-ABE6B6DFB8CC}">
  <sheetPr codeName="Sheet3"/>
  <dimension ref="A1:BR48"/>
  <sheetViews>
    <sheetView workbookViewId="0">
      <selection sqref="A1:BR123"/>
    </sheetView>
  </sheetViews>
  <sheetFormatPr defaultRowHeight="13.2" x14ac:dyDescent="0.25"/>
  <cols>
    <col min="1" max="1" width="6" bestFit="1" customWidth="1"/>
    <col min="2" max="2" width="11" bestFit="1" customWidth="1"/>
    <col min="3" max="3" width="11.6640625" bestFit="1" customWidth="1"/>
    <col min="4" max="4" width="16.109375" bestFit="1" customWidth="1"/>
    <col min="5" max="5" width="8.44140625" bestFit="1" customWidth="1"/>
    <col min="6" max="6" width="15.109375" bestFit="1" customWidth="1"/>
    <col min="7" max="7" width="13.109375" bestFit="1" customWidth="1"/>
    <col min="8" max="8" width="15.21875" bestFit="1" customWidth="1"/>
    <col min="9" max="9" width="29.6640625" bestFit="1" customWidth="1"/>
    <col min="10" max="10" width="12.88671875" bestFit="1" customWidth="1"/>
    <col min="11" max="12" width="7.5546875" bestFit="1" customWidth="1"/>
    <col min="13" max="13" width="6.77734375" bestFit="1" customWidth="1"/>
    <col min="14" max="14" width="14" bestFit="1" customWidth="1"/>
    <col min="15" max="15" width="41" bestFit="1" customWidth="1"/>
    <col min="16" max="16" width="7.21875" bestFit="1" customWidth="1"/>
    <col min="17" max="17" width="8" bestFit="1" customWidth="1"/>
    <col min="18" max="18" width="20.109375" bestFit="1" customWidth="1"/>
    <col min="19" max="19" width="14.21875" bestFit="1" customWidth="1"/>
    <col min="20" max="20" width="9" bestFit="1" customWidth="1"/>
    <col min="21" max="21" width="10.44140625" bestFit="1" customWidth="1"/>
    <col min="22" max="23" width="14.44140625" bestFit="1" customWidth="1"/>
    <col min="24" max="24" width="15" bestFit="1" customWidth="1"/>
    <col min="25" max="25" width="10.77734375" bestFit="1" customWidth="1"/>
    <col min="26" max="26" width="8" bestFit="1" customWidth="1"/>
    <col min="27" max="27" width="27.109375" bestFit="1" customWidth="1"/>
    <col min="28" max="28" width="24.33203125" bestFit="1" customWidth="1"/>
    <col min="29" max="29" width="23.77734375" bestFit="1" customWidth="1"/>
    <col min="30" max="30" width="16" bestFit="1" customWidth="1"/>
    <col min="31" max="31" width="14.6640625" bestFit="1" customWidth="1"/>
    <col min="32" max="32" width="9.77734375" bestFit="1" customWidth="1"/>
    <col min="33" max="33" width="10" bestFit="1" customWidth="1"/>
    <col min="34" max="34" width="14.44140625" bestFit="1" customWidth="1"/>
    <col min="35" max="35" width="17" bestFit="1" customWidth="1"/>
    <col min="36" max="36" width="15" bestFit="1" customWidth="1"/>
    <col min="37" max="37" width="14.33203125" bestFit="1" customWidth="1"/>
    <col min="38" max="38" width="29.109375" bestFit="1" customWidth="1"/>
    <col min="39" max="39" width="14.5546875" bestFit="1" customWidth="1"/>
    <col min="40" max="40" width="16.6640625" bestFit="1" customWidth="1"/>
    <col min="41" max="41" width="25.44140625" bestFit="1" customWidth="1"/>
    <col min="42" max="42" width="20.44140625" bestFit="1" customWidth="1"/>
    <col min="43" max="43" width="32.21875" bestFit="1" customWidth="1"/>
    <col min="44" max="44" width="9.33203125" bestFit="1" customWidth="1"/>
    <col min="45" max="45" width="14.5546875" bestFit="1" customWidth="1"/>
    <col min="46" max="46" width="10.77734375" bestFit="1" customWidth="1"/>
    <col min="47" max="47" width="21.6640625" bestFit="1" customWidth="1"/>
    <col min="48" max="48" width="11.5546875" bestFit="1" customWidth="1"/>
    <col min="49" max="49" width="16.21875" bestFit="1" customWidth="1"/>
    <col min="50" max="50" width="16.33203125" bestFit="1" customWidth="1"/>
    <col min="51" max="51" width="16" bestFit="1" customWidth="1"/>
    <col min="52" max="52" width="12.21875" bestFit="1" customWidth="1"/>
    <col min="53" max="53" width="13.88671875" bestFit="1" customWidth="1"/>
    <col min="54" max="54" width="13.44140625" bestFit="1" customWidth="1"/>
    <col min="55" max="55" width="12.88671875" bestFit="1" customWidth="1"/>
    <col min="56" max="56" width="13" bestFit="1" customWidth="1"/>
    <col min="57" max="57" width="15.88671875" bestFit="1" customWidth="1"/>
    <col min="58" max="58" width="12.44140625" bestFit="1" customWidth="1"/>
    <col min="59" max="59" width="17.6640625" bestFit="1" customWidth="1"/>
    <col min="60" max="60" width="12.5546875" bestFit="1" customWidth="1"/>
    <col min="61" max="61" width="13.21875" bestFit="1" customWidth="1"/>
    <col min="62" max="62" width="17.5546875" bestFit="1" customWidth="1"/>
    <col min="63" max="63" width="14" bestFit="1" customWidth="1"/>
    <col min="64" max="64" width="19.33203125" bestFit="1" customWidth="1"/>
    <col min="65" max="65" width="13.44140625" bestFit="1" customWidth="1"/>
    <col min="66" max="66" width="20.33203125" bestFit="1" customWidth="1"/>
    <col min="67" max="67" width="25.33203125" bestFit="1" customWidth="1"/>
    <col min="68" max="68" width="19.44140625" bestFit="1" customWidth="1"/>
    <col min="69" max="69" width="7.44140625" bestFit="1" customWidth="1"/>
    <col min="70" max="70" width="30" bestFit="1" customWidth="1"/>
  </cols>
  <sheetData>
    <row r="1" spans="1:70" x14ac:dyDescent="0.25">
      <c r="A1" t="s">
        <v>22</v>
      </c>
      <c r="B1" t="s">
        <v>18</v>
      </c>
      <c r="C1" t="s">
        <v>28</v>
      </c>
      <c r="D1" t="s">
        <v>13</v>
      </c>
      <c r="E1" t="s">
        <v>29</v>
      </c>
      <c r="F1" t="s">
        <v>83</v>
      </c>
      <c r="G1" t="s">
        <v>23</v>
      </c>
      <c r="H1" t="s">
        <v>17</v>
      </c>
      <c r="I1" t="s">
        <v>24</v>
      </c>
      <c r="J1" t="s">
        <v>0</v>
      </c>
      <c r="K1" t="s">
        <v>30</v>
      </c>
      <c r="L1" t="s">
        <v>31</v>
      </c>
      <c r="M1" t="s">
        <v>32</v>
      </c>
      <c r="N1" t="s">
        <v>33</v>
      </c>
      <c r="O1" t="s">
        <v>34</v>
      </c>
      <c r="P1" t="s">
        <v>35</v>
      </c>
      <c r="Q1" t="s">
        <v>36</v>
      </c>
      <c r="R1" t="s">
        <v>37</v>
      </c>
      <c r="S1" t="s">
        <v>38</v>
      </c>
      <c r="T1" t="s">
        <v>39</v>
      </c>
      <c r="U1" t="s">
        <v>40</v>
      </c>
      <c r="V1" t="s">
        <v>41</v>
      </c>
      <c r="W1" t="s">
        <v>42</v>
      </c>
      <c r="X1" t="s">
        <v>43</v>
      </c>
      <c r="Y1" t="s">
        <v>44</v>
      </c>
      <c r="Z1" t="s">
        <v>21</v>
      </c>
      <c r="AA1" t="s">
        <v>45</v>
      </c>
      <c r="AB1" t="s">
        <v>46</v>
      </c>
      <c r="AC1" t="s">
        <v>47</v>
      </c>
      <c r="AD1" t="s">
        <v>48</v>
      </c>
      <c r="AE1" t="s">
        <v>49</v>
      </c>
      <c r="AF1" t="s">
        <v>50</v>
      </c>
      <c r="AG1" t="s">
        <v>51</v>
      </c>
      <c r="AH1" t="s">
        <v>52</v>
      </c>
      <c r="AI1" t="s">
        <v>53</v>
      </c>
      <c r="AJ1" t="s">
        <v>19</v>
      </c>
      <c r="AK1" t="s">
        <v>20</v>
      </c>
      <c r="AL1" t="s">
        <v>54</v>
      </c>
      <c r="AM1" t="s">
        <v>55</v>
      </c>
      <c r="AN1" t="s">
        <v>56</v>
      </c>
      <c r="AO1" t="s">
        <v>57</v>
      </c>
      <c r="AP1" t="s">
        <v>58</v>
      </c>
      <c r="AQ1" t="s">
        <v>59</v>
      </c>
      <c r="AR1" t="s">
        <v>60</v>
      </c>
      <c r="AS1" t="s">
        <v>61</v>
      </c>
      <c r="AT1" t="s">
        <v>62</v>
      </c>
      <c r="AU1" t="s">
        <v>63</v>
      </c>
      <c r="AV1" t="s">
        <v>64</v>
      </c>
      <c r="AW1" t="s">
        <v>65</v>
      </c>
      <c r="AX1" t="s">
        <v>66</v>
      </c>
      <c r="AY1" t="s">
        <v>67</v>
      </c>
      <c r="AZ1" t="s">
        <v>68</v>
      </c>
      <c r="BA1" t="s">
        <v>69</v>
      </c>
      <c r="BB1" t="s">
        <v>70</v>
      </c>
      <c r="BC1" t="s">
        <v>71</v>
      </c>
      <c r="BD1" t="s">
        <v>72</v>
      </c>
      <c r="BE1" t="s">
        <v>73</v>
      </c>
      <c r="BF1" t="s">
        <v>74</v>
      </c>
      <c r="BG1" t="s">
        <v>75</v>
      </c>
      <c r="BH1" t="s">
        <v>76</v>
      </c>
      <c r="BI1" t="s">
        <v>77</v>
      </c>
      <c r="BJ1" t="s">
        <v>78</v>
      </c>
      <c r="BK1" t="s">
        <v>79</v>
      </c>
      <c r="BL1" t="s">
        <v>80</v>
      </c>
      <c r="BM1" t="s">
        <v>84</v>
      </c>
      <c r="BN1" t="s">
        <v>86</v>
      </c>
      <c r="BO1" t="s">
        <v>81</v>
      </c>
      <c r="BP1" t="s">
        <v>82</v>
      </c>
      <c r="BQ1" t="s">
        <v>85</v>
      </c>
      <c r="BR1" t="s">
        <v>15</v>
      </c>
    </row>
    <row r="2" spans="1:70" x14ac:dyDescent="0.25">
      <c r="A2" t="s">
        <v>122</v>
      </c>
      <c r="B2" t="s">
        <v>123</v>
      </c>
      <c r="C2" t="s">
        <v>124</v>
      </c>
      <c r="D2" t="s">
        <v>125</v>
      </c>
      <c r="E2" t="s">
        <v>126</v>
      </c>
      <c r="F2" t="s">
        <v>127</v>
      </c>
      <c r="G2" t="s">
        <v>107</v>
      </c>
      <c r="H2" t="s">
        <v>87</v>
      </c>
      <c r="I2" t="s">
        <v>108</v>
      </c>
      <c r="J2" t="s">
        <v>8</v>
      </c>
      <c r="K2" t="s">
        <v>121</v>
      </c>
      <c r="L2" t="s">
        <v>88</v>
      </c>
      <c r="M2" t="s">
        <v>109</v>
      </c>
      <c r="N2" t="s">
        <v>110</v>
      </c>
      <c r="O2" t="s">
        <v>128</v>
      </c>
      <c r="P2" t="s">
        <v>119</v>
      </c>
      <c r="Q2" t="s">
        <v>89</v>
      </c>
      <c r="R2" t="s">
        <v>89</v>
      </c>
      <c r="S2" t="s">
        <v>89</v>
      </c>
      <c r="T2">
        <v>3837.6</v>
      </c>
      <c r="U2">
        <v>240</v>
      </c>
      <c r="V2" t="s">
        <v>89</v>
      </c>
      <c r="W2" t="s">
        <v>102</v>
      </c>
      <c r="X2" t="s">
        <v>89</v>
      </c>
      <c r="Y2" t="s">
        <v>89</v>
      </c>
      <c r="AF2" t="s">
        <v>129</v>
      </c>
      <c r="AG2" t="s">
        <v>89</v>
      </c>
      <c r="AH2" t="s">
        <v>130</v>
      </c>
      <c r="AI2" t="s">
        <v>131</v>
      </c>
      <c r="AJ2" t="s">
        <v>132</v>
      </c>
      <c r="AK2" t="s">
        <v>133</v>
      </c>
      <c r="AL2" t="s">
        <v>134</v>
      </c>
      <c r="AM2" t="s">
        <v>120</v>
      </c>
      <c r="AN2" t="s">
        <v>135</v>
      </c>
      <c r="AO2" t="s">
        <v>136</v>
      </c>
      <c r="AP2" t="s">
        <v>90</v>
      </c>
      <c r="AQ2" t="s">
        <v>137</v>
      </c>
      <c r="AS2" t="s">
        <v>91</v>
      </c>
      <c r="AT2" t="s">
        <v>138</v>
      </c>
      <c r="AU2" t="s">
        <v>139</v>
      </c>
      <c r="AV2" t="s">
        <v>92</v>
      </c>
      <c r="AW2" t="s">
        <v>93</v>
      </c>
      <c r="AX2" t="s">
        <v>111</v>
      </c>
      <c r="AY2" t="s">
        <v>95</v>
      </c>
      <c r="AZ2" t="s">
        <v>140</v>
      </c>
      <c r="BA2" t="s">
        <v>6</v>
      </c>
      <c r="BB2" t="s">
        <v>96</v>
      </c>
      <c r="BC2" t="s">
        <v>98</v>
      </c>
      <c r="BD2" t="s">
        <v>98</v>
      </c>
      <c r="BE2" t="s">
        <v>98</v>
      </c>
      <c r="BF2" t="s">
        <v>141</v>
      </c>
      <c r="BG2" t="s">
        <v>112</v>
      </c>
      <c r="BH2" t="s">
        <v>98</v>
      </c>
      <c r="BI2" t="s">
        <v>110</v>
      </c>
      <c r="BJ2" t="s">
        <v>142</v>
      </c>
      <c r="BL2" t="s">
        <v>100</v>
      </c>
      <c r="BM2" t="s">
        <v>101</v>
      </c>
      <c r="BN2" t="s">
        <v>102</v>
      </c>
      <c r="BO2" t="s">
        <v>103</v>
      </c>
      <c r="BP2" t="s">
        <v>114</v>
      </c>
      <c r="BQ2" t="s">
        <v>143</v>
      </c>
      <c r="BR2" t="str">
        <f>VLOOKUP(KeHEPARDataFlowSource[[#This Row],[Item Status]],Table2[#All],2,FALSE)</f>
        <v>Temporarily OOS due to Manuf</v>
      </c>
    </row>
    <row r="3" spans="1:70" x14ac:dyDescent="0.25">
      <c r="A3" t="s">
        <v>144</v>
      </c>
      <c r="B3" t="s">
        <v>123</v>
      </c>
      <c r="C3" t="s">
        <v>124</v>
      </c>
      <c r="D3" t="s">
        <v>125</v>
      </c>
      <c r="E3" t="s">
        <v>126</v>
      </c>
      <c r="F3" t="s">
        <v>145</v>
      </c>
      <c r="G3" t="s">
        <v>146</v>
      </c>
      <c r="H3" t="s">
        <v>87</v>
      </c>
      <c r="I3" t="s">
        <v>147</v>
      </c>
      <c r="J3" t="s">
        <v>10</v>
      </c>
      <c r="K3" t="s">
        <v>121</v>
      </c>
      <c r="L3" t="s">
        <v>88</v>
      </c>
      <c r="M3" t="s">
        <v>109</v>
      </c>
      <c r="N3" t="s">
        <v>110</v>
      </c>
      <c r="O3" t="s">
        <v>148</v>
      </c>
      <c r="P3" t="s">
        <v>119</v>
      </c>
      <c r="Q3" t="s">
        <v>89</v>
      </c>
      <c r="R3" t="s">
        <v>89</v>
      </c>
      <c r="S3" t="s">
        <v>89</v>
      </c>
      <c r="T3">
        <v>7195.5</v>
      </c>
      <c r="U3">
        <v>450</v>
      </c>
      <c r="V3" t="s">
        <v>89</v>
      </c>
      <c r="W3" t="s">
        <v>102</v>
      </c>
      <c r="X3" t="s">
        <v>89</v>
      </c>
      <c r="Y3" t="s">
        <v>89</v>
      </c>
      <c r="AF3" t="s">
        <v>149</v>
      </c>
      <c r="AG3" t="s">
        <v>89</v>
      </c>
      <c r="AH3" t="s">
        <v>130</v>
      </c>
      <c r="AI3" t="s">
        <v>131</v>
      </c>
      <c r="AJ3" t="s">
        <v>132</v>
      </c>
      <c r="AK3" t="s">
        <v>133</v>
      </c>
      <c r="AL3" t="s">
        <v>150</v>
      </c>
      <c r="AM3" t="s">
        <v>120</v>
      </c>
      <c r="AN3" t="s">
        <v>135</v>
      </c>
      <c r="AO3" t="s">
        <v>136</v>
      </c>
      <c r="AP3" t="s">
        <v>90</v>
      </c>
      <c r="AQ3" t="s">
        <v>137</v>
      </c>
      <c r="AS3" t="s">
        <v>91</v>
      </c>
      <c r="AT3" t="s">
        <v>138</v>
      </c>
      <c r="AU3" t="s">
        <v>139</v>
      </c>
      <c r="AV3" t="s">
        <v>92</v>
      </c>
      <c r="AW3" t="s">
        <v>93</v>
      </c>
      <c r="AX3" t="s">
        <v>111</v>
      </c>
      <c r="AY3" t="s">
        <v>95</v>
      </c>
      <c r="AZ3" t="s">
        <v>151</v>
      </c>
      <c r="BA3" t="s">
        <v>6</v>
      </c>
      <c r="BB3" t="s">
        <v>96</v>
      </c>
      <c r="BC3" t="s">
        <v>98</v>
      </c>
      <c r="BD3" t="s">
        <v>98</v>
      </c>
      <c r="BE3" t="s">
        <v>98</v>
      </c>
      <c r="BF3" t="s">
        <v>152</v>
      </c>
      <c r="BG3" t="s">
        <v>112</v>
      </c>
      <c r="BH3" t="s">
        <v>97</v>
      </c>
      <c r="BI3" t="s">
        <v>89</v>
      </c>
      <c r="BJ3" t="s">
        <v>89</v>
      </c>
      <c r="BL3" t="s">
        <v>100</v>
      </c>
      <c r="BM3" t="s">
        <v>101</v>
      </c>
      <c r="BN3" t="s">
        <v>102</v>
      </c>
      <c r="BO3" t="s">
        <v>103</v>
      </c>
      <c r="BP3" t="s">
        <v>153</v>
      </c>
      <c r="BQ3" t="s">
        <v>154</v>
      </c>
      <c r="BR3" t="str">
        <f>VLOOKUP(KeHEPARDataFlowSource[[#This Row],[Item Status]],Table2[#All],2,FALSE)</f>
        <v>Normal, Active item</v>
      </c>
    </row>
    <row r="4" spans="1:70" x14ac:dyDescent="0.25">
      <c r="A4" t="s">
        <v>155</v>
      </c>
      <c r="B4" t="s">
        <v>123</v>
      </c>
      <c r="C4" t="s">
        <v>124</v>
      </c>
      <c r="D4" t="s">
        <v>125</v>
      </c>
      <c r="E4" t="s">
        <v>126</v>
      </c>
      <c r="F4" t="s">
        <v>156</v>
      </c>
      <c r="G4" t="s">
        <v>157</v>
      </c>
      <c r="H4" t="s">
        <v>87</v>
      </c>
      <c r="I4" t="s">
        <v>158</v>
      </c>
      <c r="J4" t="s">
        <v>10</v>
      </c>
      <c r="K4" t="s">
        <v>121</v>
      </c>
      <c r="L4" t="s">
        <v>88</v>
      </c>
      <c r="M4" t="s">
        <v>109</v>
      </c>
      <c r="N4" t="s">
        <v>110</v>
      </c>
      <c r="O4" t="s">
        <v>159</v>
      </c>
      <c r="P4" t="s">
        <v>119</v>
      </c>
      <c r="Q4" t="s">
        <v>89</v>
      </c>
      <c r="R4" t="s">
        <v>89</v>
      </c>
      <c r="S4" t="s">
        <v>89</v>
      </c>
      <c r="T4">
        <v>3837.6</v>
      </c>
      <c r="U4">
        <v>240</v>
      </c>
      <c r="V4" t="s">
        <v>89</v>
      </c>
      <c r="W4" t="s">
        <v>102</v>
      </c>
      <c r="X4" t="s">
        <v>89</v>
      </c>
      <c r="Y4" t="s">
        <v>89</v>
      </c>
      <c r="AF4" t="s">
        <v>160</v>
      </c>
      <c r="AG4" t="s">
        <v>89</v>
      </c>
      <c r="AH4" t="s">
        <v>130</v>
      </c>
      <c r="AI4" t="s">
        <v>131</v>
      </c>
      <c r="AJ4" t="s">
        <v>132</v>
      </c>
      <c r="AK4" t="s">
        <v>133</v>
      </c>
      <c r="AL4" t="s">
        <v>161</v>
      </c>
      <c r="AM4" t="s">
        <v>120</v>
      </c>
      <c r="AN4" t="s">
        <v>135</v>
      </c>
      <c r="AO4" t="s">
        <v>136</v>
      </c>
      <c r="AP4" t="s">
        <v>90</v>
      </c>
      <c r="AQ4" t="s">
        <v>137</v>
      </c>
      <c r="AS4" t="s">
        <v>91</v>
      </c>
      <c r="AT4" t="s">
        <v>138</v>
      </c>
      <c r="AU4" t="s">
        <v>139</v>
      </c>
      <c r="AV4" t="s">
        <v>92</v>
      </c>
      <c r="AW4" t="s">
        <v>93</v>
      </c>
      <c r="AX4" t="s">
        <v>111</v>
      </c>
      <c r="AY4" t="s">
        <v>95</v>
      </c>
      <c r="AZ4" t="s">
        <v>162</v>
      </c>
      <c r="BA4" t="s">
        <v>6</v>
      </c>
      <c r="BB4" t="s">
        <v>96</v>
      </c>
      <c r="BC4" t="s">
        <v>98</v>
      </c>
      <c r="BD4" t="s">
        <v>98</v>
      </c>
      <c r="BE4" t="s">
        <v>98</v>
      </c>
      <c r="BF4" t="s">
        <v>163</v>
      </c>
      <c r="BG4" t="s">
        <v>164</v>
      </c>
      <c r="BH4" t="s">
        <v>98</v>
      </c>
      <c r="BI4" t="s">
        <v>110</v>
      </c>
      <c r="BJ4" t="s">
        <v>110</v>
      </c>
      <c r="BL4" t="s">
        <v>100</v>
      </c>
      <c r="BM4" t="s">
        <v>101</v>
      </c>
      <c r="BN4" t="s">
        <v>102</v>
      </c>
      <c r="BO4" t="s">
        <v>103</v>
      </c>
      <c r="BP4" t="s">
        <v>114</v>
      </c>
      <c r="BQ4" t="s">
        <v>165</v>
      </c>
      <c r="BR4" t="str">
        <f>VLOOKUP(KeHEPARDataFlowSource[[#This Row],[Item Status]],Table2[#All],2,FALSE)</f>
        <v>Normal, Active item</v>
      </c>
    </row>
    <row r="5" spans="1:70" x14ac:dyDescent="0.25">
      <c r="A5" t="s">
        <v>144</v>
      </c>
      <c r="B5" t="s">
        <v>123</v>
      </c>
      <c r="C5" t="s">
        <v>124</v>
      </c>
      <c r="D5" t="s">
        <v>125</v>
      </c>
      <c r="E5" t="s">
        <v>126</v>
      </c>
      <c r="F5" t="s">
        <v>166</v>
      </c>
      <c r="G5" t="s">
        <v>107</v>
      </c>
      <c r="H5" t="s">
        <v>87</v>
      </c>
      <c r="I5" t="s">
        <v>108</v>
      </c>
      <c r="J5" t="s">
        <v>10</v>
      </c>
      <c r="K5" t="s">
        <v>121</v>
      </c>
      <c r="L5" t="s">
        <v>88</v>
      </c>
      <c r="M5" t="s">
        <v>109</v>
      </c>
      <c r="N5" t="s">
        <v>110</v>
      </c>
      <c r="O5" t="s">
        <v>148</v>
      </c>
      <c r="P5" t="s">
        <v>119</v>
      </c>
      <c r="Q5" t="s">
        <v>89</v>
      </c>
      <c r="R5" t="s">
        <v>89</v>
      </c>
      <c r="S5" t="s">
        <v>89</v>
      </c>
      <c r="T5">
        <v>8634.6</v>
      </c>
      <c r="U5">
        <v>540</v>
      </c>
      <c r="V5" t="s">
        <v>89</v>
      </c>
      <c r="W5" t="s">
        <v>102</v>
      </c>
      <c r="X5" t="s">
        <v>89</v>
      </c>
      <c r="Y5" t="s">
        <v>102</v>
      </c>
      <c r="Z5" t="s">
        <v>167</v>
      </c>
      <c r="AA5" t="s">
        <v>168</v>
      </c>
      <c r="AB5" t="s">
        <v>168</v>
      </c>
      <c r="AE5" t="s">
        <v>117</v>
      </c>
      <c r="AF5" t="s">
        <v>169</v>
      </c>
      <c r="AG5" t="s">
        <v>170</v>
      </c>
      <c r="AH5" t="s">
        <v>130</v>
      </c>
      <c r="AI5" t="s">
        <v>131</v>
      </c>
      <c r="AJ5" t="s">
        <v>132</v>
      </c>
      <c r="AK5" t="s">
        <v>133</v>
      </c>
      <c r="AL5" t="s">
        <v>150</v>
      </c>
      <c r="AM5" t="s">
        <v>120</v>
      </c>
      <c r="AN5" t="s">
        <v>135</v>
      </c>
      <c r="AO5" t="s">
        <v>136</v>
      </c>
      <c r="AP5" t="s">
        <v>90</v>
      </c>
      <c r="AQ5" t="s">
        <v>137</v>
      </c>
      <c r="AS5" t="s">
        <v>91</v>
      </c>
      <c r="AT5" t="s">
        <v>138</v>
      </c>
      <c r="AU5" t="s">
        <v>139</v>
      </c>
      <c r="AV5" t="s">
        <v>92</v>
      </c>
      <c r="AW5" t="s">
        <v>93</v>
      </c>
      <c r="AX5" t="s">
        <v>111</v>
      </c>
      <c r="AY5" t="s">
        <v>95</v>
      </c>
      <c r="AZ5" t="s">
        <v>171</v>
      </c>
      <c r="BA5" t="s">
        <v>6</v>
      </c>
      <c r="BB5" t="s">
        <v>96</v>
      </c>
      <c r="BC5" t="s">
        <v>98</v>
      </c>
      <c r="BD5" t="s">
        <v>98</v>
      </c>
      <c r="BE5" t="s">
        <v>98</v>
      </c>
      <c r="BF5" t="s">
        <v>152</v>
      </c>
      <c r="BG5" t="s">
        <v>112</v>
      </c>
      <c r="BH5" t="s">
        <v>97</v>
      </c>
      <c r="BI5" t="s">
        <v>89</v>
      </c>
      <c r="BJ5" t="s">
        <v>89</v>
      </c>
      <c r="BL5" t="s">
        <v>100</v>
      </c>
      <c r="BM5" t="s">
        <v>101</v>
      </c>
      <c r="BN5" t="s">
        <v>102</v>
      </c>
      <c r="BO5" t="s">
        <v>103</v>
      </c>
      <c r="BP5" t="s">
        <v>170</v>
      </c>
      <c r="BQ5" t="s">
        <v>172</v>
      </c>
      <c r="BR5" t="str">
        <f>VLOOKUP(KeHEPARDataFlowSource[[#This Row],[Item Status]],Table2[#All],2,FALSE)</f>
        <v>Normal, Active item</v>
      </c>
    </row>
    <row r="6" spans="1:70" x14ac:dyDescent="0.25">
      <c r="A6" t="s">
        <v>144</v>
      </c>
      <c r="B6" t="s">
        <v>123</v>
      </c>
      <c r="C6" t="s">
        <v>124</v>
      </c>
      <c r="D6" t="s">
        <v>125</v>
      </c>
      <c r="E6" t="s">
        <v>126</v>
      </c>
      <c r="F6" t="s">
        <v>173</v>
      </c>
      <c r="G6" t="s">
        <v>157</v>
      </c>
      <c r="H6" t="s">
        <v>87</v>
      </c>
      <c r="I6" t="s">
        <v>158</v>
      </c>
      <c r="J6" t="s">
        <v>10</v>
      </c>
      <c r="K6" t="s">
        <v>121</v>
      </c>
      <c r="L6" t="s">
        <v>88</v>
      </c>
      <c r="M6" t="s">
        <v>109</v>
      </c>
      <c r="N6" t="s">
        <v>110</v>
      </c>
      <c r="O6" t="s">
        <v>148</v>
      </c>
      <c r="P6" t="s">
        <v>119</v>
      </c>
      <c r="Q6" t="s">
        <v>89</v>
      </c>
      <c r="R6" t="s">
        <v>89</v>
      </c>
      <c r="S6" t="s">
        <v>89</v>
      </c>
      <c r="T6">
        <v>10745.28</v>
      </c>
      <c r="U6">
        <v>672</v>
      </c>
      <c r="V6" t="s">
        <v>89</v>
      </c>
      <c r="W6" t="s">
        <v>102</v>
      </c>
      <c r="X6" t="s">
        <v>89</v>
      </c>
      <c r="Y6" t="s">
        <v>102</v>
      </c>
      <c r="Z6" t="s">
        <v>167</v>
      </c>
      <c r="AA6" t="s">
        <v>168</v>
      </c>
      <c r="AB6" t="s">
        <v>168</v>
      </c>
      <c r="AE6" t="s">
        <v>117</v>
      </c>
      <c r="AF6" t="s">
        <v>174</v>
      </c>
      <c r="AG6" t="s">
        <v>153</v>
      </c>
      <c r="AH6" t="s">
        <v>130</v>
      </c>
      <c r="AI6" t="s">
        <v>131</v>
      </c>
      <c r="AJ6" t="s">
        <v>132</v>
      </c>
      <c r="AK6" t="s">
        <v>133</v>
      </c>
      <c r="AL6" t="s">
        <v>150</v>
      </c>
      <c r="AM6" t="s">
        <v>120</v>
      </c>
      <c r="AN6" t="s">
        <v>135</v>
      </c>
      <c r="AO6" t="s">
        <v>136</v>
      </c>
      <c r="AP6" t="s">
        <v>90</v>
      </c>
      <c r="AQ6" t="s">
        <v>137</v>
      </c>
      <c r="AS6" t="s">
        <v>91</v>
      </c>
      <c r="AT6" t="s">
        <v>138</v>
      </c>
      <c r="AU6" t="s">
        <v>139</v>
      </c>
      <c r="AV6" t="s">
        <v>92</v>
      </c>
      <c r="AW6" t="s">
        <v>93</v>
      </c>
      <c r="AX6" t="s">
        <v>111</v>
      </c>
      <c r="AY6" t="s">
        <v>95</v>
      </c>
      <c r="AZ6" t="s">
        <v>175</v>
      </c>
      <c r="BA6" t="s">
        <v>6</v>
      </c>
      <c r="BB6" t="s">
        <v>96</v>
      </c>
      <c r="BC6" t="s">
        <v>98</v>
      </c>
      <c r="BD6" t="s">
        <v>98</v>
      </c>
      <c r="BE6" t="s">
        <v>98</v>
      </c>
      <c r="BF6" t="s">
        <v>152</v>
      </c>
      <c r="BG6" t="s">
        <v>164</v>
      </c>
      <c r="BH6" t="s">
        <v>97</v>
      </c>
      <c r="BI6" t="s">
        <v>89</v>
      </c>
      <c r="BJ6" t="s">
        <v>89</v>
      </c>
      <c r="BL6" t="s">
        <v>100</v>
      </c>
      <c r="BM6" t="s">
        <v>101</v>
      </c>
      <c r="BN6" t="s">
        <v>102</v>
      </c>
      <c r="BO6" t="s">
        <v>103</v>
      </c>
      <c r="BP6" t="s">
        <v>153</v>
      </c>
      <c r="BQ6" t="s">
        <v>176</v>
      </c>
      <c r="BR6" t="str">
        <f>VLOOKUP(KeHEPARDataFlowSource[[#This Row],[Item Status]],Table2[#All],2,FALSE)</f>
        <v>Normal, Active item</v>
      </c>
    </row>
    <row r="7" spans="1:70" x14ac:dyDescent="0.25">
      <c r="A7" t="s">
        <v>152</v>
      </c>
      <c r="B7" t="s">
        <v>123</v>
      </c>
      <c r="C7" t="s">
        <v>124</v>
      </c>
      <c r="D7" t="s">
        <v>125</v>
      </c>
      <c r="E7" t="s">
        <v>126</v>
      </c>
      <c r="F7" t="s">
        <v>177</v>
      </c>
      <c r="G7" t="s">
        <v>107</v>
      </c>
      <c r="H7" t="s">
        <v>87</v>
      </c>
      <c r="I7" t="s">
        <v>108</v>
      </c>
      <c r="J7" t="s">
        <v>10</v>
      </c>
      <c r="K7" t="s">
        <v>121</v>
      </c>
      <c r="L7" t="s">
        <v>88</v>
      </c>
      <c r="M7" t="s">
        <v>109</v>
      </c>
      <c r="N7" t="s">
        <v>110</v>
      </c>
      <c r="O7" t="s">
        <v>178</v>
      </c>
      <c r="P7" t="s">
        <v>119</v>
      </c>
      <c r="Q7" t="s">
        <v>89</v>
      </c>
      <c r="R7" t="s">
        <v>89</v>
      </c>
      <c r="S7" t="s">
        <v>89</v>
      </c>
      <c r="T7">
        <v>5948.28</v>
      </c>
      <c r="U7">
        <v>372</v>
      </c>
      <c r="V7" t="s">
        <v>89</v>
      </c>
      <c r="W7" t="s">
        <v>102</v>
      </c>
      <c r="X7" t="s">
        <v>89</v>
      </c>
      <c r="Y7" t="s">
        <v>102</v>
      </c>
      <c r="Z7" t="s">
        <v>179</v>
      </c>
      <c r="AA7" t="s">
        <v>180</v>
      </c>
      <c r="AB7" t="s">
        <v>180</v>
      </c>
      <c r="AE7" t="s">
        <v>117</v>
      </c>
      <c r="AF7" t="s">
        <v>181</v>
      </c>
      <c r="AG7" t="s">
        <v>182</v>
      </c>
      <c r="AH7" t="s">
        <v>130</v>
      </c>
      <c r="AI7" t="s">
        <v>131</v>
      </c>
      <c r="AJ7" t="s">
        <v>132</v>
      </c>
      <c r="AK7" t="s">
        <v>133</v>
      </c>
      <c r="AL7" t="s">
        <v>183</v>
      </c>
      <c r="AM7" t="s">
        <v>120</v>
      </c>
      <c r="AN7" t="s">
        <v>135</v>
      </c>
      <c r="AO7" t="s">
        <v>136</v>
      </c>
      <c r="AP7" t="s">
        <v>90</v>
      </c>
      <c r="AQ7" t="s">
        <v>137</v>
      </c>
      <c r="AS7" t="s">
        <v>91</v>
      </c>
      <c r="AT7" t="s">
        <v>138</v>
      </c>
      <c r="AU7" t="s">
        <v>139</v>
      </c>
      <c r="AV7" t="s">
        <v>92</v>
      </c>
      <c r="AW7" t="s">
        <v>93</v>
      </c>
      <c r="AX7" t="s">
        <v>111</v>
      </c>
      <c r="AY7" t="s">
        <v>95</v>
      </c>
      <c r="AZ7" t="s">
        <v>184</v>
      </c>
      <c r="BA7" t="s">
        <v>6</v>
      </c>
      <c r="BB7" t="s">
        <v>96</v>
      </c>
      <c r="BC7" t="s">
        <v>98</v>
      </c>
      <c r="BD7" t="s">
        <v>98</v>
      </c>
      <c r="BE7" t="s">
        <v>98</v>
      </c>
      <c r="BF7" t="s">
        <v>185</v>
      </c>
      <c r="BG7" t="s">
        <v>112</v>
      </c>
      <c r="BH7" t="s">
        <v>98</v>
      </c>
      <c r="BI7" t="s">
        <v>186</v>
      </c>
      <c r="BJ7" t="s">
        <v>186</v>
      </c>
      <c r="BL7" t="s">
        <v>100</v>
      </c>
      <c r="BM7" t="s">
        <v>101</v>
      </c>
      <c r="BN7" t="s">
        <v>102</v>
      </c>
      <c r="BO7" t="s">
        <v>103</v>
      </c>
      <c r="BP7" t="s">
        <v>153</v>
      </c>
      <c r="BQ7" t="s">
        <v>187</v>
      </c>
      <c r="BR7" t="str">
        <f>VLOOKUP(KeHEPARDataFlowSource[[#This Row],[Item Status]],Table2[#All],2,FALSE)</f>
        <v>Normal, Active item</v>
      </c>
    </row>
    <row r="8" spans="1:70" x14ac:dyDescent="0.25">
      <c r="A8" t="s">
        <v>152</v>
      </c>
      <c r="B8" t="s">
        <v>123</v>
      </c>
      <c r="C8" t="s">
        <v>124</v>
      </c>
      <c r="D8" t="s">
        <v>125</v>
      </c>
      <c r="E8" t="s">
        <v>126</v>
      </c>
      <c r="F8" t="s">
        <v>188</v>
      </c>
      <c r="G8" t="s">
        <v>157</v>
      </c>
      <c r="H8" t="s">
        <v>87</v>
      </c>
      <c r="I8" t="s">
        <v>158</v>
      </c>
      <c r="J8" t="s">
        <v>8</v>
      </c>
      <c r="K8" t="s">
        <v>121</v>
      </c>
      <c r="L8" t="s">
        <v>88</v>
      </c>
      <c r="M8" t="s">
        <v>109</v>
      </c>
      <c r="N8" t="s">
        <v>110</v>
      </c>
      <c r="O8" t="s">
        <v>178</v>
      </c>
      <c r="P8" t="s">
        <v>119</v>
      </c>
      <c r="Q8" t="s">
        <v>89</v>
      </c>
      <c r="R8" t="s">
        <v>89</v>
      </c>
      <c r="S8" t="s">
        <v>89</v>
      </c>
      <c r="T8">
        <v>9210.24</v>
      </c>
      <c r="U8">
        <v>576</v>
      </c>
      <c r="V8" t="s">
        <v>89</v>
      </c>
      <c r="W8" t="s">
        <v>102</v>
      </c>
      <c r="X8" t="s">
        <v>89</v>
      </c>
      <c r="Y8" t="s">
        <v>102</v>
      </c>
      <c r="Z8" t="s">
        <v>189</v>
      </c>
      <c r="AA8" t="s">
        <v>190</v>
      </c>
      <c r="AB8" t="s">
        <v>190</v>
      </c>
      <c r="AE8" t="s">
        <v>117</v>
      </c>
      <c r="AF8" t="s">
        <v>191</v>
      </c>
      <c r="AG8" t="s">
        <v>182</v>
      </c>
      <c r="AH8" t="s">
        <v>130</v>
      </c>
      <c r="AI8" t="s">
        <v>131</v>
      </c>
      <c r="AJ8" t="s">
        <v>132</v>
      </c>
      <c r="AK8" t="s">
        <v>133</v>
      </c>
      <c r="AL8" t="s">
        <v>183</v>
      </c>
      <c r="AM8" t="s">
        <v>120</v>
      </c>
      <c r="AN8" t="s">
        <v>135</v>
      </c>
      <c r="AO8" t="s">
        <v>136</v>
      </c>
      <c r="AP8" t="s">
        <v>90</v>
      </c>
      <c r="AQ8" t="s">
        <v>137</v>
      </c>
      <c r="AS8" t="s">
        <v>91</v>
      </c>
      <c r="AT8" t="s">
        <v>138</v>
      </c>
      <c r="AU8" t="s">
        <v>139</v>
      </c>
      <c r="AV8" t="s">
        <v>92</v>
      </c>
      <c r="AW8" t="s">
        <v>93</v>
      </c>
      <c r="AX8" t="s">
        <v>111</v>
      </c>
      <c r="AY8" t="s">
        <v>95</v>
      </c>
      <c r="AZ8" t="s">
        <v>192</v>
      </c>
      <c r="BA8" t="s">
        <v>6</v>
      </c>
      <c r="BB8" t="s">
        <v>96</v>
      </c>
      <c r="BC8" t="s">
        <v>98</v>
      </c>
      <c r="BD8" t="s">
        <v>98</v>
      </c>
      <c r="BE8" t="s">
        <v>98</v>
      </c>
      <c r="BF8" t="s">
        <v>185</v>
      </c>
      <c r="BG8" t="s">
        <v>164</v>
      </c>
      <c r="BH8" t="s">
        <v>98</v>
      </c>
      <c r="BI8" t="s">
        <v>186</v>
      </c>
      <c r="BJ8" t="s">
        <v>186</v>
      </c>
      <c r="BL8" t="s">
        <v>100</v>
      </c>
      <c r="BM8" t="s">
        <v>101</v>
      </c>
      <c r="BN8" t="s">
        <v>102</v>
      </c>
      <c r="BO8" t="s">
        <v>103</v>
      </c>
      <c r="BP8" t="s">
        <v>153</v>
      </c>
      <c r="BQ8" t="s">
        <v>193</v>
      </c>
      <c r="BR8" t="str">
        <f>VLOOKUP(KeHEPARDataFlowSource[[#This Row],[Item Status]],Table2[#All],2,FALSE)</f>
        <v>Temporarily OOS due to Manuf</v>
      </c>
    </row>
    <row r="9" spans="1:70" x14ac:dyDescent="0.25">
      <c r="A9" t="s">
        <v>194</v>
      </c>
      <c r="B9" t="s">
        <v>123</v>
      </c>
      <c r="C9" t="s">
        <v>124</v>
      </c>
      <c r="D9" t="s">
        <v>125</v>
      </c>
      <c r="E9" t="s">
        <v>126</v>
      </c>
      <c r="F9" t="s">
        <v>195</v>
      </c>
      <c r="G9" t="s">
        <v>107</v>
      </c>
      <c r="H9" t="s">
        <v>87</v>
      </c>
      <c r="I9" t="s">
        <v>108</v>
      </c>
      <c r="J9" t="s">
        <v>10</v>
      </c>
      <c r="K9" t="s">
        <v>121</v>
      </c>
      <c r="L9" t="s">
        <v>88</v>
      </c>
      <c r="M9" t="s">
        <v>109</v>
      </c>
      <c r="N9" t="s">
        <v>110</v>
      </c>
      <c r="O9" t="s">
        <v>178</v>
      </c>
      <c r="P9" t="s">
        <v>119</v>
      </c>
      <c r="Q9" t="s">
        <v>89</v>
      </c>
      <c r="R9" t="s">
        <v>89</v>
      </c>
      <c r="S9" t="s">
        <v>89</v>
      </c>
      <c r="T9">
        <v>2782.26</v>
      </c>
      <c r="U9">
        <v>174</v>
      </c>
      <c r="V9" t="s">
        <v>89</v>
      </c>
      <c r="W9" t="s">
        <v>102</v>
      </c>
      <c r="X9" t="s">
        <v>89</v>
      </c>
      <c r="Y9" t="s">
        <v>102</v>
      </c>
      <c r="Z9" t="s">
        <v>196</v>
      </c>
      <c r="AA9" t="s">
        <v>190</v>
      </c>
      <c r="AB9" t="s">
        <v>190</v>
      </c>
      <c r="AE9" t="s">
        <v>117</v>
      </c>
      <c r="AF9" t="s">
        <v>197</v>
      </c>
      <c r="AG9" t="s">
        <v>182</v>
      </c>
      <c r="AH9" t="s">
        <v>130</v>
      </c>
      <c r="AI9" t="s">
        <v>131</v>
      </c>
      <c r="AJ9" t="s">
        <v>132</v>
      </c>
      <c r="AK9" t="s">
        <v>133</v>
      </c>
      <c r="AL9" t="s">
        <v>183</v>
      </c>
      <c r="AM9" t="s">
        <v>120</v>
      </c>
      <c r="AN9" t="s">
        <v>135</v>
      </c>
      <c r="AO9" t="s">
        <v>136</v>
      </c>
      <c r="AP9" t="s">
        <v>90</v>
      </c>
      <c r="AQ9" t="s">
        <v>137</v>
      </c>
      <c r="AS9" t="s">
        <v>91</v>
      </c>
      <c r="AT9" t="s">
        <v>105</v>
      </c>
      <c r="AU9" t="s">
        <v>106</v>
      </c>
      <c r="AV9" t="s">
        <v>92</v>
      </c>
      <c r="AW9" t="s">
        <v>93</v>
      </c>
      <c r="AX9" t="s">
        <v>111</v>
      </c>
      <c r="AY9" t="s">
        <v>95</v>
      </c>
      <c r="AZ9" t="s">
        <v>198</v>
      </c>
      <c r="BA9" t="s">
        <v>6</v>
      </c>
      <c r="BB9" t="s">
        <v>96</v>
      </c>
      <c r="BC9" t="s">
        <v>98</v>
      </c>
      <c r="BD9" t="s">
        <v>98</v>
      </c>
      <c r="BE9" t="s">
        <v>98</v>
      </c>
      <c r="BF9" t="s">
        <v>185</v>
      </c>
      <c r="BG9" t="s">
        <v>112</v>
      </c>
      <c r="BH9" t="s">
        <v>98</v>
      </c>
      <c r="BI9" t="s">
        <v>199</v>
      </c>
      <c r="BJ9" t="s">
        <v>199</v>
      </c>
      <c r="BL9" t="s">
        <v>100</v>
      </c>
      <c r="BM9" t="s">
        <v>101</v>
      </c>
      <c r="BN9" t="s">
        <v>102</v>
      </c>
      <c r="BO9" t="s">
        <v>103</v>
      </c>
      <c r="BP9" t="s">
        <v>153</v>
      </c>
      <c r="BQ9" t="s">
        <v>200</v>
      </c>
      <c r="BR9" t="str">
        <f>VLOOKUP(KeHEPARDataFlowSource[[#This Row],[Item Status]],Table2[#All],2,FALSE)</f>
        <v>Normal, Active item</v>
      </c>
    </row>
    <row r="10" spans="1:70" x14ac:dyDescent="0.25">
      <c r="A10" t="s">
        <v>194</v>
      </c>
      <c r="B10" t="s">
        <v>123</v>
      </c>
      <c r="C10" t="s">
        <v>124</v>
      </c>
      <c r="D10" t="s">
        <v>125</v>
      </c>
      <c r="E10" t="s">
        <v>126</v>
      </c>
      <c r="F10" t="s">
        <v>201</v>
      </c>
      <c r="G10" t="s">
        <v>146</v>
      </c>
      <c r="H10" t="s">
        <v>87</v>
      </c>
      <c r="I10" t="s">
        <v>147</v>
      </c>
      <c r="J10" t="s">
        <v>10</v>
      </c>
      <c r="K10" t="s">
        <v>121</v>
      </c>
      <c r="L10" t="s">
        <v>88</v>
      </c>
      <c r="M10" t="s">
        <v>109</v>
      </c>
      <c r="N10" t="s">
        <v>110</v>
      </c>
      <c r="O10" t="s">
        <v>178</v>
      </c>
      <c r="P10" t="s">
        <v>119</v>
      </c>
      <c r="Q10" t="s">
        <v>89</v>
      </c>
      <c r="R10" t="s">
        <v>89</v>
      </c>
      <c r="S10" t="s">
        <v>89</v>
      </c>
      <c r="T10">
        <v>2398.5</v>
      </c>
      <c r="U10">
        <v>150</v>
      </c>
      <c r="V10" t="s">
        <v>89</v>
      </c>
      <c r="W10" t="s">
        <v>102</v>
      </c>
      <c r="X10" t="s">
        <v>89</v>
      </c>
      <c r="Y10" t="s">
        <v>102</v>
      </c>
      <c r="Z10" t="s">
        <v>196</v>
      </c>
      <c r="AA10" t="s">
        <v>190</v>
      </c>
      <c r="AB10" t="s">
        <v>190</v>
      </c>
      <c r="AE10" t="s">
        <v>117</v>
      </c>
      <c r="AF10" t="s">
        <v>202</v>
      </c>
      <c r="AG10" t="s">
        <v>118</v>
      </c>
      <c r="AH10" t="s">
        <v>130</v>
      </c>
      <c r="AI10" t="s">
        <v>131</v>
      </c>
      <c r="AJ10" t="s">
        <v>132</v>
      </c>
      <c r="AK10" t="s">
        <v>133</v>
      </c>
      <c r="AL10" t="s">
        <v>183</v>
      </c>
      <c r="AM10" t="s">
        <v>120</v>
      </c>
      <c r="AN10" t="s">
        <v>135</v>
      </c>
      <c r="AO10" t="s">
        <v>136</v>
      </c>
      <c r="AP10" t="s">
        <v>90</v>
      </c>
      <c r="AQ10" t="s">
        <v>137</v>
      </c>
      <c r="AS10" t="s">
        <v>91</v>
      </c>
      <c r="AT10" t="s">
        <v>105</v>
      </c>
      <c r="AU10" t="s">
        <v>106</v>
      </c>
      <c r="AV10" t="s">
        <v>92</v>
      </c>
      <c r="AW10" t="s">
        <v>93</v>
      </c>
      <c r="AX10" t="s">
        <v>111</v>
      </c>
      <c r="AY10" t="s">
        <v>95</v>
      </c>
      <c r="AZ10" t="s">
        <v>203</v>
      </c>
      <c r="BA10" t="s">
        <v>6</v>
      </c>
      <c r="BB10" t="s">
        <v>96</v>
      </c>
      <c r="BC10" t="s">
        <v>98</v>
      </c>
      <c r="BD10" t="s">
        <v>98</v>
      </c>
      <c r="BE10" t="s">
        <v>98</v>
      </c>
      <c r="BF10" t="s">
        <v>185</v>
      </c>
      <c r="BG10" t="s">
        <v>112</v>
      </c>
      <c r="BH10" t="s">
        <v>98</v>
      </c>
      <c r="BI10" t="s">
        <v>199</v>
      </c>
      <c r="BJ10" t="s">
        <v>199</v>
      </c>
      <c r="BL10" t="s">
        <v>100</v>
      </c>
      <c r="BM10" t="s">
        <v>101</v>
      </c>
      <c r="BN10" t="s">
        <v>102</v>
      </c>
      <c r="BO10" t="s">
        <v>103</v>
      </c>
      <c r="BP10" t="s">
        <v>153</v>
      </c>
      <c r="BQ10" t="s">
        <v>204</v>
      </c>
      <c r="BR10" t="str">
        <f>VLOOKUP(KeHEPARDataFlowSource[[#This Row],[Item Status]],Table2[#All],2,FALSE)</f>
        <v>Normal, Active item</v>
      </c>
    </row>
    <row r="11" spans="1:70" x14ac:dyDescent="0.25">
      <c r="A11" t="s">
        <v>194</v>
      </c>
      <c r="B11" t="s">
        <v>123</v>
      </c>
      <c r="C11" t="s">
        <v>124</v>
      </c>
      <c r="D11" t="s">
        <v>125</v>
      </c>
      <c r="E11" t="s">
        <v>126</v>
      </c>
      <c r="F11" t="s">
        <v>205</v>
      </c>
      <c r="G11" t="s">
        <v>206</v>
      </c>
      <c r="H11" t="s">
        <v>87</v>
      </c>
      <c r="I11" t="s">
        <v>207</v>
      </c>
      <c r="J11" t="s">
        <v>10</v>
      </c>
      <c r="K11" t="s">
        <v>121</v>
      </c>
      <c r="L11" t="s">
        <v>88</v>
      </c>
      <c r="M11" t="s">
        <v>155</v>
      </c>
      <c r="N11" t="s">
        <v>155</v>
      </c>
      <c r="O11" t="s">
        <v>178</v>
      </c>
      <c r="P11" t="s">
        <v>119</v>
      </c>
      <c r="Q11" t="s">
        <v>89</v>
      </c>
      <c r="R11" t="s">
        <v>89</v>
      </c>
      <c r="S11" t="s">
        <v>89</v>
      </c>
      <c r="T11">
        <v>897</v>
      </c>
      <c r="U11">
        <v>300</v>
      </c>
      <c r="V11" t="s">
        <v>89</v>
      </c>
      <c r="W11" t="s">
        <v>102</v>
      </c>
      <c r="X11" t="s">
        <v>89</v>
      </c>
      <c r="Y11" t="s">
        <v>102</v>
      </c>
      <c r="Z11" t="s">
        <v>208</v>
      </c>
      <c r="AA11" t="s">
        <v>180</v>
      </c>
      <c r="AB11" t="s">
        <v>180</v>
      </c>
      <c r="AE11" t="s">
        <v>117</v>
      </c>
      <c r="AF11" t="s">
        <v>209</v>
      </c>
      <c r="AG11" t="s">
        <v>210</v>
      </c>
      <c r="AH11" t="s">
        <v>130</v>
      </c>
      <c r="AI11" t="s">
        <v>131</v>
      </c>
      <c r="AJ11" t="s">
        <v>132</v>
      </c>
      <c r="AK11" t="s">
        <v>133</v>
      </c>
      <c r="AL11" t="s">
        <v>183</v>
      </c>
      <c r="AM11" t="s">
        <v>120</v>
      </c>
      <c r="AN11" t="s">
        <v>135</v>
      </c>
      <c r="AO11" t="s">
        <v>136</v>
      </c>
      <c r="AP11" t="s">
        <v>90</v>
      </c>
      <c r="AQ11" t="s">
        <v>137</v>
      </c>
      <c r="AS11" t="s">
        <v>91</v>
      </c>
      <c r="AT11" t="s">
        <v>105</v>
      </c>
      <c r="AU11" t="s">
        <v>106</v>
      </c>
      <c r="AV11" t="s">
        <v>92</v>
      </c>
      <c r="AW11" t="s">
        <v>93</v>
      </c>
      <c r="AX11" t="s">
        <v>94</v>
      </c>
      <c r="AY11" t="s">
        <v>95</v>
      </c>
      <c r="AZ11" t="s">
        <v>211</v>
      </c>
      <c r="BA11" t="s">
        <v>6</v>
      </c>
      <c r="BB11" t="s">
        <v>96</v>
      </c>
      <c r="BC11" t="s">
        <v>98</v>
      </c>
      <c r="BD11" t="s">
        <v>98</v>
      </c>
      <c r="BE11" t="s">
        <v>98</v>
      </c>
      <c r="BF11" t="s">
        <v>185</v>
      </c>
      <c r="BG11" t="s">
        <v>212</v>
      </c>
      <c r="BH11" t="s">
        <v>98</v>
      </c>
      <c r="BI11" t="s">
        <v>199</v>
      </c>
      <c r="BJ11" t="s">
        <v>199</v>
      </c>
      <c r="BL11" t="s">
        <v>100</v>
      </c>
      <c r="BM11" t="s">
        <v>101</v>
      </c>
      <c r="BN11" t="s">
        <v>102</v>
      </c>
      <c r="BO11" t="s">
        <v>103</v>
      </c>
      <c r="BP11" t="s">
        <v>213</v>
      </c>
      <c r="BQ11" t="s">
        <v>214</v>
      </c>
      <c r="BR11" t="str">
        <f>VLOOKUP(KeHEPARDataFlowSource[[#This Row],[Item Status]],Table2[#All],2,FALSE)</f>
        <v>Normal, Active item</v>
      </c>
    </row>
    <row r="12" spans="1:70" x14ac:dyDescent="0.25">
      <c r="A12" t="s">
        <v>194</v>
      </c>
      <c r="B12" t="s">
        <v>123</v>
      </c>
      <c r="C12" t="s">
        <v>124</v>
      </c>
      <c r="D12" t="s">
        <v>125</v>
      </c>
      <c r="E12" t="s">
        <v>126</v>
      </c>
      <c r="F12" t="s">
        <v>215</v>
      </c>
      <c r="G12" t="s">
        <v>157</v>
      </c>
      <c r="H12" t="s">
        <v>87</v>
      </c>
      <c r="I12" t="s">
        <v>158</v>
      </c>
      <c r="J12" t="s">
        <v>10</v>
      </c>
      <c r="K12" t="s">
        <v>121</v>
      </c>
      <c r="L12" t="s">
        <v>88</v>
      </c>
      <c r="M12" t="s">
        <v>109</v>
      </c>
      <c r="N12" t="s">
        <v>110</v>
      </c>
      <c r="O12" t="s">
        <v>178</v>
      </c>
      <c r="P12" t="s">
        <v>119</v>
      </c>
      <c r="Q12" t="s">
        <v>89</v>
      </c>
      <c r="R12" t="s">
        <v>89</v>
      </c>
      <c r="S12" t="s">
        <v>89</v>
      </c>
      <c r="T12">
        <v>4797</v>
      </c>
      <c r="U12">
        <v>300</v>
      </c>
      <c r="V12" t="s">
        <v>89</v>
      </c>
      <c r="W12" t="s">
        <v>102</v>
      </c>
      <c r="X12" t="s">
        <v>89</v>
      </c>
      <c r="Y12" t="s">
        <v>102</v>
      </c>
      <c r="Z12" t="s">
        <v>216</v>
      </c>
      <c r="AA12" t="s">
        <v>168</v>
      </c>
      <c r="AB12" t="s">
        <v>168</v>
      </c>
      <c r="AE12" t="s">
        <v>117</v>
      </c>
      <c r="AF12" t="s">
        <v>217</v>
      </c>
      <c r="AG12" t="s">
        <v>218</v>
      </c>
      <c r="AH12" t="s">
        <v>130</v>
      </c>
      <c r="AI12" t="s">
        <v>131</v>
      </c>
      <c r="AJ12" t="s">
        <v>132</v>
      </c>
      <c r="AK12" t="s">
        <v>133</v>
      </c>
      <c r="AL12" t="s">
        <v>183</v>
      </c>
      <c r="AM12" t="s">
        <v>120</v>
      </c>
      <c r="AN12" t="s">
        <v>135</v>
      </c>
      <c r="AO12" t="s">
        <v>136</v>
      </c>
      <c r="AP12" t="s">
        <v>90</v>
      </c>
      <c r="AQ12" t="s">
        <v>137</v>
      </c>
      <c r="AS12" t="s">
        <v>91</v>
      </c>
      <c r="AT12" t="s">
        <v>105</v>
      </c>
      <c r="AU12" t="s">
        <v>106</v>
      </c>
      <c r="AV12" t="s">
        <v>92</v>
      </c>
      <c r="AW12" t="s">
        <v>93</v>
      </c>
      <c r="AX12" t="s">
        <v>111</v>
      </c>
      <c r="AY12" t="s">
        <v>95</v>
      </c>
      <c r="AZ12" t="s">
        <v>219</v>
      </c>
      <c r="BA12" t="s">
        <v>6</v>
      </c>
      <c r="BB12" t="s">
        <v>96</v>
      </c>
      <c r="BC12" t="s">
        <v>98</v>
      </c>
      <c r="BD12" t="s">
        <v>98</v>
      </c>
      <c r="BE12" t="s">
        <v>98</v>
      </c>
      <c r="BF12" t="s">
        <v>185</v>
      </c>
      <c r="BG12" t="s">
        <v>164</v>
      </c>
      <c r="BH12" t="s">
        <v>98</v>
      </c>
      <c r="BI12" t="s">
        <v>199</v>
      </c>
      <c r="BJ12" t="s">
        <v>199</v>
      </c>
      <c r="BL12" t="s">
        <v>100</v>
      </c>
      <c r="BM12" t="s">
        <v>101</v>
      </c>
      <c r="BN12" t="s">
        <v>102</v>
      </c>
      <c r="BO12" t="s">
        <v>103</v>
      </c>
      <c r="BP12" t="s">
        <v>114</v>
      </c>
      <c r="BQ12" t="s">
        <v>220</v>
      </c>
      <c r="BR12" t="str">
        <f>VLOOKUP(KeHEPARDataFlowSource[[#This Row],[Item Status]],Table2[#All],2,FALSE)</f>
        <v>Normal, Active item</v>
      </c>
    </row>
    <row r="13" spans="1:70" x14ac:dyDescent="0.25">
      <c r="A13" t="s">
        <v>104</v>
      </c>
      <c r="B13" t="s">
        <v>123</v>
      </c>
      <c r="C13" t="s">
        <v>124</v>
      </c>
      <c r="D13" t="s">
        <v>125</v>
      </c>
      <c r="E13" t="s">
        <v>126</v>
      </c>
      <c r="F13" t="s">
        <v>113</v>
      </c>
      <c r="G13" t="s">
        <v>107</v>
      </c>
      <c r="H13" t="s">
        <v>87</v>
      </c>
      <c r="I13" t="s">
        <v>108</v>
      </c>
      <c r="J13" t="s">
        <v>10</v>
      </c>
      <c r="K13" t="s">
        <v>121</v>
      </c>
      <c r="L13" t="s">
        <v>88</v>
      </c>
      <c r="M13" t="s">
        <v>109</v>
      </c>
      <c r="N13" t="s">
        <v>110</v>
      </c>
      <c r="O13" t="s">
        <v>221</v>
      </c>
      <c r="P13" t="s">
        <v>119</v>
      </c>
      <c r="Q13" t="s">
        <v>89</v>
      </c>
      <c r="R13" t="s">
        <v>89</v>
      </c>
      <c r="S13" t="s">
        <v>89</v>
      </c>
      <c r="T13">
        <v>2302.56</v>
      </c>
      <c r="U13">
        <v>144</v>
      </c>
      <c r="V13" t="s">
        <v>89</v>
      </c>
      <c r="W13" t="s">
        <v>102</v>
      </c>
      <c r="X13" t="s">
        <v>89</v>
      </c>
      <c r="Y13" t="s">
        <v>102</v>
      </c>
      <c r="Z13" t="s">
        <v>222</v>
      </c>
      <c r="AA13" t="s">
        <v>223</v>
      </c>
      <c r="AB13" t="s">
        <v>224</v>
      </c>
      <c r="AD13" t="s">
        <v>225</v>
      </c>
      <c r="AE13" t="s">
        <v>117</v>
      </c>
      <c r="AF13" t="s">
        <v>226</v>
      </c>
      <c r="AG13" t="s">
        <v>153</v>
      </c>
      <c r="AH13" t="s">
        <v>130</v>
      </c>
      <c r="AI13" t="s">
        <v>131</v>
      </c>
      <c r="AJ13" t="s">
        <v>132</v>
      </c>
      <c r="AK13" t="s">
        <v>133</v>
      </c>
      <c r="AL13" t="s">
        <v>227</v>
      </c>
      <c r="AM13" t="s">
        <v>120</v>
      </c>
      <c r="AN13" t="s">
        <v>135</v>
      </c>
      <c r="AO13" t="s">
        <v>136</v>
      </c>
      <c r="AP13" t="s">
        <v>90</v>
      </c>
      <c r="AQ13" t="s">
        <v>137</v>
      </c>
      <c r="AS13" t="s">
        <v>91</v>
      </c>
      <c r="AT13" t="s">
        <v>105</v>
      </c>
      <c r="AU13" t="s">
        <v>106</v>
      </c>
      <c r="AV13" t="s">
        <v>92</v>
      </c>
      <c r="AW13" t="s">
        <v>93</v>
      </c>
      <c r="AX13" t="s">
        <v>111</v>
      </c>
      <c r="AY13" t="s">
        <v>95</v>
      </c>
      <c r="AZ13" t="s">
        <v>115</v>
      </c>
      <c r="BA13" t="s">
        <v>6</v>
      </c>
      <c r="BB13" t="s">
        <v>96</v>
      </c>
      <c r="BC13" t="s">
        <v>98</v>
      </c>
      <c r="BD13" t="s">
        <v>98</v>
      </c>
      <c r="BE13" t="s">
        <v>98</v>
      </c>
      <c r="BF13" t="s">
        <v>99</v>
      </c>
      <c r="BG13" t="s">
        <v>112</v>
      </c>
      <c r="BH13" t="s">
        <v>98</v>
      </c>
      <c r="BI13" t="s">
        <v>186</v>
      </c>
      <c r="BJ13" t="s">
        <v>186</v>
      </c>
      <c r="BL13" t="s">
        <v>100</v>
      </c>
      <c r="BM13" t="s">
        <v>101</v>
      </c>
      <c r="BN13" t="s">
        <v>102</v>
      </c>
      <c r="BO13" t="s">
        <v>103</v>
      </c>
      <c r="BP13" t="s">
        <v>153</v>
      </c>
      <c r="BQ13" t="s">
        <v>228</v>
      </c>
      <c r="BR13" t="str">
        <f>VLOOKUP(KeHEPARDataFlowSource[[#This Row],[Item Status]],Table2[#All],2,FALSE)</f>
        <v>Normal, Active item</v>
      </c>
    </row>
    <row r="14" spans="1:70" x14ac:dyDescent="0.25">
      <c r="A14" t="s">
        <v>104</v>
      </c>
      <c r="B14" t="s">
        <v>123</v>
      </c>
      <c r="C14" t="s">
        <v>124</v>
      </c>
      <c r="D14" t="s">
        <v>125</v>
      </c>
      <c r="E14" t="s">
        <v>126</v>
      </c>
      <c r="F14" t="s">
        <v>229</v>
      </c>
      <c r="G14" t="s">
        <v>146</v>
      </c>
      <c r="H14" t="s">
        <v>87</v>
      </c>
      <c r="I14" t="s">
        <v>147</v>
      </c>
      <c r="J14" t="s">
        <v>10</v>
      </c>
      <c r="K14" t="s">
        <v>121</v>
      </c>
      <c r="L14" t="s">
        <v>88</v>
      </c>
      <c r="M14" t="s">
        <v>109</v>
      </c>
      <c r="N14" t="s">
        <v>110</v>
      </c>
      <c r="O14" t="s">
        <v>221</v>
      </c>
      <c r="P14" t="s">
        <v>119</v>
      </c>
      <c r="Q14" t="s">
        <v>89</v>
      </c>
      <c r="R14" t="s">
        <v>89</v>
      </c>
      <c r="S14" t="s">
        <v>89</v>
      </c>
      <c r="T14">
        <v>1918.8</v>
      </c>
      <c r="U14">
        <v>120</v>
      </c>
      <c r="V14" t="s">
        <v>89</v>
      </c>
      <c r="W14" t="s">
        <v>102</v>
      </c>
      <c r="X14" t="s">
        <v>89</v>
      </c>
      <c r="Y14" t="s">
        <v>102</v>
      </c>
      <c r="Z14" t="s">
        <v>222</v>
      </c>
      <c r="AA14" t="s">
        <v>223</v>
      </c>
      <c r="AB14" t="s">
        <v>224</v>
      </c>
      <c r="AD14" t="s">
        <v>225</v>
      </c>
      <c r="AE14" t="s">
        <v>117</v>
      </c>
      <c r="AF14" t="s">
        <v>230</v>
      </c>
      <c r="AG14" t="s">
        <v>170</v>
      </c>
      <c r="AH14" t="s">
        <v>130</v>
      </c>
      <c r="AI14" t="s">
        <v>131</v>
      </c>
      <c r="AJ14" t="s">
        <v>132</v>
      </c>
      <c r="AK14" t="s">
        <v>133</v>
      </c>
      <c r="AL14" t="s">
        <v>227</v>
      </c>
      <c r="AM14" t="s">
        <v>120</v>
      </c>
      <c r="AN14" t="s">
        <v>135</v>
      </c>
      <c r="AO14" t="s">
        <v>136</v>
      </c>
      <c r="AP14" t="s">
        <v>90</v>
      </c>
      <c r="AQ14" t="s">
        <v>137</v>
      </c>
      <c r="AS14" t="s">
        <v>91</v>
      </c>
      <c r="AT14" t="s">
        <v>105</v>
      </c>
      <c r="AU14" t="s">
        <v>106</v>
      </c>
      <c r="AV14" t="s">
        <v>92</v>
      </c>
      <c r="AW14" t="s">
        <v>93</v>
      </c>
      <c r="AX14" t="s">
        <v>111</v>
      </c>
      <c r="AY14" t="s">
        <v>95</v>
      </c>
      <c r="AZ14" t="s">
        <v>231</v>
      </c>
      <c r="BA14" t="s">
        <v>6</v>
      </c>
      <c r="BB14" t="s">
        <v>96</v>
      </c>
      <c r="BC14" t="s">
        <v>98</v>
      </c>
      <c r="BD14" t="s">
        <v>98</v>
      </c>
      <c r="BE14" t="s">
        <v>98</v>
      </c>
      <c r="BF14" t="s">
        <v>99</v>
      </c>
      <c r="BG14" t="s">
        <v>112</v>
      </c>
      <c r="BH14" t="s">
        <v>98</v>
      </c>
      <c r="BI14" t="s">
        <v>186</v>
      </c>
      <c r="BJ14" t="s">
        <v>186</v>
      </c>
      <c r="BL14" t="s">
        <v>100</v>
      </c>
      <c r="BM14" t="s">
        <v>101</v>
      </c>
      <c r="BN14" t="s">
        <v>102</v>
      </c>
      <c r="BO14" t="s">
        <v>103</v>
      </c>
      <c r="BP14" t="s">
        <v>114</v>
      </c>
      <c r="BQ14" t="s">
        <v>232</v>
      </c>
      <c r="BR14" t="str">
        <f>VLOOKUP(KeHEPARDataFlowSource[[#This Row],[Item Status]],Table2[#All],2,FALSE)</f>
        <v>Normal, Active item</v>
      </c>
    </row>
    <row r="15" spans="1:70" x14ac:dyDescent="0.25">
      <c r="A15" t="s">
        <v>104</v>
      </c>
      <c r="B15" t="s">
        <v>123</v>
      </c>
      <c r="C15" t="s">
        <v>124</v>
      </c>
      <c r="D15" t="s">
        <v>125</v>
      </c>
      <c r="E15" t="s">
        <v>126</v>
      </c>
      <c r="F15" t="s">
        <v>233</v>
      </c>
      <c r="G15" t="s">
        <v>206</v>
      </c>
      <c r="H15" t="s">
        <v>87</v>
      </c>
      <c r="I15" t="s">
        <v>207</v>
      </c>
      <c r="J15" t="s">
        <v>10</v>
      </c>
      <c r="K15" t="s">
        <v>121</v>
      </c>
      <c r="L15" t="s">
        <v>88</v>
      </c>
      <c r="M15" t="s">
        <v>155</v>
      </c>
      <c r="N15" t="s">
        <v>155</v>
      </c>
      <c r="O15" t="s">
        <v>221</v>
      </c>
      <c r="P15" t="s">
        <v>119</v>
      </c>
      <c r="Q15" t="s">
        <v>89</v>
      </c>
      <c r="R15" t="s">
        <v>89</v>
      </c>
      <c r="S15" t="s">
        <v>89</v>
      </c>
      <c r="T15">
        <v>717.6</v>
      </c>
      <c r="U15">
        <v>240</v>
      </c>
      <c r="V15" t="s">
        <v>89</v>
      </c>
      <c r="W15" t="s">
        <v>102</v>
      </c>
      <c r="X15" t="s">
        <v>89</v>
      </c>
      <c r="Y15" t="s">
        <v>102</v>
      </c>
      <c r="Z15" t="s">
        <v>222</v>
      </c>
      <c r="AA15" t="s">
        <v>223</v>
      </c>
      <c r="AB15" t="s">
        <v>224</v>
      </c>
      <c r="AD15" t="s">
        <v>225</v>
      </c>
      <c r="AE15" t="s">
        <v>117</v>
      </c>
      <c r="AF15" t="s">
        <v>234</v>
      </c>
      <c r="AG15" t="s">
        <v>235</v>
      </c>
      <c r="AH15" t="s">
        <v>130</v>
      </c>
      <c r="AI15" t="s">
        <v>131</v>
      </c>
      <c r="AJ15" t="s">
        <v>132</v>
      </c>
      <c r="AK15" t="s">
        <v>133</v>
      </c>
      <c r="AL15" t="s">
        <v>227</v>
      </c>
      <c r="AM15" t="s">
        <v>120</v>
      </c>
      <c r="AN15" t="s">
        <v>135</v>
      </c>
      <c r="AO15" t="s">
        <v>136</v>
      </c>
      <c r="AP15" t="s">
        <v>90</v>
      </c>
      <c r="AQ15" t="s">
        <v>137</v>
      </c>
      <c r="AS15" t="s">
        <v>91</v>
      </c>
      <c r="AT15" t="s">
        <v>105</v>
      </c>
      <c r="AU15" t="s">
        <v>106</v>
      </c>
      <c r="AV15" t="s">
        <v>92</v>
      </c>
      <c r="AW15" t="s">
        <v>93</v>
      </c>
      <c r="AX15" t="s">
        <v>94</v>
      </c>
      <c r="AY15" t="s">
        <v>95</v>
      </c>
      <c r="AZ15" t="s">
        <v>236</v>
      </c>
      <c r="BA15" t="s">
        <v>6</v>
      </c>
      <c r="BB15" t="s">
        <v>96</v>
      </c>
      <c r="BC15" t="s">
        <v>98</v>
      </c>
      <c r="BD15" t="s">
        <v>98</v>
      </c>
      <c r="BE15" t="s">
        <v>98</v>
      </c>
      <c r="BF15" t="s">
        <v>99</v>
      </c>
      <c r="BG15" t="s">
        <v>212</v>
      </c>
      <c r="BH15" t="s">
        <v>98</v>
      </c>
      <c r="BI15" t="s">
        <v>186</v>
      </c>
      <c r="BJ15" t="s">
        <v>186</v>
      </c>
      <c r="BL15" t="s">
        <v>100</v>
      </c>
      <c r="BM15" t="s">
        <v>101</v>
      </c>
      <c r="BN15" t="s">
        <v>102</v>
      </c>
      <c r="BO15" t="s">
        <v>103</v>
      </c>
      <c r="BP15" t="s">
        <v>237</v>
      </c>
      <c r="BQ15" t="s">
        <v>238</v>
      </c>
      <c r="BR15" t="str">
        <f>VLOOKUP(KeHEPARDataFlowSource[[#This Row],[Item Status]],Table2[#All],2,FALSE)</f>
        <v>Normal, Active item</v>
      </c>
    </row>
    <row r="16" spans="1:70" x14ac:dyDescent="0.25">
      <c r="A16" t="s">
        <v>104</v>
      </c>
      <c r="B16" t="s">
        <v>123</v>
      </c>
      <c r="C16" t="s">
        <v>124</v>
      </c>
      <c r="D16" t="s">
        <v>125</v>
      </c>
      <c r="E16" t="s">
        <v>126</v>
      </c>
      <c r="F16" t="s">
        <v>239</v>
      </c>
      <c r="G16" t="s">
        <v>240</v>
      </c>
      <c r="H16" t="s">
        <v>87</v>
      </c>
      <c r="I16" t="s">
        <v>241</v>
      </c>
      <c r="J16" t="s">
        <v>10</v>
      </c>
      <c r="K16" t="s">
        <v>121</v>
      </c>
      <c r="L16" t="s">
        <v>88</v>
      </c>
      <c r="M16" t="s">
        <v>155</v>
      </c>
      <c r="N16" t="s">
        <v>155</v>
      </c>
      <c r="O16" t="s">
        <v>221</v>
      </c>
      <c r="P16" t="s">
        <v>119</v>
      </c>
      <c r="Q16" t="s">
        <v>89</v>
      </c>
      <c r="R16" t="s">
        <v>89</v>
      </c>
      <c r="S16" t="s">
        <v>89</v>
      </c>
      <c r="T16">
        <v>574.08000000000004</v>
      </c>
      <c r="U16">
        <v>192</v>
      </c>
      <c r="V16" t="s">
        <v>89</v>
      </c>
      <c r="W16" t="s">
        <v>102</v>
      </c>
      <c r="X16" t="s">
        <v>89</v>
      </c>
      <c r="Y16" t="s">
        <v>102</v>
      </c>
      <c r="Z16" t="s">
        <v>222</v>
      </c>
      <c r="AA16" t="s">
        <v>223</v>
      </c>
      <c r="AB16" t="s">
        <v>224</v>
      </c>
      <c r="AD16" t="s">
        <v>225</v>
      </c>
      <c r="AE16" t="s">
        <v>117</v>
      </c>
      <c r="AF16" t="s">
        <v>242</v>
      </c>
      <c r="AG16" t="s">
        <v>243</v>
      </c>
      <c r="AH16" t="s">
        <v>130</v>
      </c>
      <c r="AI16" t="s">
        <v>131</v>
      </c>
      <c r="AJ16" t="s">
        <v>132</v>
      </c>
      <c r="AK16" t="s">
        <v>133</v>
      </c>
      <c r="AL16" t="s">
        <v>227</v>
      </c>
      <c r="AM16" t="s">
        <v>120</v>
      </c>
      <c r="AN16" t="s">
        <v>135</v>
      </c>
      <c r="AO16" t="s">
        <v>136</v>
      </c>
      <c r="AP16" t="s">
        <v>90</v>
      </c>
      <c r="AQ16" t="s">
        <v>137</v>
      </c>
      <c r="AS16" t="s">
        <v>91</v>
      </c>
      <c r="AT16" t="s">
        <v>105</v>
      </c>
      <c r="AU16" t="s">
        <v>106</v>
      </c>
      <c r="AV16" t="s">
        <v>92</v>
      </c>
      <c r="AW16" t="s">
        <v>93</v>
      </c>
      <c r="AX16" t="s">
        <v>94</v>
      </c>
      <c r="AY16" t="s">
        <v>95</v>
      </c>
      <c r="AZ16" t="s">
        <v>244</v>
      </c>
      <c r="BA16" t="s">
        <v>6</v>
      </c>
      <c r="BB16" t="s">
        <v>96</v>
      </c>
      <c r="BC16" t="s">
        <v>98</v>
      </c>
      <c r="BD16" t="s">
        <v>98</v>
      </c>
      <c r="BE16" t="s">
        <v>98</v>
      </c>
      <c r="BF16" t="s">
        <v>99</v>
      </c>
      <c r="BG16" t="s">
        <v>212</v>
      </c>
      <c r="BH16" t="s">
        <v>98</v>
      </c>
      <c r="BI16" t="s">
        <v>186</v>
      </c>
      <c r="BJ16" t="s">
        <v>186</v>
      </c>
      <c r="BL16" t="s">
        <v>100</v>
      </c>
      <c r="BM16" t="s">
        <v>101</v>
      </c>
      <c r="BN16" t="s">
        <v>102</v>
      </c>
      <c r="BO16" t="s">
        <v>103</v>
      </c>
      <c r="BP16" t="s">
        <v>213</v>
      </c>
      <c r="BQ16" t="s">
        <v>245</v>
      </c>
      <c r="BR16" t="str">
        <f>VLOOKUP(KeHEPARDataFlowSource[[#This Row],[Item Status]],Table2[#All],2,FALSE)</f>
        <v>Normal, Active item</v>
      </c>
    </row>
    <row r="17" spans="1:70" x14ac:dyDescent="0.25">
      <c r="A17" t="s">
        <v>104</v>
      </c>
      <c r="B17" t="s">
        <v>123</v>
      </c>
      <c r="C17" t="s">
        <v>124</v>
      </c>
      <c r="D17" t="s">
        <v>125</v>
      </c>
      <c r="E17" t="s">
        <v>126</v>
      </c>
      <c r="F17" t="s">
        <v>246</v>
      </c>
      <c r="G17" t="s">
        <v>157</v>
      </c>
      <c r="H17" t="s">
        <v>87</v>
      </c>
      <c r="I17" t="s">
        <v>158</v>
      </c>
      <c r="J17" t="s">
        <v>10</v>
      </c>
      <c r="K17" t="s">
        <v>121</v>
      </c>
      <c r="L17" t="s">
        <v>88</v>
      </c>
      <c r="M17" t="s">
        <v>109</v>
      </c>
      <c r="N17" t="s">
        <v>110</v>
      </c>
      <c r="O17" t="s">
        <v>221</v>
      </c>
      <c r="P17" t="s">
        <v>119</v>
      </c>
      <c r="Q17" t="s">
        <v>89</v>
      </c>
      <c r="R17" t="s">
        <v>89</v>
      </c>
      <c r="S17" t="s">
        <v>89</v>
      </c>
      <c r="T17">
        <v>1535.04</v>
      </c>
      <c r="U17">
        <v>96</v>
      </c>
      <c r="V17" t="s">
        <v>89</v>
      </c>
      <c r="W17" t="s">
        <v>102</v>
      </c>
      <c r="X17" t="s">
        <v>89</v>
      </c>
      <c r="Y17" t="s">
        <v>102</v>
      </c>
      <c r="Z17" t="s">
        <v>247</v>
      </c>
      <c r="AA17" t="s">
        <v>248</v>
      </c>
      <c r="AB17" t="s">
        <v>248</v>
      </c>
      <c r="AE17" t="s">
        <v>117</v>
      </c>
      <c r="AF17" t="s">
        <v>111</v>
      </c>
      <c r="AG17" t="s">
        <v>94</v>
      </c>
      <c r="AH17" t="s">
        <v>130</v>
      </c>
      <c r="AI17" t="s">
        <v>131</v>
      </c>
      <c r="AJ17" t="s">
        <v>132</v>
      </c>
      <c r="AK17" t="s">
        <v>133</v>
      </c>
      <c r="AL17" t="s">
        <v>227</v>
      </c>
      <c r="AM17" t="s">
        <v>120</v>
      </c>
      <c r="AN17" t="s">
        <v>135</v>
      </c>
      <c r="AO17" t="s">
        <v>136</v>
      </c>
      <c r="AP17" t="s">
        <v>90</v>
      </c>
      <c r="AQ17" t="s">
        <v>137</v>
      </c>
      <c r="AS17" t="s">
        <v>91</v>
      </c>
      <c r="AT17" t="s">
        <v>105</v>
      </c>
      <c r="AU17" t="s">
        <v>106</v>
      </c>
      <c r="AV17" t="s">
        <v>92</v>
      </c>
      <c r="AW17" t="s">
        <v>93</v>
      </c>
      <c r="AX17" t="s">
        <v>111</v>
      </c>
      <c r="AY17" t="s">
        <v>95</v>
      </c>
      <c r="AZ17" t="s">
        <v>249</v>
      </c>
      <c r="BA17" t="s">
        <v>6</v>
      </c>
      <c r="BB17" t="s">
        <v>96</v>
      </c>
      <c r="BC17" t="s">
        <v>98</v>
      </c>
      <c r="BD17" t="s">
        <v>98</v>
      </c>
      <c r="BE17" t="s">
        <v>98</v>
      </c>
      <c r="BF17" t="s">
        <v>99</v>
      </c>
      <c r="BG17" t="s">
        <v>164</v>
      </c>
      <c r="BH17" t="s">
        <v>98</v>
      </c>
      <c r="BI17" t="s">
        <v>186</v>
      </c>
      <c r="BJ17" t="s">
        <v>186</v>
      </c>
      <c r="BL17" t="s">
        <v>100</v>
      </c>
      <c r="BM17" t="s">
        <v>101</v>
      </c>
      <c r="BN17" t="s">
        <v>102</v>
      </c>
      <c r="BO17" t="s">
        <v>103</v>
      </c>
      <c r="BP17" t="s">
        <v>114</v>
      </c>
      <c r="BQ17" t="s">
        <v>250</v>
      </c>
      <c r="BR17" t="str">
        <f>VLOOKUP(KeHEPARDataFlowSource[[#This Row],[Item Status]],Table2[#All],2,FALSE)</f>
        <v>Normal, Active item</v>
      </c>
    </row>
    <row r="18" spans="1:70" x14ac:dyDescent="0.25">
      <c r="A18" t="s">
        <v>251</v>
      </c>
      <c r="B18" t="s">
        <v>123</v>
      </c>
      <c r="C18" t="s">
        <v>124</v>
      </c>
      <c r="D18" t="s">
        <v>125</v>
      </c>
      <c r="E18" t="s">
        <v>126</v>
      </c>
      <c r="F18" t="s">
        <v>252</v>
      </c>
      <c r="G18" t="s">
        <v>157</v>
      </c>
      <c r="H18" t="s">
        <v>87</v>
      </c>
      <c r="I18" t="s">
        <v>158</v>
      </c>
      <c r="J18" t="s">
        <v>10</v>
      </c>
      <c r="K18" t="s">
        <v>121</v>
      </c>
      <c r="L18" t="s">
        <v>88</v>
      </c>
      <c r="M18" t="s">
        <v>109</v>
      </c>
      <c r="N18" t="s">
        <v>110</v>
      </c>
      <c r="O18" t="s">
        <v>221</v>
      </c>
      <c r="P18" t="s">
        <v>119</v>
      </c>
      <c r="Q18" t="s">
        <v>89</v>
      </c>
      <c r="R18" t="s">
        <v>89</v>
      </c>
      <c r="S18" t="s">
        <v>89</v>
      </c>
      <c r="T18">
        <v>3453.84</v>
      </c>
      <c r="U18">
        <v>216</v>
      </c>
      <c r="V18" t="s">
        <v>89</v>
      </c>
      <c r="W18" t="s">
        <v>102</v>
      </c>
      <c r="X18" t="s">
        <v>89</v>
      </c>
      <c r="Y18" t="s">
        <v>102</v>
      </c>
      <c r="Z18" t="s">
        <v>253</v>
      </c>
      <c r="AA18" t="s">
        <v>254</v>
      </c>
      <c r="AB18" t="s">
        <v>254</v>
      </c>
      <c r="AE18" t="s">
        <v>117</v>
      </c>
      <c r="AF18" t="s">
        <v>255</v>
      </c>
      <c r="AG18" t="s">
        <v>94</v>
      </c>
      <c r="AH18" t="s">
        <v>130</v>
      </c>
      <c r="AI18" t="s">
        <v>131</v>
      </c>
      <c r="AJ18" t="s">
        <v>132</v>
      </c>
      <c r="AK18" t="s">
        <v>133</v>
      </c>
      <c r="AL18" t="s">
        <v>227</v>
      </c>
      <c r="AM18" t="s">
        <v>120</v>
      </c>
      <c r="AN18" t="s">
        <v>135</v>
      </c>
      <c r="AO18" t="s">
        <v>136</v>
      </c>
      <c r="AP18" t="s">
        <v>90</v>
      </c>
      <c r="AQ18" t="s">
        <v>137</v>
      </c>
      <c r="AS18" t="s">
        <v>91</v>
      </c>
      <c r="AT18" t="s">
        <v>105</v>
      </c>
      <c r="AU18" t="s">
        <v>106</v>
      </c>
      <c r="AV18" t="s">
        <v>92</v>
      </c>
      <c r="AW18" t="s">
        <v>93</v>
      </c>
      <c r="AX18" t="s">
        <v>111</v>
      </c>
      <c r="AY18" t="s">
        <v>95</v>
      </c>
      <c r="AZ18" t="s">
        <v>256</v>
      </c>
      <c r="BA18" t="s">
        <v>6</v>
      </c>
      <c r="BB18" t="s">
        <v>96</v>
      </c>
      <c r="BC18" t="s">
        <v>98</v>
      </c>
      <c r="BD18" t="s">
        <v>98</v>
      </c>
      <c r="BE18" t="s">
        <v>98</v>
      </c>
      <c r="BF18" t="s">
        <v>99</v>
      </c>
      <c r="BG18" t="s">
        <v>164</v>
      </c>
      <c r="BH18" t="s">
        <v>98</v>
      </c>
      <c r="BI18" t="s">
        <v>110</v>
      </c>
      <c r="BJ18" t="s">
        <v>110</v>
      </c>
      <c r="BL18" t="s">
        <v>100</v>
      </c>
      <c r="BM18" t="s">
        <v>101</v>
      </c>
      <c r="BN18" t="s">
        <v>102</v>
      </c>
      <c r="BO18" t="s">
        <v>103</v>
      </c>
      <c r="BP18" t="s">
        <v>114</v>
      </c>
      <c r="BQ18" t="s">
        <v>257</v>
      </c>
      <c r="BR18" t="str">
        <f>VLOOKUP(KeHEPARDataFlowSource[[#This Row],[Item Status]],Table2[#All],2,FALSE)</f>
        <v>Normal, Active item</v>
      </c>
    </row>
    <row r="19" spans="1:70" x14ac:dyDescent="0.25">
      <c r="A19" t="s">
        <v>152</v>
      </c>
      <c r="B19" t="s">
        <v>123</v>
      </c>
      <c r="C19" t="s">
        <v>258</v>
      </c>
      <c r="D19" t="s">
        <v>259</v>
      </c>
      <c r="E19" t="s">
        <v>116</v>
      </c>
      <c r="F19" t="s">
        <v>188</v>
      </c>
      <c r="G19" t="s">
        <v>157</v>
      </c>
      <c r="H19" t="s">
        <v>87</v>
      </c>
      <c r="I19" t="s">
        <v>158</v>
      </c>
      <c r="J19" t="s">
        <v>8</v>
      </c>
      <c r="K19" t="s">
        <v>121</v>
      </c>
      <c r="L19" t="s">
        <v>88</v>
      </c>
      <c r="M19" t="s">
        <v>109</v>
      </c>
      <c r="N19" t="s">
        <v>110</v>
      </c>
      <c r="O19" t="s">
        <v>260</v>
      </c>
      <c r="P19" t="s">
        <v>119</v>
      </c>
      <c r="Q19" t="s">
        <v>89</v>
      </c>
      <c r="R19" t="s">
        <v>261</v>
      </c>
      <c r="S19" t="s">
        <v>89</v>
      </c>
      <c r="T19">
        <v>383.76</v>
      </c>
      <c r="U19">
        <v>24</v>
      </c>
      <c r="V19" t="s">
        <v>261</v>
      </c>
      <c r="W19" t="s">
        <v>102</v>
      </c>
      <c r="X19" t="s">
        <v>89</v>
      </c>
      <c r="Y19" t="s">
        <v>89</v>
      </c>
      <c r="AF19" t="s">
        <v>191</v>
      </c>
      <c r="AI19" t="s">
        <v>262</v>
      </c>
      <c r="AJ19" t="s">
        <v>225</v>
      </c>
      <c r="AK19" t="s">
        <v>263</v>
      </c>
      <c r="AM19" t="s">
        <v>10</v>
      </c>
      <c r="AN19" t="s">
        <v>135</v>
      </c>
      <c r="AO19" t="s">
        <v>136</v>
      </c>
      <c r="AP19" t="s">
        <v>90</v>
      </c>
      <c r="AQ19" t="s">
        <v>264</v>
      </c>
      <c r="AS19" t="s">
        <v>91</v>
      </c>
      <c r="AT19" t="s">
        <v>138</v>
      </c>
      <c r="AU19" t="s">
        <v>139</v>
      </c>
      <c r="AV19" t="s">
        <v>92</v>
      </c>
      <c r="AW19" t="s">
        <v>93</v>
      </c>
      <c r="AX19" t="s">
        <v>111</v>
      </c>
      <c r="AY19" t="s">
        <v>95</v>
      </c>
      <c r="AZ19" t="s">
        <v>192</v>
      </c>
      <c r="BA19" t="s">
        <v>6</v>
      </c>
      <c r="BB19" t="s">
        <v>96</v>
      </c>
      <c r="BC19" t="s">
        <v>98</v>
      </c>
      <c r="BD19" t="s">
        <v>98</v>
      </c>
      <c r="BE19" t="s">
        <v>98</v>
      </c>
      <c r="BF19" t="s">
        <v>185</v>
      </c>
      <c r="BG19" t="s">
        <v>164</v>
      </c>
      <c r="BH19" t="s">
        <v>98</v>
      </c>
      <c r="BI19" t="s">
        <v>186</v>
      </c>
      <c r="BJ19" t="s">
        <v>186</v>
      </c>
      <c r="BL19" t="s">
        <v>100</v>
      </c>
      <c r="BM19" t="s">
        <v>101</v>
      </c>
      <c r="BN19" t="s">
        <v>102</v>
      </c>
      <c r="BO19" t="s">
        <v>103</v>
      </c>
      <c r="BP19" t="s">
        <v>153</v>
      </c>
      <c r="BQ19" t="s">
        <v>193</v>
      </c>
      <c r="BR19" t="str">
        <f>VLOOKUP(KeHEPARDataFlowSource[[#This Row],[Item Status]],Table2[#All],2,FALSE)</f>
        <v>Temporarily OOS due to Manuf</v>
      </c>
    </row>
    <row r="20" spans="1:70" x14ac:dyDescent="0.25">
      <c r="A20" t="s">
        <v>122</v>
      </c>
      <c r="B20" t="s">
        <v>123</v>
      </c>
      <c r="C20" t="s">
        <v>124</v>
      </c>
      <c r="D20" t="s">
        <v>125</v>
      </c>
      <c r="E20" t="s">
        <v>126</v>
      </c>
      <c r="F20" t="s">
        <v>265</v>
      </c>
      <c r="G20" t="s">
        <v>157</v>
      </c>
      <c r="H20" t="s">
        <v>87</v>
      </c>
      <c r="I20" t="s">
        <v>158</v>
      </c>
      <c r="J20" t="s">
        <v>8</v>
      </c>
      <c r="K20" t="s">
        <v>121</v>
      </c>
      <c r="L20" t="s">
        <v>88</v>
      </c>
      <c r="M20" t="s">
        <v>109</v>
      </c>
      <c r="N20" t="s">
        <v>110</v>
      </c>
      <c r="O20" t="s">
        <v>128</v>
      </c>
      <c r="P20" t="s">
        <v>119</v>
      </c>
      <c r="Q20" t="s">
        <v>89</v>
      </c>
      <c r="R20" t="s">
        <v>89</v>
      </c>
      <c r="S20" t="s">
        <v>89</v>
      </c>
      <c r="T20">
        <v>4413.24</v>
      </c>
      <c r="U20">
        <v>276</v>
      </c>
      <c r="V20" t="s">
        <v>89</v>
      </c>
      <c r="W20" t="s">
        <v>102</v>
      </c>
      <c r="X20" t="s">
        <v>89</v>
      </c>
      <c r="Y20" t="s">
        <v>102</v>
      </c>
      <c r="Z20" t="s">
        <v>266</v>
      </c>
      <c r="AA20" t="s">
        <v>267</v>
      </c>
      <c r="AB20" t="s">
        <v>180</v>
      </c>
      <c r="AD20" t="s">
        <v>267</v>
      </c>
      <c r="AE20" t="s">
        <v>117</v>
      </c>
      <c r="AF20" t="s">
        <v>268</v>
      </c>
      <c r="AG20" t="s">
        <v>94</v>
      </c>
      <c r="AH20" t="s">
        <v>130</v>
      </c>
      <c r="AI20" t="s">
        <v>131</v>
      </c>
      <c r="AJ20" t="s">
        <v>132</v>
      </c>
      <c r="AK20" t="s">
        <v>133</v>
      </c>
      <c r="AL20" t="s">
        <v>134</v>
      </c>
      <c r="AM20" t="s">
        <v>120</v>
      </c>
      <c r="AN20" t="s">
        <v>135</v>
      </c>
      <c r="AO20" t="s">
        <v>136</v>
      </c>
      <c r="AP20" t="s">
        <v>90</v>
      </c>
      <c r="AQ20" t="s">
        <v>137</v>
      </c>
      <c r="AS20" t="s">
        <v>91</v>
      </c>
      <c r="AT20" t="s">
        <v>138</v>
      </c>
      <c r="AU20" t="s">
        <v>139</v>
      </c>
      <c r="AV20" t="s">
        <v>92</v>
      </c>
      <c r="AW20" t="s">
        <v>93</v>
      </c>
      <c r="AX20" t="s">
        <v>111</v>
      </c>
      <c r="AY20" t="s">
        <v>95</v>
      </c>
      <c r="AZ20" t="s">
        <v>269</v>
      </c>
      <c r="BA20" t="s">
        <v>6</v>
      </c>
      <c r="BB20" t="s">
        <v>96</v>
      </c>
      <c r="BC20" t="s">
        <v>98</v>
      </c>
      <c r="BD20" t="s">
        <v>98</v>
      </c>
      <c r="BE20" t="s">
        <v>98</v>
      </c>
      <c r="BF20" t="s">
        <v>141</v>
      </c>
      <c r="BG20" t="s">
        <v>164</v>
      </c>
      <c r="BH20" t="s">
        <v>98</v>
      </c>
      <c r="BI20" t="s">
        <v>110</v>
      </c>
      <c r="BJ20" t="s">
        <v>142</v>
      </c>
      <c r="BL20" t="s">
        <v>100</v>
      </c>
      <c r="BM20" t="s">
        <v>101</v>
      </c>
      <c r="BN20" t="s">
        <v>102</v>
      </c>
      <c r="BO20" t="s">
        <v>103</v>
      </c>
      <c r="BP20" t="s">
        <v>89</v>
      </c>
      <c r="BQ20" t="s">
        <v>89</v>
      </c>
      <c r="BR20" t="str">
        <f>VLOOKUP(KeHEPARDataFlowSource[[#This Row],[Item Status]],Table2[#All],2,FALSE)</f>
        <v>Temporarily OOS due to Manuf</v>
      </c>
    </row>
    <row r="21" spans="1:70" x14ac:dyDescent="0.25">
      <c r="A21" t="s">
        <v>270</v>
      </c>
      <c r="B21" t="s">
        <v>123</v>
      </c>
      <c r="C21" t="s">
        <v>124</v>
      </c>
      <c r="D21" t="s">
        <v>125</v>
      </c>
      <c r="E21" t="s">
        <v>126</v>
      </c>
      <c r="F21" t="s">
        <v>271</v>
      </c>
      <c r="G21" t="s">
        <v>107</v>
      </c>
      <c r="H21" t="s">
        <v>87</v>
      </c>
      <c r="I21" t="s">
        <v>108</v>
      </c>
      <c r="J21" t="s">
        <v>10</v>
      </c>
      <c r="K21" t="s">
        <v>121</v>
      </c>
      <c r="L21" t="s">
        <v>88</v>
      </c>
      <c r="M21" t="s">
        <v>109</v>
      </c>
      <c r="N21" t="s">
        <v>110</v>
      </c>
      <c r="O21" t="s">
        <v>178</v>
      </c>
      <c r="P21" t="s">
        <v>119</v>
      </c>
      <c r="Q21" t="s">
        <v>89</v>
      </c>
      <c r="R21" t="s">
        <v>89</v>
      </c>
      <c r="S21" t="s">
        <v>89</v>
      </c>
      <c r="T21">
        <v>5084.82</v>
      </c>
      <c r="U21">
        <v>318</v>
      </c>
      <c r="V21" t="s">
        <v>89</v>
      </c>
      <c r="W21" t="s">
        <v>102</v>
      </c>
      <c r="X21" t="s">
        <v>89</v>
      </c>
      <c r="Y21" t="s">
        <v>102</v>
      </c>
      <c r="Z21" t="s">
        <v>272</v>
      </c>
      <c r="AA21" t="s">
        <v>227</v>
      </c>
      <c r="AB21" t="s">
        <v>227</v>
      </c>
      <c r="AE21" t="s">
        <v>117</v>
      </c>
      <c r="AF21" t="s">
        <v>273</v>
      </c>
      <c r="AG21" t="s">
        <v>153</v>
      </c>
      <c r="AH21" t="s">
        <v>130</v>
      </c>
      <c r="AI21" t="s">
        <v>131</v>
      </c>
      <c r="AJ21" t="s">
        <v>132</v>
      </c>
      <c r="AK21" t="s">
        <v>133</v>
      </c>
      <c r="AL21" t="s">
        <v>183</v>
      </c>
      <c r="AM21" t="s">
        <v>120</v>
      </c>
      <c r="AN21" t="s">
        <v>135</v>
      </c>
      <c r="AO21" t="s">
        <v>136</v>
      </c>
      <c r="AP21" t="s">
        <v>90</v>
      </c>
      <c r="AQ21" t="s">
        <v>137</v>
      </c>
      <c r="AS21" t="s">
        <v>91</v>
      </c>
      <c r="AT21" t="s">
        <v>138</v>
      </c>
      <c r="AU21" t="s">
        <v>139</v>
      </c>
      <c r="AV21" t="s">
        <v>92</v>
      </c>
      <c r="AW21" t="s">
        <v>93</v>
      </c>
      <c r="AX21" t="s">
        <v>111</v>
      </c>
      <c r="AY21" t="s">
        <v>95</v>
      </c>
      <c r="AZ21" t="s">
        <v>274</v>
      </c>
      <c r="BA21" t="s">
        <v>6</v>
      </c>
      <c r="BB21" t="s">
        <v>96</v>
      </c>
      <c r="BC21" t="s">
        <v>98</v>
      </c>
      <c r="BD21" t="s">
        <v>98</v>
      </c>
      <c r="BE21" t="s">
        <v>98</v>
      </c>
      <c r="BF21" t="s">
        <v>185</v>
      </c>
      <c r="BG21" t="s">
        <v>112</v>
      </c>
      <c r="BH21" t="s">
        <v>98</v>
      </c>
      <c r="BI21" t="s">
        <v>275</v>
      </c>
      <c r="BJ21" t="s">
        <v>275</v>
      </c>
      <c r="BL21" t="s">
        <v>100</v>
      </c>
      <c r="BM21" t="s">
        <v>101</v>
      </c>
      <c r="BN21" t="s">
        <v>102</v>
      </c>
      <c r="BO21" t="s">
        <v>103</v>
      </c>
      <c r="BP21" t="s">
        <v>89</v>
      </c>
      <c r="BQ21" t="s">
        <v>89</v>
      </c>
      <c r="BR21" t="str">
        <f>VLOOKUP(KeHEPARDataFlowSource[[#This Row],[Item Status]],Table2[#All],2,FALSE)</f>
        <v>Normal, Active item</v>
      </c>
    </row>
    <row r="22" spans="1:70" x14ac:dyDescent="0.25">
      <c r="A22" t="s">
        <v>270</v>
      </c>
      <c r="B22" t="s">
        <v>123</v>
      </c>
      <c r="C22" t="s">
        <v>124</v>
      </c>
      <c r="D22" t="s">
        <v>125</v>
      </c>
      <c r="E22" t="s">
        <v>126</v>
      </c>
      <c r="F22" t="s">
        <v>276</v>
      </c>
      <c r="G22" t="s">
        <v>157</v>
      </c>
      <c r="H22" t="s">
        <v>87</v>
      </c>
      <c r="I22" t="s">
        <v>158</v>
      </c>
      <c r="J22" t="s">
        <v>10</v>
      </c>
      <c r="K22" t="s">
        <v>121</v>
      </c>
      <c r="L22" t="s">
        <v>88</v>
      </c>
      <c r="M22" t="s">
        <v>109</v>
      </c>
      <c r="N22" t="s">
        <v>110</v>
      </c>
      <c r="O22" t="s">
        <v>178</v>
      </c>
      <c r="P22" t="s">
        <v>119</v>
      </c>
      <c r="Q22" t="s">
        <v>89</v>
      </c>
      <c r="R22" t="s">
        <v>89</v>
      </c>
      <c r="S22" t="s">
        <v>89</v>
      </c>
      <c r="T22">
        <v>7291.44</v>
      </c>
      <c r="U22">
        <v>456</v>
      </c>
      <c r="V22" t="s">
        <v>89</v>
      </c>
      <c r="W22" t="s">
        <v>102</v>
      </c>
      <c r="X22" t="s">
        <v>89</v>
      </c>
      <c r="Y22" t="s">
        <v>102</v>
      </c>
      <c r="Z22" t="s">
        <v>272</v>
      </c>
      <c r="AA22" t="s">
        <v>227</v>
      </c>
      <c r="AB22" t="s">
        <v>227</v>
      </c>
      <c r="AE22" t="s">
        <v>117</v>
      </c>
      <c r="AF22" t="s">
        <v>277</v>
      </c>
      <c r="AG22" t="s">
        <v>114</v>
      </c>
      <c r="AH22" t="s">
        <v>130</v>
      </c>
      <c r="AI22" t="s">
        <v>131</v>
      </c>
      <c r="AJ22" t="s">
        <v>132</v>
      </c>
      <c r="AK22" t="s">
        <v>133</v>
      </c>
      <c r="AL22" t="s">
        <v>183</v>
      </c>
      <c r="AM22" t="s">
        <v>120</v>
      </c>
      <c r="AN22" t="s">
        <v>135</v>
      </c>
      <c r="AO22" t="s">
        <v>136</v>
      </c>
      <c r="AP22" t="s">
        <v>90</v>
      </c>
      <c r="AQ22" t="s">
        <v>137</v>
      </c>
      <c r="AS22" t="s">
        <v>91</v>
      </c>
      <c r="AT22" t="s">
        <v>138</v>
      </c>
      <c r="AU22" t="s">
        <v>139</v>
      </c>
      <c r="AV22" t="s">
        <v>92</v>
      </c>
      <c r="AW22" t="s">
        <v>93</v>
      </c>
      <c r="AX22" t="s">
        <v>111</v>
      </c>
      <c r="AY22" t="s">
        <v>95</v>
      </c>
      <c r="AZ22" t="s">
        <v>278</v>
      </c>
      <c r="BA22" t="s">
        <v>6</v>
      </c>
      <c r="BB22" t="s">
        <v>96</v>
      </c>
      <c r="BC22" t="s">
        <v>98</v>
      </c>
      <c r="BD22" t="s">
        <v>98</v>
      </c>
      <c r="BE22" t="s">
        <v>98</v>
      </c>
      <c r="BF22" t="s">
        <v>185</v>
      </c>
      <c r="BG22" t="s">
        <v>164</v>
      </c>
      <c r="BH22" t="s">
        <v>98</v>
      </c>
      <c r="BI22" t="s">
        <v>275</v>
      </c>
      <c r="BJ22" t="s">
        <v>275</v>
      </c>
      <c r="BL22" t="s">
        <v>100</v>
      </c>
      <c r="BM22" t="s">
        <v>101</v>
      </c>
      <c r="BN22" t="s">
        <v>102</v>
      </c>
      <c r="BO22" t="s">
        <v>103</v>
      </c>
      <c r="BP22" t="s">
        <v>89</v>
      </c>
      <c r="BQ22" t="s">
        <v>89</v>
      </c>
      <c r="BR22" t="str">
        <f>VLOOKUP(KeHEPARDataFlowSource[[#This Row],[Item Status]],Table2[#All],2,FALSE)</f>
        <v>Normal, Active item</v>
      </c>
    </row>
    <row r="23" spans="1:70" x14ac:dyDescent="0.25">
      <c r="A23" t="s">
        <v>152</v>
      </c>
      <c r="B23" t="s">
        <v>123</v>
      </c>
      <c r="C23" t="s">
        <v>124</v>
      </c>
      <c r="D23" t="s">
        <v>125</v>
      </c>
      <c r="E23" t="s">
        <v>126</v>
      </c>
      <c r="F23" t="s">
        <v>279</v>
      </c>
      <c r="G23" t="s">
        <v>146</v>
      </c>
      <c r="H23" t="s">
        <v>87</v>
      </c>
      <c r="I23" t="s">
        <v>147</v>
      </c>
      <c r="J23" t="s">
        <v>10</v>
      </c>
      <c r="K23" t="s">
        <v>121</v>
      </c>
      <c r="L23" t="s">
        <v>88</v>
      </c>
      <c r="M23" t="s">
        <v>109</v>
      </c>
      <c r="N23" t="s">
        <v>110</v>
      </c>
      <c r="O23" t="s">
        <v>178</v>
      </c>
      <c r="P23" t="s">
        <v>119</v>
      </c>
      <c r="Q23" t="s">
        <v>89</v>
      </c>
      <c r="R23" t="s">
        <v>89</v>
      </c>
      <c r="S23" t="s">
        <v>89</v>
      </c>
      <c r="T23">
        <v>4988.88</v>
      </c>
      <c r="U23">
        <v>312</v>
      </c>
      <c r="V23" t="s">
        <v>89</v>
      </c>
      <c r="W23" t="s">
        <v>102</v>
      </c>
      <c r="X23" t="s">
        <v>89</v>
      </c>
      <c r="Y23" t="s">
        <v>102</v>
      </c>
      <c r="Z23" t="s">
        <v>189</v>
      </c>
      <c r="AA23" t="s">
        <v>190</v>
      </c>
      <c r="AB23" t="s">
        <v>190</v>
      </c>
      <c r="AE23" t="s">
        <v>117</v>
      </c>
      <c r="AF23" t="s">
        <v>280</v>
      </c>
      <c r="AG23" t="s">
        <v>170</v>
      </c>
      <c r="AH23" t="s">
        <v>130</v>
      </c>
      <c r="AI23" t="s">
        <v>131</v>
      </c>
      <c r="AJ23" t="s">
        <v>132</v>
      </c>
      <c r="AK23" t="s">
        <v>133</v>
      </c>
      <c r="AL23" t="s">
        <v>183</v>
      </c>
      <c r="AM23" t="s">
        <v>120</v>
      </c>
      <c r="AN23" t="s">
        <v>135</v>
      </c>
      <c r="AO23" t="s">
        <v>136</v>
      </c>
      <c r="AP23" t="s">
        <v>90</v>
      </c>
      <c r="AQ23" t="s">
        <v>137</v>
      </c>
      <c r="AS23" t="s">
        <v>91</v>
      </c>
      <c r="AT23" t="s">
        <v>138</v>
      </c>
      <c r="AU23" t="s">
        <v>139</v>
      </c>
      <c r="AV23" t="s">
        <v>92</v>
      </c>
      <c r="AW23" t="s">
        <v>93</v>
      </c>
      <c r="AX23" t="s">
        <v>111</v>
      </c>
      <c r="AY23" t="s">
        <v>95</v>
      </c>
      <c r="AZ23" t="s">
        <v>281</v>
      </c>
      <c r="BA23" t="s">
        <v>6</v>
      </c>
      <c r="BB23" t="s">
        <v>96</v>
      </c>
      <c r="BC23" t="s">
        <v>98</v>
      </c>
      <c r="BD23" t="s">
        <v>98</v>
      </c>
      <c r="BE23" t="s">
        <v>98</v>
      </c>
      <c r="BF23" t="s">
        <v>185</v>
      </c>
      <c r="BG23" t="s">
        <v>112</v>
      </c>
      <c r="BH23" t="s">
        <v>98</v>
      </c>
      <c r="BI23" t="s">
        <v>186</v>
      </c>
      <c r="BJ23" t="s">
        <v>186</v>
      </c>
      <c r="BL23" t="s">
        <v>100</v>
      </c>
      <c r="BM23" t="s">
        <v>101</v>
      </c>
      <c r="BN23" t="s">
        <v>102</v>
      </c>
      <c r="BO23" t="s">
        <v>103</v>
      </c>
      <c r="BP23" t="s">
        <v>89</v>
      </c>
      <c r="BQ23" t="s">
        <v>89</v>
      </c>
      <c r="BR23" t="str">
        <f>VLOOKUP(KeHEPARDataFlowSource[[#This Row],[Item Status]],Table2[#All],2,FALSE)</f>
        <v>Normal, Active item</v>
      </c>
    </row>
    <row r="24" spans="1:70" x14ac:dyDescent="0.25">
      <c r="A24" t="s">
        <v>251</v>
      </c>
      <c r="B24" t="s">
        <v>123</v>
      </c>
      <c r="C24" t="s">
        <v>124</v>
      </c>
      <c r="D24" t="s">
        <v>125</v>
      </c>
      <c r="E24" t="s">
        <v>126</v>
      </c>
      <c r="F24" t="s">
        <v>282</v>
      </c>
      <c r="G24" t="s">
        <v>107</v>
      </c>
      <c r="H24" t="s">
        <v>87</v>
      </c>
      <c r="I24" t="s">
        <v>108</v>
      </c>
      <c r="J24" t="s">
        <v>10</v>
      </c>
      <c r="K24" t="s">
        <v>121</v>
      </c>
      <c r="L24" t="s">
        <v>88</v>
      </c>
      <c r="M24" t="s">
        <v>109</v>
      </c>
      <c r="N24" t="s">
        <v>110</v>
      </c>
      <c r="O24" t="s">
        <v>221</v>
      </c>
      <c r="P24" t="s">
        <v>119</v>
      </c>
      <c r="Q24" t="s">
        <v>89</v>
      </c>
      <c r="R24" t="s">
        <v>89</v>
      </c>
      <c r="S24" t="s">
        <v>89</v>
      </c>
      <c r="T24">
        <v>4605.12</v>
      </c>
      <c r="U24">
        <v>288</v>
      </c>
      <c r="V24" t="s">
        <v>89</v>
      </c>
      <c r="W24" t="s">
        <v>102</v>
      </c>
      <c r="X24" t="s">
        <v>89</v>
      </c>
      <c r="Y24" t="s">
        <v>102</v>
      </c>
      <c r="Z24" t="s">
        <v>283</v>
      </c>
      <c r="AA24" t="s">
        <v>254</v>
      </c>
      <c r="AB24" t="s">
        <v>254</v>
      </c>
      <c r="AE24" t="s">
        <v>117</v>
      </c>
      <c r="AF24" t="s">
        <v>284</v>
      </c>
      <c r="AG24" t="s">
        <v>285</v>
      </c>
      <c r="AH24" t="s">
        <v>130</v>
      </c>
      <c r="AI24" t="s">
        <v>131</v>
      </c>
      <c r="AJ24" t="s">
        <v>132</v>
      </c>
      <c r="AK24" t="s">
        <v>133</v>
      </c>
      <c r="AL24" t="s">
        <v>227</v>
      </c>
      <c r="AM24" t="s">
        <v>120</v>
      </c>
      <c r="AN24" t="s">
        <v>135</v>
      </c>
      <c r="AO24" t="s">
        <v>136</v>
      </c>
      <c r="AP24" t="s">
        <v>90</v>
      </c>
      <c r="AQ24" t="s">
        <v>137</v>
      </c>
      <c r="AS24" t="s">
        <v>91</v>
      </c>
      <c r="AT24" t="s">
        <v>105</v>
      </c>
      <c r="AU24" t="s">
        <v>106</v>
      </c>
      <c r="AV24" t="s">
        <v>92</v>
      </c>
      <c r="AW24" t="s">
        <v>93</v>
      </c>
      <c r="AX24" t="s">
        <v>111</v>
      </c>
      <c r="AY24" t="s">
        <v>95</v>
      </c>
      <c r="AZ24" t="s">
        <v>286</v>
      </c>
      <c r="BA24" t="s">
        <v>6</v>
      </c>
      <c r="BB24" t="s">
        <v>96</v>
      </c>
      <c r="BC24" t="s">
        <v>98</v>
      </c>
      <c r="BD24" t="s">
        <v>98</v>
      </c>
      <c r="BE24" t="s">
        <v>98</v>
      </c>
      <c r="BF24" t="s">
        <v>99</v>
      </c>
      <c r="BG24" t="s">
        <v>112</v>
      </c>
      <c r="BH24" t="s">
        <v>98</v>
      </c>
      <c r="BI24" t="s">
        <v>110</v>
      </c>
      <c r="BJ24" t="s">
        <v>110</v>
      </c>
      <c r="BL24" t="s">
        <v>100</v>
      </c>
      <c r="BM24" t="s">
        <v>101</v>
      </c>
      <c r="BN24" t="s">
        <v>102</v>
      </c>
      <c r="BO24" t="s">
        <v>103</v>
      </c>
      <c r="BP24" t="s">
        <v>89</v>
      </c>
      <c r="BQ24" t="s">
        <v>89</v>
      </c>
      <c r="BR24" t="str">
        <f>VLOOKUP(KeHEPARDataFlowSource[[#This Row],[Item Status]],Table2[#All],2,FALSE)</f>
        <v>Normal, Active item</v>
      </c>
    </row>
    <row r="25" spans="1:70" x14ac:dyDescent="0.25">
      <c r="A25" t="s">
        <v>251</v>
      </c>
      <c r="B25" t="s">
        <v>123</v>
      </c>
      <c r="C25" t="s">
        <v>124</v>
      </c>
      <c r="D25" t="s">
        <v>125</v>
      </c>
      <c r="E25" t="s">
        <v>126</v>
      </c>
      <c r="F25" t="s">
        <v>287</v>
      </c>
      <c r="G25" t="s">
        <v>146</v>
      </c>
      <c r="H25" t="s">
        <v>87</v>
      </c>
      <c r="I25" t="s">
        <v>147</v>
      </c>
      <c r="J25" t="s">
        <v>8</v>
      </c>
      <c r="K25" t="s">
        <v>121</v>
      </c>
      <c r="L25" t="s">
        <v>88</v>
      </c>
      <c r="M25" t="s">
        <v>109</v>
      </c>
      <c r="N25" t="s">
        <v>110</v>
      </c>
      <c r="O25" t="s">
        <v>221</v>
      </c>
      <c r="P25" t="s">
        <v>119</v>
      </c>
      <c r="Q25" t="s">
        <v>89</v>
      </c>
      <c r="R25" t="s">
        <v>89</v>
      </c>
      <c r="S25" t="s">
        <v>89</v>
      </c>
      <c r="T25">
        <v>3837.6</v>
      </c>
      <c r="U25">
        <v>240</v>
      </c>
      <c r="V25" t="s">
        <v>89</v>
      </c>
      <c r="W25" t="s">
        <v>102</v>
      </c>
      <c r="X25" t="s">
        <v>89</v>
      </c>
      <c r="Y25" t="s">
        <v>102</v>
      </c>
      <c r="Z25" t="s">
        <v>283</v>
      </c>
      <c r="AA25" t="s">
        <v>254</v>
      </c>
      <c r="AB25" t="s">
        <v>254</v>
      </c>
      <c r="AE25" t="s">
        <v>117</v>
      </c>
      <c r="AF25" t="s">
        <v>288</v>
      </c>
      <c r="AG25" t="s">
        <v>289</v>
      </c>
      <c r="AH25" t="s">
        <v>130</v>
      </c>
      <c r="AI25" t="s">
        <v>131</v>
      </c>
      <c r="AJ25" t="s">
        <v>132</v>
      </c>
      <c r="AK25" t="s">
        <v>133</v>
      </c>
      <c r="AL25" t="s">
        <v>227</v>
      </c>
      <c r="AM25" t="s">
        <v>120</v>
      </c>
      <c r="AN25" t="s">
        <v>135</v>
      </c>
      <c r="AO25" t="s">
        <v>136</v>
      </c>
      <c r="AP25" t="s">
        <v>90</v>
      </c>
      <c r="AQ25" t="s">
        <v>137</v>
      </c>
      <c r="AS25" t="s">
        <v>91</v>
      </c>
      <c r="AT25" t="s">
        <v>105</v>
      </c>
      <c r="AU25" t="s">
        <v>106</v>
      </c>
      <c r="AV25" t="s">
        <v>92</v>
      </c>
      <c r="AW25" t="s">
        <v>93</v>
      </c>
      <c r="AX25" t="s">
        <v>111</v>
      </c>
      <c r="AY25" t="s">
        <v>95</v>
      </c>
      <c r="AZ25" t="s">
        <v>290</v>
      </c>
      <c r="BA25" t="s">
        <v>6</v>
      </c>
      <c r="BB25" t="s">
        <v>96</v>
      </c>
      <c r="BC25" t="s">
        <v>98</v>
      </c>
      <c r="BD25" t="s">
        <v>98</v>
      </c>
      <c r="BE25" t="s">
        <v>98</v>
      </c>
      <c r="BF25" t="s">
        <v>99</v>
      </c>
      <c r="BG25" t="s">
        <v>112</v>
      </c>
      <c r="BH25" t="s">
        <v>98</v>
      </c>
      <c r="BI25" t="s">
        <v>110</v>
      </c>
      <c r="BJ25" t="s">
        <v>110</v>
      </c>
      <c r="BL25" t="s">
        <v>100</v>
      </c>
      <c r="BM25" t="s">
        <v>101</v>
      </c>
      <c r="BN25" t="s">
        <v>102</v>
      </c>
      <c r="BO25" t="s">
        <v>103</v>
      </c>
      <c r="BP25" t="s">
        <v>89</v>
      </c>
      <c r="BQ25" t="s">
        <v>89</v>
      </c>
      <c r="BR25" t="str">
        <f>VLOOKUP(KeHEPARDataFlowSource[[#This Row],[Item Status]],Table2[#All],2,FALSE)</f>
        <v>Temporarily OOS due to Manuf</v>
      </c>
    </row>
    <row r="26" spans="1:70" x14ac:dyDescent="0.25">
      <c r="A26" t="s">
        <v>122</v>
      </c>
      <c r="B26" t="s">
        <v>123</v>
      </c>
      <c r="C26" t="s">
        <v>124</v>
      </c>
      <c r="D26" t="s">
        <v>125</v>
      </c>
      <c r="E26" t="s">
        <v>126</v>
      </c>
      <c r="F26" t="s">
        <v>291</v>
      </c>
      <c r="G26" t="s">
        <v>206</v>
      </c>
      <c r="H26" t="s">
        <v>87</v>
      </c>
      <c r="I26" t="s">
        <v>207</v>
      </c>
      <c r="J26" t="s">
        <v>8</v>
      </c>
      <c r="K26" t="s">
        <v>121</v>
      </c>
      <c r="L26" t="s">
        <v>88</v>
      </c>
      <c r="M26" t="s">
        <v>155</v>
      </c>
      <c r="N26" t="s">
        <v>155</v>
      </c>
      <c r="O26" t="s">
        <v>128</v>
      </c>
      <c r="P26" t="s">
        <v>119</v>
      </c>
      <c r="Q26" t="s">
        <v>89</v>
      </c>
      <c r="R26" t="s">
        <v>89</v>
      </c>
      <c r="S26" t="s">
        <v>89</v>
      </c>
      <c r="T26">
        <v>1184.04</v>
      </c>
      <c r="U26">
        <v>396</v>
      </c>
      <c r="V26" t="s">
        <v>89</v>
      </c>
      <c r="W26" t="s">
        <v>102</v>
      </c>
      <c r="X26" t="s">
        <v>89</v>
      </c>
      <c r="Y26" t="s">
        <v>102</v>
      </c>
      <c r="Z26" t="s">
        <v>266</v>
      </c>
      <c r="AA26" t="s">
        <v>267</v>
      </c>
      <c r="AB26" t="s">
        <v>180</v>
      </c>
      <c r="AD26" t="s">
        <v>267</v>
      </c>
      <c r="AE26" t="s">
        <v>117</v>
      </c>
      <c r="AF26" t="s">
        <v>292</v>
      </c>
      <c r="AG26" t="s">
        <v>237</v>
      </c>
      <c r="AH26" t="s">
        <v>130</v>
      </c>
      <c r="AI26" t="s">
        <v>131</v>
      </c>
      <c r="AJ26" t="s">
        <v>132</v>
      </c>
      <c r="AK26" t="s">
        <v>133</v>
      </c>
      <c r="AL26" t="s">
        <v>134</v>
      </c>
      <c r="AM26" t="s">
        <v>120</v>
      </c>
      <c r="AN26" t="s">
        <v>135</v>
      </c>
      <c r="AO26" t="s">
        <v>136</v>
      </c>
      <c r="AP26" t="s">
        <v>90</v>
      </c>
      <c r="AQ26" t="s">
        <v>137</v>
      </c>
      <c r="AS26" t="s">
        <v>91</v>
      </c>
      <c r="AT26" t="s">
        <v>138</v>
      </c>
      <c r="AU26" t="s">
        <v>139</v>
      </c>
      <c r="AV26" t="s">
        <v>92</v>
      </c>
      <c r="AW26" t="s">
        <v>93</v>
      </c>
      <c r="AX26" t="s">
        <v>94</v>
      </c>
      <c r="AY26" t="s">
        <v>95</v>
      </c>
      <c r="AZ26" t="s">
        <v>293</v>
      </c>
      <c r="BA26" t="s">
        <v>6</v>
      </c>
      <c r="BB26" t="s">
        <v>96</v>
      </c>
      <c r="BC26" t="s">
        <v>98</v>
      </c>
      <c r="BD26" t="s">
        <v>98</v>
      </c>
      <c r="BE26" t="s">
        <v>98</v>
      </c>
      <c r="BF26" t="s">
        <v>141</v>
      </c>
      <c r="BG26" t="s">
        <v>212</v>
      </c>
      <c r="BH26" t="s">
        <v>98</v>
      </c>
      <c r="BI26" t="s">
        <v>110</v>
      </c>
      <c r="BJ26" t="s">
        <v>142</v>
      </c>
      <c r="BL26" t="s">
        <v>100</v>
      </c>
      <c r="BM26" t="s">
        <v>101</v>
      </c>
      <c r="BN26" t="s">
        <v>102</v>
      </c>
      <c r="BO26" t="s">
        <v>103</v>
      </c>
      <c r="BP26" t="s">
        <v>89</v>
      </c>
      <c r="BQ26" t="s">
        <v>89</v>
      </c>
      <c r="BR26" t="str">
        <f>VLOOKUP(KeHEPARDataFlowSource[[#This Row],[Item Status]],Table2[#All],2,FALSE)</f>
        <v>Temporarily OOS due to Manuf</v>
      </c>
    </row>
    <row r="27" spans="1:70" x14ac:dyDescent="0.25">
      <c r="A27" t="s">
        <v>122</v>
      </c>
      <c r="B27" t="s">
        <v>123</v>
      </c>
      <c r="C27" t="s">
        <v>124</v>
      </c>
      <c r="D27" t="s">
        <v>125</v>
      </c>
      <c r="E27" t="s">
        <v>126</v>
      </c>
      <c r="F27" t="s">
        <v>294</v>
      </c>
      <c r="G27" t="s">
        <v>240</v>
      </c>
      <c r="H27" t="s">
        <v>87</v>
      </c>
      <c r="I27" t="s">
        <v>241</v>
      </c>
      <c r="J27" t="s">
        <v>10</v>
      </c>
      <c r="K27" t="s">
        <v>121</v>
      </c>
      <c r="L27" t="s">
        <v>88</v>
      </c>
      <c r="M27" t="s">
        <v>155</v>
      </c>
      <c r="N27" t="s">
        <v>155</v>
      </c>
      <c r="O27" t="s">
        <v>128</v>
      </c>
      <c r="P27" t="s">
        <v>119</v>
      </c>
      <c r="Q27" t="s">
        <v>89</v>
      </c>
      <c r="R27" t="s">
        <v>89</v>
      </c>
      <c r="S27" t="s">
        <v>89</v>
      </c>
      <c r="T27">
        <v>968.76</v>
      </c>
      <c r="U27">
        <v>324</v>
      </c>
      <c r="V27" t="s">
        <v>89</v>
      </c>
      <c r="W27" t="s">
        <v>102</v>
      </c>
      <c r="X27" t="s">
        <v>89</v>
      </c>
      <c r="Y27" t="s">
        <v>102</v>
      </c>
      <c r="Z27" t="s">
        <v>295</v>
      </c>
      <c r="AA27" t="s">
        <v>168</v>
      </c>
      <c r="AB27" t="s">
        <v>168</v>
      </c>
      <c r="AE27" t="s">
        <v>117</v>
      </c>
      <c r="AF27" t="s">
        <v>296</v>
      </c>
      <c r="AG27" t="s">
        <v>237</v>
      </c>
      <c r="AH27" t="s">
        <v>130</v>
      </c>
      <c r="AI27" t="s">
        <v>131</v>
      </c>
      <c r="AJ27" t="s">
        <v>132</v>
      </c>
      <c r="AK27" t="s">
        <v>133</v>
      </c>
      <c r="AL27" t="s">
        <v>134</v>
      </c>
      <c r="AM27" t="s">
        <v>120</v>
      </c>
      <c r="AN27" t="s">
        <v>135</v>
      </c>
      <c r="AO27" t="s">
        <v>136</v>
      </c>
      <c r="AP27" t="s">
        <v>90</v>
      </c>
      <c r="AQ27" t="s">
        <v>137</v>
      </c>
      <c r="AS27" t="s">
        <v>91</v>
      </c>
      <c r="AT27" t="s">
        <v>138</v>
      </c>
      <c r="AU27" t="s">
        <v>139</v>
      </c>
      <c r="AV27" t="s">
        <v>92</v>
      </c>
      <c r="AW27" t="s">
        <v>93</v>
      </c>
      <c r="AX27" t="s">
        <v>94</v>
      </c>
      <c r="AY27" t="s">
        <v>95</v>
      </c>
      <c r="AZ27" t="s">
        <v>297</v>
      </c>
      <c r="BA27" t="s">
        <v>6</v>
      </c>
      <c r="BB27" t="s">
        <v>96</v>
      </c>
      <c r="BC27" t="s">
        <v>98</v>
      </c>
      <c r="BD27" t="s">
        <v>98</v>
      </c>
      <c r="BE27" t="s">
        <v>98</v>
      </c>
      <c r="BF27" t="s">
        <v>141</v>
      </c>
      <c r="BG27" t="s">
        <v>212</v>
      </c>
      <c r="BH27" t="s">
        <v>98</v>
      </c>
      <c r="BI27" t="s">
        <v>110</v>
      </c>
      <c r="BJ27" t="s">
        <v>142</v>
      </c>
      <c r="BL27" t="s">
        <v>100</v>
      </c>
      <c r="BM27" t="s">
        <v>101</v>
      </c>
      <c r="BN27" t="s">
        <v>102</v>
      </c>
      <c r="BO27" t="s">
        <v>103</v>
      </c>
      <c r="BP27" t="s">
        <v>89</v>
      </c>
      <c r="BQ27" t="s">
        <v>89</v>
      </c>
      <c r="BR27" t="str">
        <f>VLOOKUP(KeHEPARDataFlowSource[[#This Row],[Item Status]],Table2[#All],2,FALSE)</f>
        <v>Normal, Active item</v>
      </c>
    </row>
    <row r="28" spans="1:70" x14ac:dyDescent="0.25">
      <c r="A28" t="s">
        <v>152</v>
      </c>
      <c r="B28" t="s">
        <v>123</v>
      </c>
      <c r="C28" t="s">
        <v>124</v>
      </c>
      <c r="D28" t="s">
        <v>125</v>
      </c>
      <c r="E28" t="s">
        <v>126</v>
      </c>
      <c r="F28" t="s">
        <v>298</v>
      </c>
      <c r="G28" t="s">
        <v>206</v>
      </c>
      <c r="H28" t="s">
        <v>87</v>
      </c>
      <c r="I28" t="s">
        <v>207</v>
      </c>
      <c r="J28" t="s">
        <v>10</v>
      </c>
      <c r="K28" t="s">
        <v>121</v>
      </c>
      <c r="L28" t="s">
        <v>88</v>
      </c>
      <c r="M28" t="s">
        <v>155</v>
      </c>
      <c r="N28" t="s">
        <v>155</v>
      </c>
      <c r="O28" t="s">
        <v>178</v>
      </c>
      <c r="P28" t="s">
        <v>119</v>
      </c>
      <c r="Q28" t="s">
        <v>89</v>
      </c>
      <c r="R28" t="s">
        <v>89</v>
      </c>
      <c r="S28" t="s">
        <v>89</v>
      </c>
      <c r="T28">
        <v>1865.76</v>
      </c>
      <c r="U28">
        <v>624</v>
      </c>
      <c r="V28" t="s">
        <v>89</v>
      </c>
      <c r="W28" t="s">
        <v>102</v>
      </c>
      <c r="X28" t="s">
        <v>89</v>
      </c>
      <c r="Y28" t="s">
        <v>102</v>
      </c>
      <c r="Z28" t="s">
        <v>189</v>
      </c>
      <c r="AA28" t="s">
        <v>190</v>
      </c>
      <c r="AB28" t="s">
        <v>190</v>
      </c>
      <c r="AE28" t="s">
        <v>117</v>
      </c>
      <c r="AF28" t="s">
        <v>299</v>
      </c>
      <c r="AG28" t="s">
        <v>300</v>
      </c>
      <c r="AH28" t="s">
        <v>130</v>
      </c>
      <c r="AI28" t="s">
        <v>131</v>
      </c>
      <c r="AJ28" t="s">
        <v>132</v>
      </c>
      <c r="AK28" t="s">
        <v>133</v>
      </c>
      <c r="AL28" t="s">
        <v>183</v>
      </c>
      <c r="AM28" t="s">
        <v>120</v>
      </c>
      <c r="AN28" t="s">
        <v>135</v>
      </c>
      <c r="AO28" t="s">
        <v>136</v>
      </c>
      <c r="AP28" t="s">
        <v>90</v>
      </c>
      <c r="AQ28" t="s">
        <v>137</v>
      </c>
      <c r="AS28" t="s">
        <v>91</v>
      </c>
      <c r="AT28" t="s">
        <v>138</v>
      </c>
      <c r="AU28" t="s">
        <v>139</v>
      </c>
      <c r="AV28" t="s">
        <v>92</v>
      </c>
      <c r="AW28" t="s">
        <v>93</v>
      </c>
      <c r="AX28" t="s">
        <v>94</v>
      </c>
      <c r="AY28" t="s">
        <v>95</v>
      </c>
      <c r="AZ28" t="s">
        <v>301</v>
      </c>
      <c r="BA28" t="s">
        <v>6</v>
      </c>
      <c r="BB28" t="s">
        <v>96</v>
      </c>
      <c r="BC28" t="s">
        <v>98</v>
      </c>
      <c r="BD28" t="s">
        <v>98</v>
      </c>
      <c r="BE28" t="s">
        <v>98</v>
      </c>
      <c r="BF28" t="s">
        <v>185</v>
      </c>
      <c r="BG28" t="s">
        <v>212</v>
      </c>
      <c r="BH28" t="s">
        <v>98</v>
      </c>
      <c r="BI28" t="s">
        <v>186</v>
      </c>
      <c r="BJ28" t="s">
        <v>186</v>
      </c>
      <c r="BL28" t="s">
        <v>100</v>
      </c>
      <c r="BM28" t="s">
        <v>101</v>
      </c>
      <c r="BN28" t="s">
        <v>102</v>
      </c>
      <c r="BO28" t="s">
        <v>103</v>
      </c>
      <c r="BP28" t="s">
        <v>89</v>
      </c>
      <c r="BQ28" t="s">
        <v>89</v>
      </c>
      <c r="BR28" t="str">
        <f>VLOOKUP(KeHEPARDataFlowSource[[#This Row],[Item Status]],Table2[#All],2,FALSE)</f>
        <v>Normal, Active item</v>
      </c>
    </row>
    <row r="29" spans="1:70" x14ac:dyDescent="0.25">
      <c r="A29" t="s">
        <v>152</v>
      </c>
      <c r="B29" t="s">
        <v>123</v>
      </c>
      <c r="C29" t="s">
        <v>124</v>
      </c>
      <c r="D29" t="s">
        <v>125</v>
      </c>
      <c r="E29" t="s">
        <v>126</v>
      </c>
      <c r="F29" t="s">
        <v>302</v>
      </c>
      <c r="G29" t="s">
        <v>240</v>
      </c>
      <c r="H29" t="s">
        <v>87</v>
      </c>
      <c r="I29" t="s">
        <v>241</v>
      </c>
      <c r="J29" t="s">
        <v>10</v>
      </c>
      <c r="K29" t="s">
        <v>121</v>
      </c>
      <c r="L29" t="s">
        <v>88</v>
      </c>
      <c r="M29" t="s">
        <v>155</v>
      </c>
      <c r="N29" t="s">
        <v>155</v>
      </c>
      <c r="O29" t="s">
        <v>178</v>
      </c>
      <c r="P29" t="s">
        <v>119</v>
      </c>
      <c r="Q29" t="s">
        <v>89</v>
      </c>
      <c r="R29" t="s">
        <v>89</v>
      </c>
      <c r="S29" t="s">
        <v>89</v>
      </c>
      <c r="T29">
        <v>1722.24</v>
      </c>
      <c r="U29">
        <v>576</v>
      </c>
      <c r="V29" t="s">
        <v>89</v>
      </c>
      <c r="W29" t="s">
        <v>102</v>
      </c>
      <c r="X29" t="s">
        <v>89</v>
      </c>
      <c r="Y29" t="s">
        <v>102</v>
      </c>
      <c r="Z29" t="s">
        <v>189</v>
      </c>
      <c r="AA29" t="s">
        <v>190</v>
      </c>
      <c r="AB29" t="s">
        <v>190</v>
      </c>
      <c r="AE29" t="s">
        <v>117</v>
      </c>
      <c r="AF29" t="s">
        <v>303</v>
      </c>
      <c r="AG29" t="s">
        <v>237</v>
      </c>
      <c r="AH29" t="s">
        <v>130</v>
      </c>
      <c r="AI29" t="s">
        <v>131</v>
      </c>
      <c r="AJ29" t="s">
        <v>132</v>
      </c>
      <c r="AK29" t="s">
        <v>133</v>
      </c>
      <c r="AL29" t="s">
        <v>183</v>
      </c>
      <c r="AM29" t="s">
        <v>120</v>
      </c>
      <c r="AN29" t="s">
        <v>135</v>
      </c>
      <c r="AO29" t="s">
        <v>136</v>
      </c>
      <c r="AP29" t="s">
        <v>90</v>
      </c>
      <c r="AQ29" t="s">
        <v>137</v>
      </c>
      <c r="AS29" t="s">
        <v>91</v>
      </c>
      <c r="AT29" t="s">
        <v>138</v>
      </c>
      <c r="AU29" t="s">
        <v>139</v>
      </c>
      <c r="AV29" t="s">
        <v>92</v>
      </c>
      <c r="AW29" t="s">
        <v>93</v>
      </c>
      <c r="AX29" t="s">
        <v>94</v>
      </c>
      <c r="AY29" t="s">
        <v>95</v>
      </c>
      <c r="AZ29" t="s">
        <v>304</v>
      </c>
      <c r="BA29" t="s">
        <v>6</v>
      </c>
      <c r="BB29" t="s">
        <v>96</v>
      </c>
      <c r="BC29" t="s">
        <v>98</v>
      </c>
      <c r="BD29" t="s">
        <v>98</v>
      </c>
      <c r="BE29" t="s">
        <v>98</v>
      </c>
      <c r="BF29" t="s">
        <v>185</v>
      </c>
      <c r="BG29" t="s">
        <v>212</v>
      </c>
      <c r="BH29" t="s">
        <v>98</v>
      </c>
      <c r="BI29" t="s">
        <v>186</v>
      </c>
      <c r="BJ29" t="s">
        <v>186</v>
      </c>
      <c r="BL29" t="s">
        <v>100</v>
      </c>
      <c r="BM29" t="s">
        <v>101</v>
      </c>
      <c r="BN29" t="s">
        <v>102</v>
      </c>
      <c r="BO29" t="s">
        <v>103</v>
      </c>
      <c r="BP29" t="s">
        <v>89</v>
      </c>
      <c r="BQ29" t="s">
        <v>89</v>
      </c>
      <c r="BR29" t="str">
        <f>VLOOKUP(KeHEPARDataFlowSource[[#This Row],[Item Status]],Table2[#All],2,FALSE)</f>
        <v>Normal, Active item</v>
      </c>
    </row>
    <row r="30" spans="1:70" x14ac:dyDescent="0.25">
      <c r="A30" t="s">
        <v>152</v>
      </c>
      <c r="B30" t="s">
        <v>123</v>
      </c>
      <c r="C30" t="s">
        <v>124</v>
      </c>
      <c r="D30" t="s">
        <v>125</v>
      </c>
      <c r="E30" t="s">
        <v>126</v>
      </c>
      <c r="F30" t="s">
        <v>305</v>
      </c>
      <c r="G30" t="s">
        <v>306</v>
      </c>
      <c r="H30" t="s">
        <v>87</v>
      </c>
      <c r="I30" t="s">
        <v>307</v>
      </c>
      <c r="J30" t="s">
        <v>8</v>
      </c>
      <c r="K30" t="s">
        <v>121</v>
      </c>
      <c r="L30" t="s">
        <v>88</v>
      </c>
      <c r="M30" t="s">
        <v>155</v>
      </c>
      <c r="N30" t="s">
        <v>155</v>
      </c>
      <c r="O30" t="s">
        <v>178</v>
      </c>
      <c r="P30" t="s">
        <v>119</v>
      </c>
      <c r="Q30" t="s">
        <v>89</v>
      </c>
      <c r="R30" t="s">
        <v>89</v>
      </c>
      <c r="S30" t="s">
        <v>89</v>
      </c>
      <c r="T30">
        <v>1722.24</v>
      </c>
      <c r="U30">
        <v>576</v>
      </c>
      <c r="V30" t="s">
        <v>89</v>
      </c>
      <c r="W30" t="s">
        <v>102</v>
      </c>
      <c r="X30" t="s">
        <v>89</v>
      </c>
      <c r="Y30" t="s">
        <v>102</v>
      </c>
      <c r="Z30" t="s">
        <v>179</v>
      </c>
      <c r="AA30" t="s">
        <v>180</v>
      </c>
      <c r="AB30" t="s">
        <v>180</v>
      </c>
      <c r="AE30" t="s">
        <v>117</v>
      </c>
      <c r="AF30" t="s">
        <v>308</v>
      </c>
      <c r="AG30" t="s">
        <v>235</v>
      </c>
      <c r="AH30" t="s">
        <v>130</v>
      </c>
      <c r="AI30" t="s">
        <v>131</v>
      </c>
      <c r="AJ30" t="s">
        <v>132</v>
      </c>
      <c r="AK30" t="s">
        <v>133</v>
      </c>
      <c r="AL30" t="s">
        <v>183</v>
      </c>
      <c r="AM30" t="s">
        <v>120</v>
      </c>
      <c r="AN30" t="s">
        <v>135</v>
      </c>
      <c r="AO30" t="s">
        <v>136</v>
      </c>
      <c r="AP30" t="s">
        <v>90</v>
      </c>
      <c r="AQ30" t="s">
        <v>137</v>
      </c>
      <c r="AS30" t="s">
        <v>91</v>
      </c>
      <c r="AT30" t="s">
        <v>138</v>
      </c>
      <c r="AU30" t="s">
        <v>139</v>
      </c>
      <c r="AV30" t="s">
        <v>92</v>
      </c>
      <c r="AW30" t="s">
        <v>93</v>
      </c>
      <c r="AX30" t="s">
        <v>94</v>
      </c>
      <c r="AY30" t="s">
        <v>95</v>
      </c>
      <c r="AZ30" t="s">
        <v>309</v>
      </c>
      <c r="BA30" t="s">
        <v>6</v>
      </c>
      <c r="BB30" t="s">
        <v>96</v>
      </c>
      <c r="BC30" t="s">
        <v>98</v>
      </c>
      <c r="BD30" t="s">
        <v>98</v>
      </c>
      <c r="BE30" t="s">
        <v>98</v>
      </c>
      <c r="BF30" t="s">
        <v>185</v>
      </c>
      <c r="BG30" t="s">
        <v>212</v>
      </c>
      <c r="BH30" t="s">
        <v>98</v>
      </c>
      <c r="BI30" t="s">
        <v>186</v>
      </c>
      <c r="BJ30" t="s">
        <v>186</v>
      </c>
      <c r="BL30" t="s">
        <v>100</v>
      </c>
      <c r="BM30" t="s">
        <v>101</v>
      </c>
      <c r="BN30" t="s">
        <v>102</v>
      </c>
      <c r="BO30" t="s">
        <v>103</v>
      </c>
      <c r="BP30" t="s">
        <v>89</v>
      </c>
      <c r="BQ30" t="s">
        <v>89</v>
      </c>
      <c r="BR30" t="str">
        <f>VLOOKUP(KeHEPARDataFlowSource[[#This Row],[Item Status]],Table2[#All],2,FALSE)</f>
        <v>Temporarily OOS due to Manuf</v>
      </c>
    </row>
    <row r="31" spans="1:70" x14ac:dyDescent="0.25">
      <c r="A31" t="s">
        <v>194</v>
      </c>
      <c r="B31" t="s">
        <v>123</v>
      </c>
      <c r="C31" t="s">
        <v>124</v>
      </c>
      <c r="D31" t="s">
        <v>125</v>
      </c>
      <c r="E31" t="s">
        <v>126</v>
      </c>
      <c r="F31" t="s">
        <v>310</v>
      </c>
      <c r="G31" t="s">
        <v>240</v>
      </c>
      <c r="H31" t="s">
        <v>87</v>
      </c>
      <c r="I31" t="s">
        <v>241</v>
      </c>
      <c r="J31" t="s">
        <v>10</v>
      </c>
      <c r="K31" t="s">
        <v>121</v>
      </c>
      <c r="L31" t="s">
        <v>88</v>
      </c>
      <c r="M31" t="s">
        <v>155</v>
      </c>
      <c r="N31" t="s">
        <v>155</v>
      </c>
      <c r="O31" t="s">
        <v>178</v>
      </c>
      <c r="P31" t="s">
        <v>119</v>
      </c>
      <c r="Q31" t="s">
        <v>89</v>
      </c>
      <c r="R31" t="s">
        <v>89</v>
      </c>
      <c r="S31" t="s">
        <v>89</v>
      </c>
      <c r="T31">
        <v>897</v>
      </c>
      <c r="U31">
        <v>300</v>
      </c>
      <c r="V31" t="s">
        <v>89</v>
      </c>
      <c r="W31" t="s">
        <v>102</v>
      </c>
      <c r="X31" t="s">
        <v>89</v>
      </c>
      <c r="Y31" t="s">
        <v>102</v>
      </c>
      <c r="Z31" t="s">
        <v>208</v>
      </c>
      <c r="AA31" t="s">
        <v>180</v>
      </c>
      <c r="AB31" t="s">
        <v>180</v>
      </c>
      <c r="AE31" t="s">
        <v>117</v>
      </c>
      <c r="AF31" t="s">
        <v>311</v>
      </c>
      <c r="AG31" t="s">
        <v>280</v>
      </c>
      <c r="AH31" t="s">
        <v>130</v>
      </c>
      <c r="AI31" t="s">
        <v>131</v>
      </c>
      <c r="AJ31" t="s">
        <v>132</v>
      </c>
      <c r="AK31" t="s">
        <v>133</v>
      </c>
      <c r="AL31" t="s">
        <v>183</v>
      </c>
      <c r="AM31" t="s">
        <v>120</v>
      </c>
      <c r="AN31" t="s">
        <v>135</v>
      </c>
      <c r="AO31" t="s">
        <v>136</v>
      </c>
      <c r="AP31" t="s">
        <v>90</v>
      </c>
      <c r="AQ31" t="s">
        <v>137</v>
      </c>
      <c r="AS31" t="s">
        <v>91</v>
      </c>
      <c r="AT31" t="s">
        <v>105</v>
      </c>
      <c r="AU31" t="s">
        <v>106</v>
      </c>
      <c r="AV31" t="s">
        <v>92</v>
      </c>
      <c r="AW31" t="s">
        <v>93</v>
      </c>
      <c r="AX31" t="s">
        <v>94</v>
      </c>
      <c r="AY31" t="s">
        <v>95</v>
      </c>
      <c r="AZ31" t="s">
        <v>312</v>
      </c>
      <c r="BA31" t="s">
        <v>6</v>
      </c>
      <c r="BB31" t="s">
        <v>96</v>
      </c>
      <c r="BC31" t="s">
        <v>98</v>
      </c>
      <c r="BD31" t="s">
        <v>98</v>
      </c>
      <c r="BE31" t="s">
        <v>98</v>
      </c>
      <c r="BF31" t="s">
        <v>185</v>
      </c>
      <c r="BG31" t="s">
        <v>212</v>
      </c>
      <c r="BH31" t="s">
        <v>98</v>
      </c>
      <c r="BI31" t="s">
        <v>199</v>
      </c>
      <c r="BJ31" t="s">
        <v>199</v>
      </c>
      <c r="BL31" t="s">
        <v>100</v>
      </c>
      <c r="BM31" t="s">
        <v>101</v>
      </c>
      <c r="BN31" t="s">
        <v>102</v>
      </c>
      <c r="BO31" t="s">
        <v>103</v>
      </c>
      <c r="BP31" t="s">
        <v>89</v>
      </c>
      <c r="BQ31" t="s">
        <v>89</v>
      </c>
      <c r="BR31" t="str">
        <f>VLOOKUP(KeHEPARDataFlowSource[[#This Row],[Item Status]],Table2[#All],2,FALSE)</f>
        <v>Normal, Active item</v>
      </c>
    </row>
    <row r="32" spans="1:70" x14ac:dyDescent="0.25">
      <c r="A32" t="s">
        <v>194</v>
      </c>
      <c r="B32" t="s">
        <v>123</v>
      </c>
      <c r="C32" t="s">
        <v>124</v>
      </c>
      <c r="D32" t="s">
        <v>125</v>
      </c>
      <c r="E32" t="s">
        <v>126</v>
      </c>
      <c r="F32" t="s">
        <v>313</v>
      </c>
      <c r="G32" t="s">
        <v>306</v>
      </c>
      <c r="H32" t="s">
        <v>87</v>
      </c>
      <c r="I32" t="s">
        <v>307</v>
      </c>
      <c r="J32" t="s">
        <v>10</v>
      </c>
      <c r="K32" t="s">
        <v>121</v>
      </c>
      <c r="L32" t="s">
        <v>88</v>
      </c>
      <c r="M32" t="s">
        <v>155</v>
      </c>
      <c r="N32" t="s">
        <v>155</v>
      </c>
      <c r="O32" t="s">
        <v>178</v>
      </c>
      <c r="P32" t="s">
        <v>119</v>
      </c>
      <c r="Q32" t="s">
        <v>89</v>
      </c>
      <c r="R32" t="s">
        <v>89</v>
      </c>
      <c r="S32" t="s">
        <v>89</v>
      </c>
      <c r="T32">
        <v>897</v>
      </c>
      <c r="U32">
        <v>300</v>
      </c>
      <c r="V32" t="s">
        <v>89</v>
      </c>
      <c r="W32" t="s">
        <v>102</v>
      </c>
      <c r="X32" t="s">
        <v>89</v>
      </c>
      <c r="Y32" t="s">
        <v>102</v>
      </c>
      <c r="Z32" t="s">
        <v>208</v>
      </c>
      <c r="AA32" t="s">
        <v>180</v>
      </c>
      <c r="AB32" t="s">
        <v>180</v>
      </c>
      <c r="AE32" t="s">
        <v>117</v>
      </c>
      <c r="AF32" t="s">
        <v>314</v>
      </c>
      <c r="AG32" t="s">
        <v>280</v>
      </c>
      <c r="AH32" t="s">
        <v>130</v>
      </c>
      <c r="AI32" t="s">
        <v>131</v>
      </c>
      <c r="AJ32" t="s">
        <v>132</v>
      </c>
      <c r="AK32" t="s">
        <v>133</v>
      </c>
      <c r="AL32" t="s">
        <v>183</v>
      </c>
      <c r="AM32" t="s">
        <v>120</v>
      </c>
      <c r="AN32" t="s">
        <v>135</v>
      </c>
      <c r="AO32" t="s">
        <v>136</v>
      </c>
      <c r="AP32" t="s">
        <v>90</v>
      </c>
      <c r="AQ32" t="s">
        <v>137</v>
      </c>
      <c r="AS32" t="s">
        <v>91</v>
      </c>
      <c r="AT32" t="s">
        <v>105</v>
      </c>
      <c r="AU32" t="s">
        <v>106</v>
      </c>
      <c r="AV32" t="s">
        <v>92</v>
      </c>
      <c r="AW32" t="s">
        <v>93</v>
      </c>
      <c r="AX32" t="s">
        <v>94</v>
      </c>
      <c r="AY32" t="s">
        <v>95</v>
      </c>
      <c r="AZ32" t="s">
        <v>315</v>
      </c>
      <c r="BA32" t="s">
        <v>6</v>
      </c>
      <c r="BB32" t="s">
        <v>96</v>
      </c>
      <c r="BC32" t="s">
        <v>98</v>
      </c>
      <c r="BD32" t="s">
        <v>98</v>
      </c>
      <c r="BE32" t="s">
        <v>98</v>
      </c>
      <c r="BF32" t="s">
        <v>185</v>
      </c>
      <c r="BG32" t="s">
        <v>212</v>
      </c>
      <c r="BH32" t="s">
        <v>98</v>
      </c>
      <c r="BI32" t="s">
        <v>199</v>
      </c>
      <c r="BJ32" t="s">
        <v>199</v>
      </c>
      <c r="BL32" t="s">
        <v>100</v>
      </c>
      <c r="BM32" t="s">
        <v>101</v>
      </c>
      <c r="BN32" t="s">
        <v>102</v>
      </c>
      <c r="BO32" t="s">
        <v>103</v>
      </c>
      <c r="BP32" t="s">
        <v>89</v>
      </c>
      <c r="BQ32" t="s">
        <v>89</v>
      </c>
      <c r="BR32" t="str">
        <f>VLOOKUP(KeHEPARDataFlowSource[[#This Row],[Item Status]],Table2[#All],2,FALSE)</f>
        <v>Normal, Active item</v>
      </c>
    </row>
    <row r="33" spans="1:70" x14ac:dyDescent="0.25">
      <c r="A33" t="s">
        <v>104</v>
      </c>
      <c r="B33" t="s">
        <v>123</v>
      </c>
      <c r="C33" t="s">
        <v>124</v>
      </c>
      <c r="D33" t="s">
        <v>125</v>
      </c>
      <c r="E33" t="s">
        <v>126</v>
      </c>
      <c r="F33" t="s">
        <v>316</v>
      </c>
      <c r="G33" t="s">
        <v>306</v>
      </c>
      <c r="H33" t="s">
        <v>87</v>
      </c>
      <c r="I33" t="s">
        <v>307</v>
      </c>
      <c r="J33" t="s">
        <v>8</v>
      </c>
      <c r="K33" t="s">
        <v>121</v>
      </c>
      <c r="L33" t="s">
        <v>88</v>
      </c>
      <c r="M33" t="s">
        <v>155</v>
      </c>
      <c r="N33" t="s">
        <v>155</v>
      </c>
      <c r="O33" t="s">
        <v>221</v>
      </c>
      <c r="P33" t="s">
        <v>119</v>
      </c>
      <c r="Q33" t="s">
        <v>89</v>
      </c>
      <c r="R33" t="s">
        <v>89</v>
      </c>
      <c r="S33" t="s">
        <v>89</v>
      </c>
      <c r="T33">
        <v>574.08000000000004</v>
      </c>
      <c r="U33">
        <v>192</v>
      </c>
      <c r="V33" t="s">
        <v>89</v>
      </c>
      <c r="W33" t="s">
        <v>102</v>
      </c>
      <c r="X33" t="s">
        <v>89</v>
      </c>
      <c r="Y33" t="s">
        <v>102</v>
      </c>
      <c r="Z33" t="s">
        <v>222</v>
      </c>
      <c r="AA33" t="s">
        <v>223</v>
      </c>
      <c r="AB33" t="s">
        <v>224</v>
      </c>
      <c r="AD33" t="s">
        <v>225</v>
      </c>
      <c r="AE33" t="s">
        <v>117</v>
      </c>
      <c r="AF33" t="s">
        <v>317</v>
      </c>
      <c r="AG33" t="s">
        <v>300</v>
      </c>
      <c r="AH33" t="s">
        <v>130</v>
      </c>
      <c r="AI33" t="s">
        <v>131</v>
      </c>
      <c r="AJ33" t="s">
        <v>132</v>
      </c>
      <c r="AK33" t="s">
        <v>133</v>
      </c>
      <c r="AL33" t="s">
        <v>227</v>
      </c>
      <c r="AM33" t="s">
        <v>120</v>
      </c>
      <c r="AN33" t="s">
        <v>135</v>
      </c>
      <c r="AO33" t="s">
        <v>136</v>
      </c>
      <c r="AP33" t="s">
        <v>90</v>
      </c>
      <c r="AQ33" t="s">
        <v>137</v>
      </c>
      <c r="AS33" t="s">
        <v>91</v>
      </c>
      <c r="AT33" t="s">
        <v>105</v>
      </c>
      <c r="AU33" t="s">
        <v>106</v>
      </c>
      <c r="AV33" t="s">
        <v>92</v>
      </c>
      <c r="AW33" t="s">
        <v>93</v>
      </c>
      <c r="AX33" t="s">
        <v>94</v>
      </c>
      <c r="AY33" t="s">
        <v>95</v>
      </c>
      <c r="AZ33" t="s">
        <v>318</v>
      </c>
      <c r="BA33" t="s">
        <v>6</v>
      </c>
      <c r="BB33" t="s">
        <v>96</v>
      </c>
      <c r="BC33" t="s">
        <v>98</v>
      </c>
      <c r="BD33" t="s">
        <v>98</v>
      </c>
      <c r="BE33" t="s">
        <v>98</v>
      </c>
      <c r="BF33" t="s">
        <v>99</v>
      </c>
      <c r="BG33" t="s">
        <v>212</v>
      </c>
      <c r="BH33" t="s">
        <v>98</v>
      </c>
      <c r="BI33" t="s">
        <v>186</v>
      </c>
      <c r="BJ33" t="s">
        <v>186</v>
      </c>
      <c r="BL33" t="s">
        <v>100</v>
      </c>
      <c r="BM33" t="s">
        <v>101</v>
      </c>
      <c r="BN33" t="s">
        <v>102</v>
      </c>
      <c r="BO33" t="s">
        <v>103</v>
      </c>
      <c r="BP33" t="s">
        <v>89</v>
      </c>
      <c r="BQ33" t="s">
        <v>89</v>
      </c>
      <c r="BR33" t="str">
        <f>VLOOKUP(KeHEPARDataFlowSource[[#This Row],[Item Status]],Table2[#All],2,FALSE)</f>
        <v>Temporarily OOS due to Manuf</v>
      </c>
    </row>
    <row r="34" spans="1:70" x14ac:dyDescent="0.25">
      <c r="A34" t="s">
        <v>251</v>
      </c>
      <c r="B34" t="s">
        <v>123</v>
      </c>
      <c r="C34" t="s">
        <v>124</v>
      </c>
      <c r="D34" t="s">
        <v>125</v>
      </c>
      <c r="E34" t="s">
        <v>126</v>
      </c>
      <c r="F34" t="s">
        <v>319</v>
      </c>
      <c r="G34" t="s">
        <v>206</v>
      </c>
      <c r="H34" t="s">
        <v>87</v>
      </c>
      <c r="I34" t="s">
        <v>207</v>
      </c>
      <c r="J34" t="s">
        <v>10</v>
      </c>
      <c r="K34" t="s">
        <v>121</v>
      </c>
      <c r="L34" t="s">
        <v>88</v>
      </c>
      <c r="M34" t="s">
        <v>155</v>
      </c>
      <c r="N34" t="s">
        <v>155</v>
      </c>
      <c r="O34" t="s">
        <v>221</v>
      </c>
      <c r="P34" t="s">
        <v>119</v>
      </c>
      <c r="Q34" t="s">
        <v>89</v>
      </c>
      <c r="R34" t="s">
        <v>89</v>
      </c>
      <c r="S34" t="s">
        <v>89</v>
      </c>
      <c r="T34">
        <v>1435.2</v>
      </c>
      <c r="U34">
        <v>480</v>
      </c>
      <c r="V34" t="s">
        <v>89</v>
      </c>
      <c r="W34" t="s">
        <v>102</v>
      </c>
      <c r="X34" t="s">
        <v>89</v>
      </c>
      <c r="Y34" t="s">
        <v>102</v>
      </c>
      <c r="Z34" t="s">
        <v>283</v>
      </c>
      <c r="AA34" t="s">
        <v>254</v>
      </c>
      <c r="AB34" t="s">
        <v>254</v>
      </c>
      <c r="AE34" t="s">
        <v>117</v>
      </c>
      <c r="AF34" t="s">
        <v>320</v>
      </c>
      <c r="AG34" t="s">
        <v>321</v>
      </c>
      <c r="AH34" t="s">
        <v>130</v>
      </c>
      <c r="AI34" t="s">
        <v>131</v>
      </c>
      <c r="AJ34" t="s">
        <v>132</v>
      </c>
      <c r="AK34" t="s">
        <v>133</v>
      </c>
      <c r="AL34" t="s">
        <v>227</v>
      </c>
      <c r="AM34" t="s">
        <v>120</v>
      </c>
      <c r="AN34" t="s">
        <v>135</v>
      </c>
      <c r="AO34" t="s">
        <v>136</v>
      </c>
      <c r="AP34" t="s">
        <v>90</v>
      </c>
      <c r="AQ34" t="s">
        <v>137</v>
      </c>
      <c r="AS34" t="s">
        <v>91</v>
      </c>
      <c r="AT34" t="s">
        <v>105</v>
      </c>
      <c r="AU34" t="s">
        <v>106</v>
      </c>
      <c r="AV34" t="s">
        <v>92</v>
      </c>
      <c r="AW34" t="s">
        <v>93</v>
      </c>
      <c r="AX34" t="s">
        <v>94</v>
      </c>
      <c r="AY34" t="s">
        <v>95</v>
      </c>
      <c r="AZ34" t="s">
        <v>322</v>
      </c>
      <c r="BA34" t="s">
        <v>6</v>
      </c>
      <c r="BB34" t="s">
        <v>96</v>
      </c>
      <c r="BC34" t="s">
        <v>98</v>
      </c>
      <c r="BD34" t="s">
        <v>98</v>
      </c>
      <c r="BE34" t="s">
        <v>98</v>
      </c>
      <c r="BF34" t="s">
        <v>99</v>
      </c>
      <c r="BG34" t="s">
        <v>212</v>
      </c>
      <c r="BH34" t="s">
        <v>98</v>
      </c>
      <c r="BI34" t="s">
        <v>110</v>
      </c>
      <c r="BJ34" t="s">
        <v>110</v>
      </c>
      <c r="BL34" t="s">
        <v>100</v>
      </c>
      <c r="BM34" t="s">
        <v>101</v>
      </c>
      <c r="BN34" t="s">
        <v>102</v>
      </c>
      <c r="BO34" t="s">
        <v>103</v>
      </c>
      <c r="BP34" t="s">
        <v>89</v>
      </c>
      <c r="BQ34" t="s">
        <v>89</v>
      </c>
      <c r="BR34" t="str">
        <f>VLOOKUP(KeHEPARDataFlowSource[[#This Row],[Item Status]],Table2[#All],2,FALSE)</f>
        <v>Normal, Active item</v>
      </c>
    </row>
    <row r="35" spans="1:70" x14ac:dyDescent="0.25">
      <c r="A35" t="s">
        <v>251</v>
      </c>
      <c r="B35" t="s">
        <v>123</v>
      </c>
      <c r="C35" t="s">
        <v>124</v>
      </c>
      <c r="D35" t="s">
        <v>125</v>
      </c>
      <c r="E35" t="s">
        <v>126</v>
      </c>
      <c r="F35" t="s">
        <v>323</v>
      </c>
      <c r="G35" t="s">
        <v>240</v>
      </c>
      <c r="H35" t="s">
        <v>87</v>
      </c>
      <c r="I35" t="s">
        <v>241</v>
      </c>
      <c r="J35" t="s">
        <v>10</v>
      </c>
      <c r="K35" t="s">
        <v>121</v>
      </c>
      <c r="L35" t="s">
        <v>88</v>
      </c>
      <c r="M35" t="s">
        <v>155</v>
      </c>
      <c r="N35" t="s">
        <v>155</v>
      </c>
      <c r="O35" t="s">
        <v>221</v>
      </c>
      <c r="P35" t="s">
        <v>119</v>
      </c>
      <c r="Q35" t="s">
        <v>89</v>
      </c>
      <c r="R35" t="s">
        <v>89</v>
      </c>
      <c r="S35" t="s">
        <v>89</v>
      </c>
      <c r="T35">
        <v>1148.1600000000001</v>
      </c>
      <c r="U35">
        <v>384</v>
      </c>
      <c r="V35" t="s">
        <v>89</v>
      </c>
      <c r="W35" t="s">
        <v>102</v>
      </c>
      <c r="X35" t="s">
        <v>89</v>
      </c>
      <c r="Y35" t="s">
        <v>102</v>
      </c>
      <c r="Z35" t="s">
        <v>283</v>
      </c>
      <c r="AA35" t="s">
        <v>254</v>
      </c>
      <c r="AB35" t="s">
        <v>254</v>
      </c>
      <c r="AE35" t="s">
        <v>117</v>
      </c>
      <c r="AF35" t="s">
        <v>324</v>
      </c>
      <c r="AG35" t="s">
        <v>213</v>
      </c>
      <c r="AH35" t="s">
        <v>130</v>
      </c>
      <c r="AI35" t="s">
        <v>131</v>
      </c>
      <c r="AJ35" t="s">
        <v>132</v>
      </c>
      <c r="AK35" t="s">
        <v>133</v>
      </c>
      <c r="AL35" t="s">
        <v>227</v>
      </c>
      <c r="AM35" t="s">
        <v>120</v>
      </c>
      <c r="AN35" t="s">
        <v>135</v>
      </c>
      <c r="AO35" t="s">
        <v>136</v>
      </c>
      <c r="AP35" t="s">
        <v>90</v>
      </c>
      <c r="AQ35" t="s">
        <v>137</v>
      </c>
      <c r="AS35" t="s">
        <v>91</v>
      </c>
      <c r="AT35" t="s">
        <v>105</v>
      </c>
      <c r="AU35" t="s">
        <v>106</v>
      </c>
      <c r="AV35" t="s">
        <v>92</v>
      </c>
      <c r="AW35" t="s">
        <v>93</v>
      </c>
      <c r="AX35" t="s">
        <v>94</v>
      </c>
      <c r="AY35" t="s">
        <v>95</v>
      </c>
      <c r="AZ35" t="s">
        <v>325</v>
      </c>
      <c r="BA35" t="s">
        <v>6</v>
      </c>
      <c r="BB35" t="s">
        <v>96</v>
      </c>
      <c r="BC35" t="s">
        <v>98</v>
      </c>
      <c r="BD35" t="s">
        <v>98</v>
      </c>
      <c r="BE35" t="s">
        <v>98</v>
      </c>
      <c r="BF35" t="s">
        <v>99</v>
      </c>
      <c r="BG35" t="s">
        <v>212</v>
      </c>
      <c r="BH35" t="s">
        <v>98</v>
      </c>
      <c r="BI35" t="s">
        <v>110</v>
      </c>
      <c r="BJ35" t="s">
        <v>110</v>
      </c>
      <c r="BL35" t="s">
        <v>100</v>
      </c>
      <c r="BM35" t="s">
        <v>101</v>
      </c>
      <c r="BN35" t="s">
        <v>102</v>
      </c>
      <c r="BO35" t="s">
        <v>103</v>
      </c>
      <c r="BP35" t="s">
        <v>89</v>
      </c>
      <c r="BQ35" t="s">
        <v>89</v>
      </c>
      <c r="BR35" t="str">
        <f>VLOOKUP(KeHEPARDataFlowSource[[#This Row],[Item Status]],Table2[#All],2,FALSE)</f>
        <v>Normal, Active item</v>
      </c>
    </row>
    <row r="36" spans="1:70" x14ac:dyDescent="0.25">
      <c r="A36" t="s">
        <v>251</v>
      </c>
      <c r="B36" t="s">
        <v>123</v>
      </c>
      <c r="C36" t="s">
        <v>124</v>
      </c>
      <c r="D36" t="s">
        <v>125</v>
      </c>
      <c r="E36" t="s">
        <v>126</v>
      </c>
      <c r="F36" t="s">
        <v>326</v>
      </c>
      <c r="G36" t="s">
        <v>306</v>
      </c>
      <c r="H36" t="s">
        <v>87</v>
      </c>
      <c r="I36" t="s">
        <v>307</v>
      </c>
      <c r="J36" t="s">
        <v>10</v>
      </c>
      <c r="K36" t="s">
        <v>121</v>
      </c>
      <c r="L36" t="s">
        <v>88</v>
      </c>
      <c r="M36" t="s">
        <v>155</v>
      </c>
      <c r="N36" t="s">
        <v>155</v>
      </c>
      <c r="O36" t="s">
        <v>221</v>
      </c>
      <c r="P36" t="s">
        <v>119</v>
      </c>
      <c r="Q36" t="s">
        <v>89</v>
      </c>
      <c r="R36" t="s">
        <v>89</v>
      </c>
      <c r="S36" t="s">
        <v>89</v>
      </c>
      <c r="T36">
        <v>1148.1600000000001</v>
      </c>
      <c r="U36">
        <v>384</v>
      </c>
      <c r="V36" t="s">
        <v>89</v>
      </c>
      <c r="W36" t="s">
        <v>102</v>
      </c>
      <c r="X36" t="s">
        <v>89</v>
      </c>
      <c r="Y36" t="s">
        <v>102</v>
      </c>
      <c r="Z36" t="s">
        <v>283</v>
      </c>
      <c r="AA36" t="s">
        <v>254</v>
      </c>
      <c r="AB36" t="s">
        <v>254</v>
      </c>
      <c r="AE36" t="s">
        <v>117</v>
      </c>
      <c r="AF36" t="s">
        <v>327</v>
      </c>
      <c r="AG36" t="s">
        <v>300</v>
      </c>
      <c r="AH36" t="s">
        <v>130</v>
      </c>
      <c r="AI36" t="s">
        <v>131</v>
      </c>
      <c r="AJ36" t="s">
        <v>132</v>
      </c>
      <c r="AK36" t="s">
        <v>133</v>
      </c>
      <c r="AL36" t="s">
        <v>227</v>
      </c>
      <c r="AM36" t="s">
        <v>120</v>
      </c>
      <c r="AN36" t="s">
        <v>135</v>
      </c>
      <c r="AO36" t="s">
        <v>136</v>
      </c>
      <c r="AP36" t="s">
        <v>90</v>
      </c>
      <c r="AQ36" t="s">
        <v>137</v>
      </c>
      <c r="AS36" t="s">
        <v>91</v>
      </c>
      <c r="AT36" t="s">
        <v>105</v>
      </c>
      <c r="AU36" t="s">
        <v>106</v>
      </c>
      <c r="AV36" t="s">
        <v>92</v>
      </c>
      <c r="AW36" t="s">
        <v>93</v>
      </c>
      <c r="AX36" t="s">
        <v>94</v>
      </c>
      <c r="AY36" t="s">
        <v>95</v>
      </c>
      <c r="AZ36" t="s">
        <v>328</v>
      </c>
      <c r="BA36" t="s">
        <v>6</v>
      </c>
      <c r="BB36" t="s">
        <v>96</v>
      </c>
      <c r="BC36" t="s">
        <v>98</v>
      </c>
      <c r="BD36" t="s">
        <v>98</v>
      </c>
      <c r="BE36" t="s">
        <v>98</v>
      </c>
      <c r="BF36" t="s">
        <v>99</v>
      </c>
      <c r="BG36" t="s">
        <v>212</v>
      </c>
      <c r="BH36" t="s">
        <v>98</v>
      </c>
      <c r="BI36" t="s">
        <v>110</v>
      </c>
      <c r="BJ36" t="s">
        <v>110</v>
      </c>
      <c r="BL36" t="s">
        <v>100</v>
      </c>
      <c r="BM36" t="s">
        <v>101</v>
      </c>
      <c r="BN36" t="s">
        <v>102</v>
      </c>
      <c r="BO36" t="s">
        <v>103</v>
      </c>
      <c r="BP36" t="s">
        <v>89</v>
      </c>
      <c r="BQ36" t="s">
        <v>89</v>
      </c>
      <c r="BR36" t="str">
        <f>VLOOKUP(KeHEPARDataFlowSource[[#This Row],[Item Status]],Table2[#All],2,FALSE)</f>
        <v>Normal, Active item</v>
      </c>
    </row>
    <row r="37" spans="1:70" x14ac:dyDescent="0.25">
      <c r="A37" t="s">
        <v>144</v>
      </c>
      <c r="B37" t="s">
        <v>123</v>
      </c>
      <c r="C37" t="s">
        <v>124</v>
      </c>
      <c r="D37" t="s">
        <v>125</v>
      </c>
      <c r="E37" t="s">
        <v>126</v>
      </c>
      <c r="F37" t="s">
        <v>329</v>
      </c>
      <c r="G37" t="s">
        <v>206</v>
      </c>
      <c r="H37" t="s">
        <v>87</v>
      </c>
      <c r="I37" t="s">
        <v>207</v>
      </c>
      <c r="J37" t="s">
        <v>10</v>
      </c>
      <c r="K37" t="s">
        <v>121</v>
      </c>
      <c r="L37" t="s">
        <v>88</v>
      </c>
      <c r="M37" t="s">
        <v>155</v>
      </c>
      <c r="N37" t="s">
        <v>155</v>
      </c>
      <c r="O37" t="s">
        <v>148</v>
      </c>
      <c r="P37" t="s">
        <v>119</v>
      </c>
      <c r="Q37" t="s">
        <v>89</v>
      </c>
      <c r="R37" t="s">
        <v>89</v>
      </c>
      <c r="S37" t="s">
        <v>89</v>
      </c>
      <c r="T37">
        <v>2691</v>
      </c>
      <c r="U37">
        <v>900</v>
      </c>
      <c r="V37" t="s">
        <v>89</v>
      </c>
      <c r="W37" t="s">
        <v>102</v>
      </c>
      <c r="X37" t="s">
        <v>89</v>
      </c>
      <c r="Y37" t="s">
        <v>89</v>
      </c>
      <c r="AF37" t="s">
        <v>330</v>
      </c>
      <c r="AG37" t="s">
        <v>89</v>
      </c>
      <c r="AH37" t="s">
        <v>130</v>
      </c>
      <c r="AI37" t="s">
        <v>131</v>
      </c>
      <c r="AJ37" t="s">
        <v>132</v>
      </c>
      <c r="AK37" t="s">
        <v>133</v>
      </c>
      <c r="AL37" t="s">
        <v>150</v>
      </c>
      <c r="AM37" t="s">
        <v>120</v>
      </c>
      <c r="AN37" t="s">
        <v>135</v>
      </c>
      <c r="AO37" t="s">
        <v>136</v>
      </c>
      <c r="AP37" t="s">
        <v>90</v>
      </c>
      <c r="AQ37" t="s">
        <v>137</v>
      </c>
      <c r="AS37" t="s">
        <v>91</v>
      </c>
      <c r="AT37" t="s">
        <v>138</v>
      </c>
      <c r="AU37" t="s">
        <v>139</v>
      </c>
      <c r="AV37" t="s">
        <v>92</v>
      </c>
      <c r="AW37" t="s">
        <v>93</v>
      </c>
      <c r="AX37" t="s">
        <v>94</v>
      </c>
      <c r="AY37" t="s">
        <v>95</v>
      </c>
      <c r="AZ37" t="s">
        <v>331</v>
      </c>
      <c r="BA37" t="s">
        <v>6</v>
      </c>
      <c r="BB37" t="s">
        <v>96</v>
      </c>
      <c r="BC37" t="s">
        <v>98</v>
      </c>
      <c r="BD37" t="s">
        <v>98</v>
      </c>
      <c r="BE37" t="s">
        <v>98</v>
      </c>
      <c r="BF37" t="s">
        <v>152</v>
      </c>
      <c r="BG37" t="s">
        <v>212</v>
      </c>
      <c r="BH37" t="s">
        <v>97</v>
      </c>
      <c r="BI37" t="s">
        <v>89</v>
      </c>
      <c r="BJ37" t="s">
        <v>89</v>
      </c>
      <c r="BL37" t="s">
        <v>100</v>
      </c>
      <c r="BM37" t="s">
        <v>101</v>
      </c>
      <c r="BN37" t="s">
        <v>102</v>
      </c>
      <c r="BO37" t="s">
        <v>103</v>
      </c>
      <c r="BP37" t="s">
        <v>89</v>
      </c>
      <c r="BQ37" t="s">
        <v>89</v>
      </c>
      <c r="BR37" t="str">
        <f>VLOOKUP(KeHEPARDataFlowSource[[#This Row],[Item Status]],Table2[#All],2,FALSE)</f>
        <v>Normal, Active item</v>
      </c>
    </row>
    <row r="38" spans="1:70" x14ac:dyDescent="0.25">
      <c r="A38" t="s">
        <v>144</v>
      </c>
      <c r="B38" t="s">
        <v>123</v>
      </c>
      <c r="C38" t="s">
        <v>124</v>
      </c>
      <c r="D38" t="s">
        <v>125</v>
      </c>
      <c r="E38" t="s">
        <v>126</v>
      </c>
      <c r="F38" t="s">
        <v>332</v>
      </c>
      <c r="G38" t="s">
        <v>240</v>
      </c>
      <c r="H38" t="s">
        <v>87</v>
      </c>
      <c r="I38" t="s">
        <v>241</v>
      </c>
      <c r="J38" t="s">
        <v>10</v>
      </c>
      <c r="K38" t="s">
        <v>121</v>
      </c>
      <c r="L38" t="s">
        <v>88</v>
      </c>
      <c r="M38" t="s">
        <v>155</v>
      </c>
      <c r="N38" t="s">
        <v>155</v>
      </c>
      <c r="O38" t="s">
        <v>148</v>
      </c>
      <c r="P38" t="s">
        <v>119</v>
      </c>
      <c r="Q38" t="s">
        <v>89</v>
      </c>
      <c r="R38" t="s">
        <v>89</v>
      </c>
      <c r="S38" t="s">
        <v>89</v>
      </c>
      <c r="T38">
        <v>2152.8000000000002</v>
      </c>
      <c r="U38">
        <v>720</v>
      </c>
      <c r="V38" t="s">
        <v>89</v>
      </c>
      <c r="W38" t="s">
        <v>102</v>
      </c>
      <c r="X38" t="s">
        <v>89</v>
      </c>
      <c r="Y38" t="s">
        <v>89</v>
      </c>
      <c r="AF38" t="s">
        <v>333</v>
      </c>
      <c r="AG38" t="s">
        <v>89</v>
      </c>
      <c r="AH38" t="s">
        <v>130</v>
      </c>
      <c r="AI38" t="s">
        <v>131</v>
      </c>
      <c r="AJ38" t="s">
        <v>132</v>
      </c>
      <c r="AK38" t="s">
        <v>133</v>
      </c>
      <c r="AL38" t="s">
        <v>150</v>
      </c>
      <c r="AM38" t="s">
        <v>120</v>
      </c>
      <c r="AN38" t="s">
        <v>135</v>
      </c>
      <c r="AO38" t="s">
        <v>136</v>
      </c>
      <c r="AP38" t="s">
        <v>90</v>
      </c>
      <c r="AQ38" t="s">
        <v>137</v>
      </c>
      <c r="AS38" t="s">
        <v>91</v>
      </c>
      <c r="AT38" t="s">
        <v>138</v>
      </c>
      <c r="AU38" t="s">
        <v>139</v>
      </c>
      <c r="AV38" t="s">
        <v>92</v>
      </c>
      <c r="AW38" t="s">
        <v>93</v>
      </c>
      <c r="AX38" t="s">
        <v>94</v>
      </c>
      <c r="AY38" t="s">
        <v>95</v>
      </c>
      <c r="AZ38" t="s">
        <v>334</v>
      </c>
      <c r="BA38" t="s">
        <v>6</v>
      </c>
      <c r="BB38" t="s">
        <v>96</v>
      </c>
      <c r="BC38" t="s">
        <v>98</v>
      </c>
      <c r="BD38" t="s">
        <v>98</v>
      </c>
      <c r="BE38" t="s">
        <v>98</v>
      </c>
      <c r="BF38" t="s">
        <v>152</v>
      </c>
      <c r="BG38" t="s">
        <v>212</v>
      </c>
      <c r="BH38" t="s">
        <v>97</v>
      </c>
      <c r="BI38" t="s">
        <v>89</v>
      </c>
      <c r="BJ38" t="s">
        <v>89</v>
      </c>
      <c r="BL38" t="s">
        <v>100</v>
      </c>
      <c r="BM38" t="s">
        <v>101</v>
      </c>
      <c r="BN38" t="s">
        <v>102</v>
      </c>
      <c r="BO38" t="s">
        <v>103</v>
      </c>
      <c r="BP38" t="s">
        <v>89</v>
      </c>
      <c r="BQ38" t="s">
        <v>89</v>
      </c>
      <c r="BR38" t="str">
        <f>VLOOKUP(KeHEPARDataFlowSource[[#This Row],[Item Status]],Table2[#All],2,FALSE)</f>
        <v>Normal, Active item</v>
      </c>
    </row>
    <row r="39" spans="1:70" x14ac:dyDescent="0.25">
      <c r="A39" t="s">
        <v>144</v>
      </c>
      <c r="B39" t="s">
        <v>123</v>
      </c>
      <c r="C39" t="s">
        <v>124</v>
      </c>
      <c r="D39" t="s">
        <v>125</v>
      </c>
      <c r="E39" t="s">
        <v>126</v>
      </c>
      <c r="F39" t="s">
        <v>335</v>
      </c>
      <c r="G39" t="s">
        <v>306</v>
      </c>
      <c r="H39" t="s">
        <v>87</v>
      </c>
      <c r="I39" t="s">
        <v>307</v>
      </c>
      <c r="J39" t="s">
        <v>10</v>
      </c>
      <c r="K39" t="s">
        <v>121</v>
      </c>
      <c r="L39" t="s">
        <v>88</v>
      </c>
      <c r="M39" t="s">
        <v>155</v>
      </c>
      <c r="N39" t="s">
        <v>155</v>
      </c>
      <c r="O39" t="s">
        <v>148</v>
      </c>
      <c r="P39" t="s">
        <v>119</v>
      </c>
      <c r="Q39" t="s">
        <v>89</v>
      </c>
      <c r="R39" t="s">
        <v>89</v>
      </c>
      <c r="S39" t="s">
        <v>89</v>
      </c>
      <c r="T39">
        <v>2152.8000000000002</v>
      </c>
      <c r="U39">
        <v>720</v>
      </c>
      <c r="V39" t="s">
        <v>89</v>
      </c>
      <c r="W39" t="s">
        <v>102</v>
      </c>
      <c r="X39" t="s">
        <v>89</v>
      </c>
      <c r="Y39" t="s">
        <v>89</v>
      </c>
      <c r="AF39" t="s">
        <v>336</v>
      </c>
      <c r="AG39" t="s">
        <v>89</v>
      </c>
      <c r="AH39" t="s">
        <v>130</v>
      </c>
      <c r="AI39" t="s">
        <v>131</v>
      </c>
      <c r="AJ39" t="s">
        <v>132</v>
      </c>
      <c r="AK39" t="s">
        <v>133</v>
      </c>
      <c r="AL39" t="s">
        <v>150</v>
      </c>
      <c r="AM39" t="s">
        <v>120</v>
      </c>
      <c r="AN39" t="s">
        <v>135</v>
      </c>
      <c r="AO39" t="s">
        <v>136</v>
      </c>
      <c r="AP39" t="s">
        <v>90</v>
      </c>
      <c r="AQ39" t="s">
        <v>137</v>
      </c>
      <c r="AS39" t="s">
        <v>91</v>
      </c>
      <c r="AT39" t="s">
        <v>138</v>
      </c>
      <c r="AU39" t="s">
        <v>139</v>
      </c>
      <c r="AV39" t="s">
        <v>92</v>
      </c>
      <c r="AW39" t="s">
        <v>93</v>
      </c>
      <c r="AX39" t="s">
        <v>94</v>
      </c>
      <c r="AY39" t="s">
        <v>95</v>
      </c>
      <c r="AZ39" t="s">
        <v>337</v>
      </c>
      <c r="BA39" t="s">
        <v>6</v>
      </c>
      <c r="BB39" t="s">
        <v>96</v>
      </c>
      <c r="BC39" t="s">
        <v>98</v>
      </c>
      <c r="BD39" t="s">
        <v>98</v>
      </c>
      <c r="BE39" t="s">
        <v>98</v>
      </c>
      <c r="BF39" t="s">
        <v>152</v>
      </c>
      <c r="BG39" t="s">
        <v>212</v>
      </c>
      <c r="BH39" t="s">
        <v>97</v>
      </c>
      <c r="BI39" t="s">
        <v>89</v>
      </c>
      <c r="BJ39" t="s">
        <v>89</v>
      </c>
      <c r="BL39" t="s">
        <v>100</v>
      </c>
      <c r="BM39" t="s">
        <v>101</v>
      </c>
      <c r="BN39" t="s">
        <v>102</v>
      </c>
      <c r="BO39" t="s">
        <v>103</v>
      </c>
      <c r="BP39" t="s">
        <v>89</v>
      </c>
      <c r="BQ39" t="s">
        <v>89</v>
      </c>
      <c r="BR39" t="str">
        <f>VLOOKUP(KeHEPARDataFlowSource[[#This Row],[Item Status]],Table2[#All],2,FALSE)</f>
        <v>Normal, Active item</v>
      </c>
    </row>
    <row r="40" spans="1:70" x14ac:dyDescent="0.25">
      <c r="A40" t="s">
        <v>155</v>
      </c>
      <c r="B40" t="s">
        <v>123</v>
      </c>
      <c r="C40" t="s">
        <v>124</v>
      </c>
      <c r="D40" t="s">
        <v>125</v>
      </c>
      <c r="E40" t="s">
        <v>126</v>
      </c>
      <c r="F40" t="s">
        <v>338</v>
      </c>
      <c r="G40" t="s">
        <v>107</v>
      </c>
      <c r="H40" t="s">
        <v>87</v>
      </c>
      <c r="I40" t="s">
        <v>108</v>
      </c>
      <c r="J40" t="s">
        <v>10</v>
      </c>
      <c r="K40" t="s">
        <v>121</v>
      </c>
      <c r="L40" t="s">
        <v>88</v>
      </c>
      <c r="M40" t="s">
        <v>109</v>
      </c>
      <c r="N40" t="s">
        <v>110</v>
      </c>
      <c r="O40" t="s">
        <v>159</v>
      </c>
      <c r="P40" t="s">
        <v>119</v>
      </c>
      <c r="Q40" t="s">
        <v>89</v>
      </c>
      <c r="R40" t="s">
        <v>89</v>
      </c>
      <c r="S40" t="s">
        <v>89</v>
      </c>
      <c r="T40">
        <v>3837.6</v>
      </c>
      <c r="U40">
        <v>240</v>
      </c>
      <c r="V40" t="s">
        <v>89</v>
      </c>
      <c r="W40" t="s">
        <v>102</v>
      </c>
      <c r="X40" t="s">
        <v>89</v>
      </c>
      <c r="Y40" t="s">
        <v>89</v>
      </c>
      <c r="AF40" t="s">
        <v>339</v>
      </c>
      <c r="AG40" t="s">
        <v>89</v>
      </c>
      <c r="AH40" t="s">
        <v>130</v>
      </c>
      <c r="AI40" t="s">
        <v>131</v>
      </c>
      <c r="AJ40" t="s">
        <v>132</v>
      </c>
      <c r="AK40" t="s">
        <v>133</v>
      </c>
      <c r="AL40" t="s">
        <v>161</v>
      </c>
      <c r="AM40" t="s">
        <v>120</v>
      </c>
      <c r="AN40" t="s">
        <v>135</v>
      </c>
      <c r="AO40" t="s">
        <v>136</v>
      </c>
      <c r="AP40" t="s">
        <v>90</v>
      </c>
      <c r="AQ40" t="s">
        <v>137</v>
      </c>
      <c r="AS40" t="s">
        <v>91</v>
      </c>
      <c r="AT40" t="s">
        <v>138</v>
      </c>
      <c r="AU40" t="s">
        <v>139</v>
      </c>
      <c r="AV40" t="s">
        <v>92</v>
      </c>
      <c r="AW40" t="s">
        <v>93</v>
      </c>
      <c r="AX40" t="s">
        <v>111</v>
      </c>
      <c r="AY40" t="s">
        <v>95</v>
      </c>
      <c r="AZ40" t="s">
        <v>340</v>
      </c>
      <c r="BA40" t="s">
        <v>6</v>
      </c>
      <c r="BB40" t="s">
        <v>96</v>
      </c>
      <c r="BC40" t="s">
        <v>98</v>
      </c>
      <c r="BD40" t="s">
        <v>98</v>
      </c>
      <c r="BE40" t="s">
        <v>98</v>
      </c>
      <c r="BF40" t="s">
        <v>163</v>
      </c>
      <c r="BG40" t="s">
        <v>112</v>
      </c>
      <c r="BH40" t="s">
        <v>98</v>
      </c>
      <c r="BI40" t="s">
        <v>110</v>
      </c>
      <c r="BJ40" t="s">
        <v>110</v>
      </c>
      <c r="BL40" t="s">
        <v>100</v>
      </c>
      <c r="BM40" t="s">
        <v>101</v>
      </c>
      <c r="BN40" t="s">
        <v>102</v>
      </c>
      <c r="BO40" t="s">
        <v>103</v>
      </c>
      <c r="BP40" t="s">
        <v>89</v>
      </c>
      <c r="BQ40" t="s">
        <v>89</v>
      </c>
      <c r="BR40" t="str">
        <f>VLOOKUP(KeHEPARDataFlowSource[[#This Row],[Item Status]],Table2[#All],2,FALSE)</f>
        <v>Normal, Active item</v>
      </c>
    </row>
    <row r="41" spans="1:70" x14ac:dyDescent="0.25">
      <c r="A41" t="s">
        <v>155</v>
      </c>
      <c r="B41" t="s">
        <v>123</v>
      </c>
      <c r="C41" t="s">
        <v>124</v>
      </c>
      <c r="D41" t="s">
        <v>125</v>
      </c>
      <c r="E41" t="s">
        <v>126</v>
      </c>
      <c r="F41" t="s">
        <v>341</v>
      </c>
      <c r="G41" t="s">
        <v>146</v>
      </c>
      <c r="H41" t="s">
        <v>87</v>
      </c>
      <c r="I41" t="s">
        <v>147</v>
      </c>
      <c r="J41" t="s">
        <v>10</v>
      </c>
      <c r="K41" t="s">
        <v>121</v>
      </c>
      <c r="L41" t="s">
        <v>88</v>
      </c>
      <c r="M41" t="s">
        <v>109</v>
      </c>
      <c r="N41" t="s">
        <v>110</v>
      </c>
      <c r="O41" t="s">
        <v>159</v>
      </c>
      <c r="P41" t="s">
        <v>119</v>
      </c>
      <c r="Q41" t="s">
        <v>89</v>
      </c>
      <c r="R41" t="s">
        <v>89</v>
      </c>
      <c r="S41" t="s">
        <v>89</v>
      </c>
      <c r="T41">
        <v>3166.02</v>
      </c>
      <c r="U41">
        <v>198</v>
      </c>
      <c r="V41" t="s">
        <v>89</v>
      </c>
      <c r="W41" t="s">
        <v>102</v>
      </c>
      <c r="X41" t="s">
        <v>89</v>
      </c>
      <c r="Y41" t="s">
        <v>89</v>
      </c>
      <c r="AF41" t="s">
        <v>342</v>
      </c>
      <c r="AG41" t="s">
        <v>89</v>
      </c>
      <c r="AH41" t="s">
        <v>130</v>
      </c>
      <c r="AI41" t="s">
        <v>131</v>
      </c>
      <c r="AJ41" t="s">
        <v>132</v>
      </c>
      <c r="AK41" t="s">
        <v>133</v>
      </c>
      <c r="AL41" t="s">
        <v>161</v>
      </c>
      <c r="AM41" t="s">
        <v>120</v>
      </c>
      <c r="AN41" t="s">
        <v>135</v>
      </c>
      <c r="AO41" t="s">
        <v>136</v>
      </c>
      <c r="AP41" t="s">
        <v>90</v>
      </c>
      <c r="AQ41" t="s">
        <v>137</v>
      </c>
      <c r="AS41" t="s">
        <v>91</v>
      </c>
      <c r="AT41" t="s">
        <v>138</v>
      </c>
      <c r="AU41" t="s">
        <v>139</v>
      </c>
      <c r="AV41" t="s">
        <v>92</v>
      </c>
      <c r="AW41" t="s">
        <v>93</v>
      </c>
      <c r="AX41" t="s">
        <v>111</v>
      </c>
      <c r="AY41" t="s">
        <v>95</v>
      </c>
      <c r="AZ41" t="s">
        <v>343</v>
      </c>
      <c r="BA41" t="s">
        <v>6</v>
      </c>
      <c r="BB41" t="s">
        <v>96</v>
      </c>
      <c r="BC41" t="s">
        <v>98</v>
      </c>
      <c r="BD41" t="s">
        <v>98</v>
      </c>
      <c r="BE41" t="s">
        <v>98</v>
      </c>
      <c r="BF41" t="s">
        <v>163</v>
      </c>
      <c r="BG41" t="s">
        <v>112</v>
      </c>
      <c r="BH41" t="s">
        <v>98</v>
      </c>
      <c r="BI41" t="s">
        <v>110</v>
      </c>
      <c r="BJ41" t="s">
        <v>110</v>
      </c>
      <c r="BL41" t="s">
        <v>100</v>
      </c>
      <c r="BM41" t="s">
        <v>101</v>
      </c>
      <c r="BN41" t="s">
        <v>102</v>
      </c>
      <c r="BO41" t="s">
        <v>103</v>
      </c>
      <c r="BP41" t="s">
        <v>89</v>
      </c>
      <c r="BQ41" t="s">
        <v>89</v>
      </c>
      <c r="BR41" t="str">
        <f>VLOOKUP(KeHEPARDataFlowSource[[#This Row],[Item Status]],Table2[#All],2,FALSE)</f>
        <v>Normal, Active item</v>
      </c>
    </row>
    <row r="42" spans="1:70" x14ac:dyDescent="0.25">
      <c r="A42" t="s">
        <v>155</v>
      </c>
      <c r="B42" t="s">
        <v>123</v>
      </c>
      <c r="C42" t="s">
        <v>124</v>
      </c>
      <c r="D42" t="s">
        <v>125</v>
      </c>
      <c r="E42" t="s">
        <v>126</v>
      </c>
      <c r="F42" t="s">
        <v>344</v>
      </c>
      <c r="G42" t="s">
        <v>206</v>
      </c>
      <c r="H42" t="s">
        <v>87</v>
      </c>
      <c r="I42" t="s">
        <v>207</v>
      </c>
      <c r="J42" t="s">
        <v>10</v>
      </c>
      <c r="K42" t="s">
        <v>121</v>
      </c>
      <c r="L42" t="s">
        <v>88</v>
      </c>
      <c r="M42" t="s">
        <v>155</v>
      </c>
      <c r="N42" t="s">
        <v>155</v>
      </c>
      <c r="O42" t="s">
        <v>159</v>
      </c>
      <c r="P42" t="s">
        <v>119</v>
      </c>
      <c r="Q42" t="s">
        <v>89</v>
      </c>
      <c r="R42" t="s">
        <v>89</v>
      </c>
      <c r="S42" t="s">
        <v>89</v>
      </c>
      <c r="T42">
        <v>1184.04</v>
      </c>
      <c r="U42">
        <v>396</v>
      </c>
      <c r="V42" t="s">
        <v>89</v>
      </c>
      <c r="W42" t="s">
        <v>102</v>
      </c>
      <c r="X42" t="s">
        <v>89</v>
      </c>
      <c r="Y42" t="s">
        <v>89</v>
      </c>
      <c r="AF42" t="s">
        <v>345</v>
      </c>
      <c r="AG42" t="s">
        <v>89</v>
      </c>
      <c r="AH42" t="s">
        <v>130</v>
      </c>
      <c r="AI42" t="s">
        <v>131</v>
      </c>
      <c r="AJ42" t="s">
        <v>132</v>
      </c>
      <c r="AK42" t="s">
        <v>133</v>
      </c>
      <c r="AL42" t="s">
        <v>161</v>
      </c>
      <c r="AM42" t="s">
        <v>120</v>
      </c>
      <c r="AN42" t="s">
        <v>135</v>
      </c>
      <c r="AO42" t="s">
        <v>136</v>
      </c>
      <c r="AP42" t="s">
        <v>90</v>
      </c>
      <c r="AQ42" t="s">
        <v>137</v>
      </c>
      <c r="AS42" t="s">
        <v>91</v>
      </c>
      <c r="AT42" t="s">
        <v>138</v>
      </c>
      <c r="AU42" t="s">
        <v>139</v>
      </c>
      <c r="AV42" t="s">
        <v>92</v>
      </c>
      <c r="AW42" t="s">
        <v>93</v>
      </c>
      <c r="AX42" t="s">
        <v>94</v>
      </c>
      <c r="AY42" t="s">
        <v>95</v>
      </c>
      <c r="AZ42" t="s">
        <v>346</v>
      </c>
      <c r="BA42" t="s">
        <v>6</v>
      </c>
      <c r="BB42" t="s">
        <v>96</v>
      </c>
      <c r="BC42" t="s">
        <v>98</v>
      </c>
      <c r="BD42" t="s">
        <v>98</v>
      </c>
      <c r="BE42" t="s">
        <v>98</v>
      </c>
      <c r="BF42" t="s">
        <v>163</v>
      </c>
      <c r="BG42" t="s">
        <v>212</v>
      </c>
      <c r="BH42" t="s">
        <v>98</v>
      </c>
      <c r="BI42" t="s">
        <v>110</v>
      </c>
      <c r="BJ42" t="s">
        <v>110</v>
      </c>
      <c r="BL42" t="s">
        <v>100</v>
      </c>
      <c r="BM42" t="s">
        <v>101</v>
      </c>
      <c r="BN42" t="s">
        <v>102</v>
      </c>
      <c r="BO42" t="s">
        <v>103</v>
      </c>
      <c r="BP42" t="s">
        <v>89</v>
      </c>
      <c r="BQ42" t="s">
        <v>89</v>
      </c>
      <c r="BR42" t="str">
        <f>VLOOKUP(KeHEPARDataFlowSource[[#This Row],[Item Status]],Table2[#All],2,FALSE)</f>
        <v>Normal, Active item</v>
      </c>
    </row>
    <row r="43" spans="1:70" x14ac:dyDescent="0.25">
      <c r="A43" t="s">
        <v>155</v>
      </c>
      <c r="B43" t="s">
        <v>123</v>
      </c>
      <c r="C43" t="s">
        <v>124</v>
      </c>
      <c r="D43" t="s">
        <v>125</v>
      </c>
      <c r="E43" t="s">
        <v>126</v>
      </c>
      <c r="F43" t="s">
        <v>347</v>
      </c>
      <c r="G43" t="s">
        <v>240</v>
      </c>
      <c r="H43" t="s">
        <v>87</v>
      </c>
      <c r="I43" t="s">
        <v>241</v>
      </c>
      <c r="J43" t="s">
        <v>10</v>
      </c>
      <c r="K43" t="s">
        <v>121</v>
      </c>
      <c r="L43" t="s">
        <v>88</v>
      </c>
      <c r="M43" t="s">
        <v>155</v>
      </c>
      <c r="N43" t="s">
        <v>155</v>
      </c>
      <c r="O43" t="s">
        <v>159</v>
      </c>
      <c r="P43" t="s">
        <v>119</v>
      </c>
      <c r="Q43" t="s">
        <v>89</v>
      </c>
      <c r="R43" t="s">
        <v>89</v>
      </c>
      <c r="S43" t="s">
        <v>89</v>
      </c>
      <c r="T43">
        <v>968.76</v>
      </c>
      <c r="U43">
        <v>324</v>
      </c>
      <c r="V43" t="s">
        <v>89</v>
      </c>
      <c r="W43" t="s">
        <v>102</v>
      </c>
      <c r="X43" t="s">
        <v>89</v>
      </c>
      <c r="Y43" t="s">
        <v>89</v>
      </c>
      <c r="AF43" t="s">
        <v>348</v>
      </c>
      <c r="AG43" t="s">
        <v>89</v>
      </c>
      <c r="AH43" t="s">
        <v>130</v>
      </c>
      <c r="AI43" t="s">
        <v>131</v>
      </c>
      <c r="AJ43" t="s">
        <v>132</v>
      </c>
      <c r="AK43" t="s">
        <v>133</v>
      </c>
      <c r="AL43" t="s">
        <v>161</v>
      </c>
      <c r="AM43" t="s">
        <v>120</v>
      </c>
      <c r="AN43" t="s">
        <v>135</v>
      </c>
      <c r="AO43" t="s">
        <v>136</v>
      </c>
      <c r="AP43" t="s">
        <v>90</v>
      </c>
      <c r="AQ43" t="s">
        <v>137</v>
      </c>
      <c r="AS43" t="s">
        <v>91</v>
      </c>
      <c r="AT43" t="s">
        <v>138</v>
      </c>
      <c r="AU43" t="s">
        <v>139</v>
      </c>
      <c r="AV43" t="s">
        <v>92</v>
      </c>
      <c r="AW43" t="s">
        <v>93</v>
      </c>
      <c r="AX43" t="s">
        <v>94</v>
      </c>
      <c r="AY43" t="s">
        <v>95</v>
      </c>
      <c r="AZ43" t="s">
        <v>349</v>
      </c>
      <c r="BA43" t="s">
        <v>6</v>
      </c>
      <c r="BB43" t="s">
        <v>96</v>
      </c>
      <c r="BC43" t="s">
        <v>98</v>
      </c>
      <c r="BD43" t="s">
        <v>98</v>
      </c>
      <c r="BE43" t="s">
        <v>98</v>
      </c>
      <c r="BF43" t="s">
        <v>163</v>
      </c>
      <c r="BG43" t="s">
        <v>212</v>
      </c>
      <c r="BH43" t="s">
        <v>98</v>
      </c>
      <c r="BI43" t="s">
        <v>110</v>
      </c>
      <c r="BJ43" t="s">
        <v>110</v>
      </c>
      <c r="BL43" t="s">
        <v>100</v>
      </c>
      <c r="BM43" t="s">
        <v>101</v>
      </c>
      <c r="BN43" t="s">
        <v>102</v>
      </c>
      <c r="BO43" t="s">
        <v>103</v>
      </c>
      <c r="BP43" t="s">
        <v>89</v>
      </c>
      <c r="BQ43" t="s">
        <v>89</v>
      </c>
      <c r="BR43" t="str">
        <f>VLOOKUP(KeHEPARDataFlowSource[[#This Row],[Item Status]],Table2[#All],2,FALSE)</f>
        <v>Normal, Active item</v>
      </c>
    </row>
    <row r="44" spans="1:70" x14ac:dyDescent="0.25">
      <c r="A44" t="s">
        <v>270</v>
      </c>
      <c r="B44" t="s">
        <v>123</v>
      </c>
      <c r="C44" t="s">
        <v>124</v>
      </c>
      <c r="D44" t="s">
        <v>125</v>
      </c>
      <c r="E44" t="s">
        <v>126</v>
      </c>
      <c r="F44" t="s">
        <v>350</v>
      </c>
      <c r="G44" t="s">
        <v>146</v>
      </c>
      <c r="H44" t="s">
        <v>87</v>
      </c>
      <c r="I44" t="s">
        <v>147</v>
      </c>
      <c r="J44" t="s">
        <v>10</v>
      </c>
      <c r="K44" t="s">
        <v>121</v>
      </c>
      <c r="L44" t="s">
        <v>88</v>
      </c>
      <c r="M44" t="s">
        <v>109</v>
      </c>
      <c r="N44" t="s">
        <v>110</v>
      </c>
      <c r="O44" t="s">
        <v>178</v>
      </c>
      <c r="P44" t="s">
        <v>119</v>
      </c>
      <c r="Q44" t="s">
        <v>89</v>
      </c>
      <c r="R44" t="s">
        <v>89</v>
      </c>
      <c r="S44" t="s">
        <v>89</v>
      </c>
      <c r="T44">
        <v>4221.3599999999997</v>
      </c>
      <c r="U44">
        <v>264</v>
      </c>
      <c r="V44" t="s">
        <v>89</v>
      </c>
      <c r="W44" t="s">
        <v>102</v>
      </c>
      <c r="X44" t="s">
        <v>89</v>
      </c>
      <c r="Y44" t="s">
        <v>89</v>
      </c>
      <c r="AF44" t="s">
        <v>351</v>
      </c>
      <c r="AG44" t="s">
        <v>89</v>
      </c>
      <c r="AH44" t="s">
        <v>130</v>
      </c>
      <c r="AI44" t="s">
        <v>131</v>
      </c>
      <c r="AJ44" t="s">
        <v>132</v>
      </c>
      <c r="AK44" t="s">
        <v>133</v>
      </c>
      <c r="AL44" t="s">
        <v>183</v>
      </c>
      <c r="AM44" t="s">
        <v>120</v>
      </c>
      <c r="AN44" t="s">
        <v>135</v>
      </c>
      <c r="AO44" t="s">
        <v>136</v>
      </c>
      <c r="AP44" t="s">
        <v>90</v>
      </c>
      <c r="AQ44" t="s">
        <v>137</v>
      </c>
      <c r="AS44" t="s">
        <v>91</v>
      </c>
      <c r="AT44" t="s">
        <v>138</v>
      </c>
      <c r="AU44" t="s">
        <v>139</v>
      </c>
      <c r="AV44" t="s">
        <v>92</v>
      </c>
      <c r="AW44" t="s">
        <v>93</v>
      </c>
      <c r="AX44" t="s">
        <v>111</v>
      </c>
      <c r="AY44" t="s">
        <v>95</v>
      </c>
      <c r="AZ44" t="s">
        <v>352</v>
      </c>
      <c r="BA44" t="s">
        <v>6</v>
      </c>
      <c r="BB44" t="s">
        <v>96</v>
      </c>
      <c r="BC44" t="s">
        <v>98</v>
      </c>
      <c r="BD44" t="s">
        <v>98</v>
      </c>
      <c r="BE44" t="s">
        <v>98</v>
      </c>
      <c r="BF44" t="s">
        <v>185</v>
      </c>
      <c r="BG44" t="s">
        <v>112</v>
      </c>
      <c r="BH44" t="s">
        <v>98</v>
      </c>
      <c r="BI44" t="s">
        <v>275</v>
      </c>
      <c r="BJ44" t="s">
        <v>275</v>
      </c>
      <c r="BL44" t="s">
        <v>100</v>
      </c>
      <c r="BM44" t="s">
        <v>101</v>
      </c>
      <c r="BN44" t="s">
        <v>102</v>
      </c>
      <c r="BO44" t="s">
        <v>103</v>
      </c>
      <c r="BP44" t="s">
        <v>89</v>
      </c>
      <c r="BQ44" t="s">
        <v>89</v>
      </c>
      <c r="BR44" t="str">
        <f>VLOOKUP(KeHEPARDataFlowSource[[#This Row],[Item Status]],Table2[#All],2,FALSE)</f>
        <v>Normal, Active item</v>
      </c>
    </row>
    <row r="45" spans="1:70" x14ac:dyDescent="0.25">
      <c r="A45" t="s">
        <v>270</v>
      </c>
      <c r="B45" t="s">
        <v>123</v>
      </c>
      <c r="C45" t="s">
        <v>124</v>
      </c>
      <c r="D45" t="s">
        <v>125</v>
      </c>
      <c r="E45" t="s">
        <v>126</v>
      </c>
      <c r="F45" t="s">
        <v>353</v>
      </c>
      <c r="G45" t="s">
        <v>206</v>
      </c>
      <c r="H45" t="s">
        <v>87</v>
      </c>
      <c r="I45" t="s">
        <v>207</v>
      </c>
      <c r="J45" t="s">
        <v>10</v>
      </c>
      <c r="K45" t="s">
        <v>121</v>
      </c>
      <c r="L45" t="s">
        <v>88</v>
      </c>
      <c r="M45" t="s">
        <v>155</v>
      </c>
      <c r="N45" t="s">
        <v>155</v>
      </c>
      <c r="O45" t="s">
        <v>178</v>
      </c>
      <c r="P45" t="s">
        <v>119</v>
      </c>
      <c r="Q45" t="s">
        <v>89</v>
      </c>
      <c r="R45" t="s">
        <v>89</v>
      </c>
      <c r="S45" t="s">
        <v>89</v>
      </c>
      <c r="T45">
        <v>1578.72</v>
      </c>
      <c r="U45">
        <v>528</v>
      </c>
      <c r="V45" t="s">
        <v>89</v>
      </c>
      <c r="W45" t="s">
        <v>102</v>
      </c>
      <c r="X45" t="s">
        <v>89</v>
      </c>
      <c r="Y45" t="s">
        <v>89</v>
      </c>
      <c r="AF45" t="s">
        <v>354</v>
      </c>
      <c r="AG45" t="s">
        <v>89</v>
      </c>
      <c r="AH45" t="s">
        <v>130</v>
      </c>
      <c r="AI45" t="s">
        <v>131</v>
      </c>
      <c r="AJ45" t="s">
        <v>132</v>
      </c>
      <c r="AK45" t="s">
        <v>133</v>
      </c>
      <c r="AL45" t="s">
        <v>183</v>
      </c>
      <c r="AM45" t="s">
        <v>120</v>
      </c>
      <c r="AN45" t="s">
        <v>135</v>
      </c>
      <c r="AO45" t="s">
        <v>136</v>
      </c>
      <c r="AP45" t="s">
        <v>90</v>
      </c>
      <c r="AQ45" t="s">
        <v>137</v>
      </c>
      <c r="AS45" t="s">
        <v>91</v>
      </c>
      <c r="AT45" t="s">
        <v>138</v>
      </c>
      <c r="AU45" t="s">
        <v>139</v>
      </c>
      <c r="AV45" t="s">
        <v>92</v>
      </c>
      <c r="AW45" t="s">
        <v>93</v>
      </c>
      <c r="AX45" t="s">
        <v>94</v>
      </c>
      <c r="AY45" t="s">
        <v>95</v>
      </c>
      <c r="AZ45" t="s">
        <v>355</v>
      </c>
      <c r="BA45" t="s">
        <v>6</v>
      </c>
      <c r="BB45" t="s">
        <v>96</v>
      </c>
      <c r="BC45" t="s">
        <v>98</v>
      </c>
      <c r="BD45" t="s">
        <v>98</v>
      </c>
      <c r="BE45" t="s">
        <v>98</v>
      </c>
      <c r="BF45" t="s">
        <v>185</v>
      </c>
      <c r="BG45" t="s">
        <v>212</v>
      </c>
      <c r="BH45" t="s">
        <v>98</v>
      </c>
      <c r="BI45" t="s">
        <v>275</v>
      </c>
      <c r="BJ45" t="s">
        <v>275</v>
      </c>
      <c r="BL45" t="s">
        <v>100</v>
      </c>
      <c r="BM45" t="s">
        <v>101</v>
      </c>
      <c r="BN45" t="s">
        <v>102</v>
      </c>
      <c r="BO45" t="s">
        <v>103</v>
      </c>
      <c r="BP45" t="s">
        <v>89</v>
      </c>
      <c r="BQ45" t="s">
        <v>89</v>
      </c>
      <c r="BR45" t="str">
        <f>VLOOKUP(KeHEPARDataFlowSource[[#This Row],[Item Status]],Table2[#All],2,FALSE)</f>
        <v>Normal, Active item</v>
      </c>
    </row>
    <row r="46" spans="1:70" x14ac:dyDescent="0.25">
      <c r="A46" t="s">
        <v>270</v>
      </c>
      <c r="B46" t="s">
        <v>123</v>
      </c>
      <c r="C46" t="s">
        <v>124</v>
      </c>
      <c r="D46" t="s">
        <v>125</v>
      </c>
      <c r="E46" t="s">
        <v>126</v>
      </c>
      <c r="F46" t="s">
        <v>356</v>
      </c>
      <c r="G46" t="s">
        <v>240</v>
      </c>
      <c r="H46" t="s">
        <v>87</v>
      </c>
      <c r="I46" t="s">
        <v>241</v>
      </c>
      <c r="J46" t="s">
        <v>10</v>
      </c>
      <c r="K46" t="s">
        <v>121</v>
      </c>
      <c r="L46" t="s">
        <v>88</v>
      </c>
      <c r="M46" t="s">
        <v>155</v>
      </c>
      <c r="N46" t="s">
        <v>155</v>
      </c>
      <c r="O46" t="s">
        <v>178</v>
      </c>
      <c r="P46" t="s">
        <v>119</v>
      </c>
      <c r="Q46" t="s">
        <v>89</v>
      </c>
      <c r="R46" t="s">
        <v>89</v>
      </c>
      <c r="S46" t="s">
        <v>89</v>
      </c>
      <c r="T46">
        <v>1363.44</v>
      </c>
      <c r="U46">
        <v>456</v>
      </c>
      <c r="V46" t="s">
        <v>89</v>
      </c>
      <c r="W46" t="s">
        <v>102</v>
      </c>
      <c r="X46" t="s">
        <v>89</v>
      </c>
      <c r="Y46" t="s">
        <v>89</v>
      </c>
      <c r="AF46" t="s">
        <v>357</v>
      </c>
      <c r="AG46" t="s">
        <v>89</v>
      </c>
      <c r="AH46" t="s">
        <v>130</v>
      </c>
      <c r="AI46" t="s">
        <v>131</v>
      </c>
      <c r="AJ46" t="s">
        <v>132</v>
      </c>
      <c r="AK46" t="s">
        <v>133</v>
      </c>
      <c r="AL46" t="s">
        <v>183</v>
      </c>
      <c r="AM46" t="s">
        <v>120</v>
      </c>
      <c r="AN46" t="s">
        <v>135</v>
      </c>
      <c r="AO46" t="s">
        <v>136</v>
      </c>
      <c r="AP46" t="s">
        <v>90</v>
      </c>
      <c r="AQ46" t="s">
        <v>137</v>
      </c>
      <c r="AS46" t="s">
        <v>91</v>
      </c>
      <c r="AT46" t="s">
        <v>138</v>
      </c>
      <c r="AU46" t="s">
        <v>139</v>
      </c>
      <c r="AV46" t="s">
        <v>92</v>
      </c>
      <c r="AW46" t="s">
        <v>93</v>
      </c>
      <c r="AX46" t="s">
        <v>94</v>
      </c>
      <c r="AY46" t="s">
        <v>95</v>
      </c>
      <c r="AZ46" t="s">
        <v>358</v>
      </c>
      <c r="BA46" t="s">
        <v>6</v>
      </c>
      <c r="BB46" t="s">
        <v>96</v>
      </c>
      <c r="BC46" t="s">
        <v>98</v>
      </c>
      <c r="BD46" t="s">
        <v>98</v>
      </c>
      <c r="BE46" t="s">
        <v>98</v>
      </c>
      <c r="BF46" t="s">
        <v>185</v>
      </c>
      <c r="BG46" t="s">
        <v>212</v>
      </c>
      <c r="BH46" t="s">
        <v>98</v>
      </c>
      <c r="BI46" t="s">
        <v>275</v>
      </c>
      <c r="BJ46" t="s">
        <v>275</v>
      </c>
      <c r="BL46" t="s">
        <v>100</v>
      </c>
      <c r="BM46" t="s">
        <v>101</v>
      </c>
      <c r="BN46" t="s">
        <v>102</v>
      </c>
      <c r="BO46" t="s">
        <v>103</v>
      </c>
      <c r="BP46" t="s">
        <v>89</v>
      </c>
      <c r="BQ46" t="s">
        <v>89</v>
      </c>
      <c r="BR46" t="str">
        <f>VLOOKUP(KeHEPARDataFlowSource[[#This Row],[Item Status]],Table2[#All],2,FALSE)</f>
        <v>Normal, Active item</v>
      </c>
    </row>
    <row r="47" spans="1:70" x14ac:dyDescent="0.25">
      <c r="A47" t="s">
        <v>122</v>
      </c>
      <c r="B47" t="s">
        <v>123</v>
      </c>
      <c r="C47" t="s">
        <v>124</v>
      </c>
      <c r="D47" t="s">
        <v>125</v>
      </c>
      <c r="E47" t="s">
        <v>126</v>
      </c>
      <c r="F47" t="s">
        <v>359</v>
      </c>
      <c r="G47" t="s">
        <v>146</v>
      </c>
      <c r="H47" t="s">
        <v>87</v>
      </c>
      <c r="I47" t="s">
        <v>147</v>
      </c>
      <c r="J47" t="s">
        <v>8</v>
      </c>
      <c r="K47" t="s">
        <v>121</v>
      </c>
      <c r="L47" t="s">
        <v>88</v>
      </c>
      <c r="M47" t="s">
        <v>109</v>
      </c>
      <c r="N47" t="s">
        <v>110</v>
      </c>
      <c r="O47" t="s">
        <v>128</v>
      </c>
      <c r="P47" t="s">
        <v>119</v>
      </c>
      <c r="Q47" t="s">
        <v>89</v>
      </c>
      <c r="R47" t="s">
        <v>89</v>
      </c>
      <c r="S47" t="s">
        <v>89</v>
      </c>
      <c r="T47">
        <v>3166.02</v>
      </c>
      <c r="U47">
        <v>198</v>
      </c>
      <c r="V47" t="s">
        <v>89</v>
      </c>
      <c r="W47" t="s">
        <v>102</v>
      </c>
      <c r="X47" t="s">
        <v>89</v>
      </c>
      <c r="Y47" t="s">
        <v>89</v>
      </c>
      <c r="AF47" t="s">
        <v>360</v>
      </c>
      <c r="AG47" t="s">
        <v>89</v>
      </c>
      <c r="AH47" t="s">
        <v>130</v>
      </c>
      <c r="AI47" t="s">
        <v>131</v>
      </c>
      <c r="AJ47" t="s">
        <v>132</v>
      </c>
      <c r="AK47" t="s">
        <v>133</v>
      </c>
      <c r="AL47" t="s">
        <v>134</v>
      </c>
      <c r="AM47" t="s">
        <v>120</v>
      </c>
      <c r="AN47" t="s">
        <v>135</v>
      </c>
      <c r="AO47" t="s">
        <v>136</v>
      </c>
      <c r="AP47" t="s">
        <v>90</v>
      </c>
      <c r="AQ47" t="s">
        <v>137</v>
      </c>
      <c r="AS47" t="s">
        <v>91</v>
      </c>
      <c r="AT47" t="s">
        <v>138</v>
      </c>
      <c r="AU47" t="s">
        <v>139</v>
      </c>
      <c r="AV47" t="s">
        <v>92</v>
      </c>
      <c r="AW47" t="s">
        <v>93</v>
      </c>
      <c r="AX47" t="s">
        <v>111</v>
      </c>
      <c r="AY47" t="s">
        <v>95</v>
      </c>
      <c r="AZ47" t="s">
        <v>361</v>
      </c>
      <c r="BA47" t="s">
        <v>6</v>
      </c>
      <c r="BB47" t="s">
        <v>96</v>
      </c>
      <c r="BC47" t="s">
        <v>98</v>
      </c>
      <c r="BD47" t="s">
        <v>98</v>
      </c>
      <c r="BE47" t="s">
        <v>98</v>
      </c>
      <c r="BF47" t="s">
        <v>141</v>
      </c>
      <c r="BG47" t="s">
        <v>112</v>
      </c>
      <c r="BH47" t="s">
        <v>98</v>
      </c>
      <c r="BI47" t="s">
        <v>110</v>
      </c>
      <c r="BJ47" t="s">
        <v>142</v>
      </c>
      <c r="BL47" t="s">
        <v>100</v>
      </c>
      <c r="BM47" t="s">
        <v>101</v>
      </c>
      <c r="BN47" t="s">
        <v>102</v>
      </c>
      <c r="BO47" t="s">
        <v>103</v>
      </c>
      <c r="BP47" t="s">
        <v>89</v>
      </c>
      <c r="BQ47" t="s">
        <v>89</v>
      </c>
      <c r="BR47" t="str">
        <f>VLOOKUP(KeHEPARDataFlowSource[[#This Row],[Item Status]],Table2[#All],2,FALSE)</f>
        <v>Temporarily OOS due to Manuf</v>
      </c>
    </row>
    <row r="48" spans="1:70" x14ac:dyDescent="0.25">
      <c r="A48" t="s">
        <v>270</v>
      </c>
      <c r="B48" t="s">
        <v>123</v>
      </c>
      <c r="C48" t="s">
        <v>124</v>
      </c>
      <c r="D48" t="s">
        <v>125</v>
      </c>
      <c r="E48" t="s">
        <v>126</v>
      </c>
      <c r="F48" t="s">
        <v>362</v>
      </c>
      <c r="G48" t="s">
        <v>306</v>
      </c>
      <c r="H48" t="s">
        <v>87</v>
      </c>
      <c r="I48" t="s">
        <v>307</v>
      </c>
      <c r="J48" t="s">
        <v>8</v>
      </c>
      <c r="K48" t="s">
        <v>121</v>
      </c>
      <c r="L48" t="s">
        <v>88</v>
      </c>
      <c r="M48" t="s">
        <v>155</v>
      </c>
      <c r="N48" t="s">
        <v>155</v>
      </c>
      <c r="O48" t="s">
        <v>178</v>
      </c>
      <c r="P48" t="s">
        <v>119</v>
      </c>
      <c r="Q48" t="s">
        <v>89</v>
      </c>
      <c r="R48" t="s">
        <v>89</v>
      </c>
      <c r="S48" t="s">
        <v>89</v>
      </c>
      <c r="T48">
        <v>1363.44</v>
      </c>
      <c r="U48">
        <v>456</v>
      </c>
      <c r="V48" t="s">
        <v>89</v>
      </c>
      <c r="W48" t="s">
        <v>102</v>
      </c>
      <c r="X48" t="s">
        <v>89</v>
      </c>
      <c r="Y48" t="s">
        <v>89</v>
      </c>
      <c r="AF48" t="s">
        <v>363</v>
      </c>
      <c r="AG48" t="s">
        <v>89</v>
      </c>
      <c r="AH48" t="s">
        <v>130</v>
      </c>
      <c r="AI48" t="s">
        <v>131</v>
      </c>
      <c r="AJ48" t="s">
        <v>132</v>
      </c>
      <c r="AK48" t="s">
        <v>133</v>
      </c>
      <c r="AL48" t="s">
        <v>183</v>
      </c>
      <c r="AM48" t="s">
        <v>120</v>
      </c>
      <c r="AN48" t="s">
        <v>135</v>
      </c>
      <c r="AO48" t="s">
        <v>136</v>
      </c>
      <c r="AP48" t="s">
        <v>90</v>
      </c>
      <c r="AQ48" t="s">
        <v>137</v>
      </c>
      <c r="AS48" t="s">
        <v>91</v>
      </c>
      <c r="AT48" t="s">
        <v>138</v>
      </c>
      <c r="AU48" t="s">
        <v>139</v>
      </c>
      <c r="AV48" t="s">
        <v>92</v>
      </c>
      <c r="AW48" t="s">
        <v>93</v>
      </c>
      <c r="AX48" t="s">
        <v>94</v>
      </c>
      <c r="AY48" t="s">
        <v>95</v>
      </c>
      <c r="AZ48" t="s">
        <v>364</v>
      </c>
      <c r="BA48" t="s">
        <v>6</v>
      </c>
      <c r="BB48" t="s">
        <v>96</v>
      </c>
      <c r="BC48" t="s">
        <v>98</v>
      </c>
      <c r="BD48" t="s">
        <v>98</v>
      </c>
      <c r="BE48" t="s">
        <v>98</v>
      </c>
      <c r="BF48" t="s">
        <v>185</v>
      </c>
      <c r="BG48" t="s">
        <v>212</v>
      </c>
      <c r="BH48" t="s">
        <v>98</v>
      </c>
      <c r="BI48" t="s">
        <v>275</v>
      </c>
      <c r="BJ48" t="s">
        <v>275</v>
      </c>
      <c r="BL48" t="s">
        <v>100</v>
      </c>
      <c r="BM48" t="s">
        <v>101</v>
      </c>
      <c r="BN48" t="s">
        <v>102</v>
      </c>
      <c r="BO48" t="s">
        <v>103</v>
      </c>
      <c r="BP48" t="s">
        <v>89</v>
      </c>
      <c r="BQ48" t="s">
        <v>89</v>
      </c>
      <c r="BR48" t="str">
        <f>VLOOKUP(KeHEPARDataFlowSource[[#This Row],[Item Status]],Table2[#All],2,FALSE)</f>
        <v>Temporarily OOS due to Manuf</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848EC93F3F9543B194F48DB25EEB07" ma:contentTypeVersion="17" ma:contentTypeDescription="Create a new document." ma:contentTypeScope="" ma:versionID="a11d3f18d780e3752cfb285d77cc3e1d">
  <xsd:schema xmlns:xsd="http://www.w3.org/2001/XMLSchema" xmlns:xs="http://www.w3.org/2001/XMLSchema" xmlns:p="http://schemas.microsoft.com/office/2006/metadata/properties" xmlns:ns2="9f4b66cd-8284-43c0-aa04-6aa4b5375e04" xmlns:ns3="a0497850-8136-44a9-947e-f0def611462e" targetNamespace="http://schemas.microsoft.com/office/2006/metadata/properties" ma:root="true" ma:fieldsID="bac9a87d38a9d5d32fd230280a92f10c" ns2:_="" ns3:_="">
    <xsd:import namespace="9f4b66cd-8284-43c0-aa04-6aa4b5375e04"/>
    <xsd:import namespace="a0497850-8136-44a9-947e-f0def61146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b66cd-8284-43c0-aa04-6aa4b5375e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7753371-14dd-4296-bbbe-dd2ee71cd93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497850-8136-44a9-947e-f0def61146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c521ee8-eee5-4996-bc99-97fbf13021b6}" ma:internalName="TaxCatchAll" ma:showField="CatchAllData" ma:web="a0497850-8136-44a9-947e-f0def61146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0497850-8136-44a9-947e-f0def611462e" xsi:nil="true"/>
    <lcf76f155ced4ddcb4097134ff3c332f xmlns="9f4b66cd-8284-43c0-aa04-6aa4b5375e04">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D03CA460-975A-4419-80C5-5858369111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4b66cd-8284-43c0-aa04-6aa4b5375e04"/>
    <ds:schemaRef ds:uri="a0497850-8136-44a9-947e-f0def61146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A38FBE-9808-4EBE-85A9-FFA0DADFC5BE}">
  <ds:schemaRefs>
    <ds:schemaRef ds:uri="http://schemas.microsoft.com/sharepoint/v3/contenttype/forms"/>
  </ds:schemaRefs>
</ds:datastoreItem>
</file>

<file path=customXml/itemProps3.xml><?xml version="1.0" encoding="utf-8"?>
<ds:datastoreItem xmlns:ds="http://schemas.openxmlformats.org/officeDocument/2006/customXml" ds:itemID="{E03CE6A3-F62C-4D4F-8274-2D453B6B285C}">
  <ds:schemaRefs>
    <ds:schemaRef ds:uri="http://www.w3.org/XML/1998/namespace"/>
    <ds:schemaRef ds:uri="d5e33f63-d222-4b82-a232-5ad91f3e7468"/>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purl.org/dc/elements/1.1/"/>
    <ds:schemaRef ds:uri="a0497850-8136-44a9-947e-f0def611462e"/>
    <ds:schemaRef ds:uri="http://purl.org/dc/dcmitype/"/>
    <ds:schemaRef ds:uri="9f4b66cd-8284-43c0-aa04-6aa4b5375e04"/>
  </ds:schemaRefs>
</ds:datastoreItem>
</file>

<file path=customXml/itemProps4.xml><?xml version="1.0" encoding="utf-8"?>
<ds:datastoreItem xmlns:ds="http://schemas.openxmlformats.org/officeDocument/2006/customXml" ds:itemID="{07672953-48A8-48FB-A4A7-2067EE1D0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Classic Pivot</vt:lpstr>
      <vt:lpstr>KeHEPARDataFlowSource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 Cueto</dc:creator>
  <cp:keywords/>
  <dc:description/>
  <cp:lastModifiedBy>Seconya Bagby</cp:lastModifiedBy>
  <cp:revision/>
  <dcterms:created xsi:type="dcterms:W3CDTF">2024-06-24T14:03:23Z</dcterms:created>
  <dcterms:modified xsi:type="dcterms:W3CDTF">2026-07-13T20:53:16Z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0x01010003848EC93F3F9543B194F48DB25EEB07</vt:lpwstr>
  </property>
</Properties>
</file>