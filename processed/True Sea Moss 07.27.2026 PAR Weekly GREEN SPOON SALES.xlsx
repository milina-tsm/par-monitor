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68" documentId="8_{75B2E1B1-BB2C-4E21-826F-FB01CF0B5831}" xr6:coauthVersionLast="47" xr6:coauthVersionMax="47" xr10:uidLastSave="{49FFFE5F-E64C-461B-BA59-3A13FB743713}"/>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KeHEPARDataFlowSource!$A$1:$BQ$71</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<sst xmlns="http://schemas.openxmlformats.org/spreadsheetml/2006/main" count="4657" uniqueCount="406">
  <si>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</si>
  <si>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</si>
  <si>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</si>
  <si>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</si>
  <si>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</si>
  <si>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</si>
  <si>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</si>
  <si>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</si>
  <si>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</si>
  <si>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</si>
  <si>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</si>
  <si>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</si>
  <si>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</si>
  <si>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</si>
  <si>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</si>
  <si>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</si>
  <si>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</si>
  <si>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</si>
  <si>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</si>
  <si>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</si>
  <si>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</si>
  <si>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</si>
  <si>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</si>
  <si>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</si>
  <si>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</si>
  <si>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</si>
  <si>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</si>
  <si>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</si>
  <si>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</si>
  <si>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</si>
  <si>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</si>
  <si>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</si>
  <si>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</si>
  <si>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</si>
  <si>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</si>
  <si>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</si>
  <si>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</si>
  <si>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</si>
  <si>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</si>
  <si>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</si>
  <si>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</si>
  <si>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</si>
  <si>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</si>
  <si>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</si>
  <si>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</si>
  <si>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</si>
  <si>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</si>
  <si>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</si>
  <si>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</si>
  <si>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</si>
  <si>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</si>
  <si>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</si>
  <si>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</si>
  <si>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</si>
  <si>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</si>
  <si>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</si>
  <si>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</si>
  <si>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</si>
  <si>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</si>
  <si>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</si>
  <si>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</si>
  <si>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</si>
  <si>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</si>
  <si>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</si>
  <si>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</si>
  <si>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</si>
  <si>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</si>
  <si>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</si>
  <si>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</si>
  <si>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</si>
  <si>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</si>
  <si>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</si>
  <si>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</si>
  <si>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</si>
  <si>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</si>
  <si>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</si>
  <si>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</si>
  <si>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</si>
  <si>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</si>
  <si>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</si>
  <si>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</si>
  <si>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</si>
  <si>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</si>
  <si>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</si>
  <si>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</si>
  <si>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</si>
  <si>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</si>
  <si>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TRUE SEA MOSS</t>
  </si>
  <si>
    <t>FO</t>
  </si>
  <si>
    <t>0</t>
  </si>
  <si>
    <t>GREEN SPOON SALES</t>
  </si>
  <si>
    <t>CENTER</t>
  </si>
  <si>
    <t>214030</t>
  </si>
  <si>
    <t>DIVA FAM INC</t>
  </si>
  <si>
    <t>540</t>
  </si>
  <si>
    <t>Christine Casey</t>
  </si>
  <si>
    <t>DRY</t>
  </si>
  <si>
    <t>true</t>
  </si>
  <si>
    <t>false</t>
  </si>
  <si>
    <t>22</t>
  </si>
  <si>
    <t>CURR_UNIT_STKOUT</t>
  </si>
  <si>
    <t>12345</t>
  </si>
  <si>
    <t>1</t>
  </si>
  <si>
    <t>DAY</t>
  </si>
  <si>
    <t>27</t>
  </si>
  <si>
    <t>44</t>
  </si>
  <si>
    <t>BRYAN BURKLIN</t>
  </si>
  <si>
    <t>888025186387</t>
  </si>
  <si>
    <t>SEA MOSS BLEND 5IN1</t>
  </si>
  <si>
    <t>16</t>
  </si>
  <si>
    <t>6</t>
  </si>
  <si>
    <t>270</t>
  </si>
  <si>
    <t>12/11/2025</t>
  </si>
  <si>
    <t>27888025186387</t>
  </si>
  <si>
    <t>180</t>
  </si>
  <si>
    <t>2702518638</t>
  </si>
  <si>
    <t>Collect</t>
  </si>
  <si>
    <t>1080</t>
  </si>
  <si>
    <t>GREEN</t>
  </si>
  <si>
    <t>Y</t>
  </si>
  <si>
    <t/>
  </si>
  <si>
    <t>33</t>
  </si>
  <si>
    <t>SPROUTS</t>
  </si>
  <si>
    <t>593804</t>
  </si>
  <si>
    <t>ADVERTISING</t>
  </si>
  <si>
    <t>Future</t>
  </si>
  <si>
    <t>33888025186387</t>
  </si>
  <si>
    <t>FUTURE EVENT - PO REQUIRED BY 8/4/2026</t>
  </si>
  <si>
    <t>7/9/2026</t>
  </si>
  <si>
    <t>8/21/2026</t>
  </si>
  <si>
    <t>9/4/2026</t>
  </si>
  <si>
    <t>8/4/2026</t>
  </si>
  <si>
    <t>KeHE\LMRamirez</t>
  </si>
  <si>
    <t>LUIS.RAMIREZ@KEHE.COM</t>
  </si>
  <si>
    <t>8 26 VITAHBA SEPTEMBER AD</t>
  </si>
  <si>
    <t>84</t>
  </si>
  <si>
    <t>EWELINA WISZOWATA</t>
  </si>
  <si>
    <t>3302518638</t>
  </si>
  <si>
    <t>17</t>
  </si>
  <si>
    <t>41</t>
  </si>
  <si>
    <t>41888025187780</t>
  </si>
  <si>
    <t>888025187780</t>
  </si>
  <si>
    <t>SEA MOSS SOURSOP</t>
  </si>
  <si>
    <t>FUTURE EVENT - PO REQUIRED BY 8/2/2026</t>
  </si>
  <si>
    <t>8/2/2026</t>
  </si>
  <si>
    <t>4102518778</t>
  </si>
  <si>
    <t>19</t>
  </si>
  <si>
    <t>360</t>
  </si>
  <si>
    <t>12</t>
  </si>
  <si>
    <t>12850077732485</t>
  </si>
  <si>
    <t>850077732485</t>
  </si>
  <si>
    <t>SEA MOSS WATERMELON RASP</t>
  </si>
  <si>
    <t>FUTURE EVENT - PO REQUIRED BY 8/1/2026</t>
  </si>
  <si>
    <t>8/1/2026</t>
  </si>
  <si>
    <t>1202607905</t>
  </si>
  <si>
    <t>20</t>
  </si>
  <si>
    <t>5/9/2026</t>
  </si>
  <si>
    <t>41888025186387</t>
  </si>
  <si>
    <t>3794780</t>
  </si>
  <si>
    <t>7/27/2026</t>
  </si>
  <si>
    <t>720</t>
  </si>
  <si>
    <t>4102518638</t>
  </si>
  <si>
    <t>41850077732485</t>
  </si>
  <si>
    <t>4102607905</t>
  </si>
  <si>
    <t>19888025186387</t>
  </si>
  <si>
    <t>FUTURE EVENT - PO REQUIRED BY 7/31/2026</t>
  </si>
  <si>
    <t>7/20/2026</t>
  </si>
  <si>
    <t>1224</t>
  </si>
  <si>
    <t>1440</t>
  </si>
  <si>
    <t>7/31/2026</t>
  </si>
  <si>
    <t>1902518638</t>
  </si>
  <si>
    <t>21</t>
  </si>
  <si>
    <t>3</t>
  </si>
  <si>
    <t>19850077732485</t>
  </si>
  <si>
    <t>1902607905</t>
  </si>
  <si>
    <t>55</t>
  </si>
  <si>
    <t>55888025186387</t>
  </si>
  <si>
    <t>5502518638</t>
  </si>
  <si>
    <t>4</t>
  </si>
  <si>
    <t>55888025187780</t>
  </si>
  <si>
    <t>5502518778</t>
  </si>
  <si>
    <t>55850077732256</t>
  </si>
  <si>
    <t>850077732256</t>
  </si>
  <si>
    <t>SEA MOSS RTD MANGO</t>
  </si>
  <si>
    <t>5502519175</t>
  </si>
  <si>
    <t>1/13/2026</t>
  </si>
  <si>
    <t>408</t>
  </si>
  <si>
    <t>55850077732485</t>
  </si>
  <si>
    <t>900</t>
  </si>
  <si>
    <t>5502607905</t>
  </si>
  <si>
    <t>FUTURE EVENT - PO REQUIRED BY 7/30/2026</t>
  </si>
  <si>
    <t>7/30/2026</t>
  </si>
  <si>
    <t>27888025187780</t>
  </si>
  <si>
    <t>2702518778</t>
  </si>
  <si>
    <t>27850077732256</t>
  </si>
  <si>
    <t>888</t>
  </si>
  <si>
    <t>1020</t>
  </si>
  <si>
    <t>2702519175</t>
  </si>
  <si>
    <t>204</t>
  </si>
  <si>
    <t>27850077732249</t>
  </si>
  <si>
    <t>850077732249</t>
  </si>
  <si>
    <t>SEA MOSS RTD LEMON</t>
  </si>
  <si>
    <t>612</t>
  </si>
  <si>
    <t>2702600122</t>
  </si>
  <si>
    <t>27850077732485</t>
  </si>
  <si>
    <t>2702607905</t>
  </si>
  <si>
    <t>31</t>
  </si>
  <si>
    <t>31850077732485</t>
  </si>
  <si>
    <t>7/24/2026</t>
  </si>
  <si>
    <t>822</t>
  </si>
  <si>
    <t>3102607905</t>
  </si>
  <si>
    <t>33850077732485</t>
  </si>
  <si>
    <t>7/13/2026</t>
  </si>
  <si>
    <t>3302607905</t>
  </si>
  <si>
    <t>14</t>
  </si>
  <si>
    <t>14888025186387</t>
  </si>
  <si>
    <t>3799636</t>
  </si>
  <si>
    <t>1402518638</t>
  </si>
  <si>
    <t>14850077732485</t>
  </si>
  <si>
    <t>1402607905</t>
  </si>
  <si>
    <t>19888025187780</t>
  </si>
  <si>
    <t>1902518778</t>
  </si>
  <si>
    <t>31888025186387</t>
  </si>
  <si>
    <t>3102518638</t>
  </si>
  <si>
    <t>31888025187780</t>
  </si>
  <si>
    <t>1980</t>
  </si>
  <si>
    <t>3102518778</t>
  </si>
  <si>
    <t>33850077732256</t>
  </si>
  <si>
    <t>3302519175</t>
  </si>
  <si>
    <t>33850077732249</t>
  </si>
  <si>
    <t>3799853</t>
  </si>
  <si>
    <t>3302600122</t>
  </si>
  <si>
    <t>19850077732256</t>
  </si>
  <si>
    <t>816</t>
  </si>
  <si>
    <t>1902519175</t>
  </si>
  <si>
    <t>19850077732249</t>
  </si>
  <si>
    <t>1902600122</t>
  </si>
  <si>
    <t>19850077732096</t>
  </si>
  <si>
    <t>850077732096</t>
  </si>
  <si>
    <t>SEA MOSS RTD CHRY ARONIA</t>
  </si>
  <si>
    <t>1902600123</t>
  </si>
  <si>
    <t>55850077732249</t>
  </si>
  <si>
    <t>5502600122</t>
  </si>
  <si>
    <t>55850077732096</t>
  </si>
  <si>
    <t>5502600123</t>
  </si>
  <si>
    <t>27850077732096</t>
  </si>
  <si>
    <t>2702600123</t>
  </si>
  <si>
    <t>31850077732256</t>
  </si>
  <si>
    <t>1620</t>
  </si>
  <si>
    <t>1632</t>
  </si>
  <si>
    <t>3102519175</t>
  </si>
  <si>
    <t>31850077732249</t>
  </si>
  <si>
    <t>3102600122</t>
  </si>
  <si>
    <t>31850077732096</t>
  </si>
  <si>
    <t>3102600123</t>
  </si>
  <si>
    <t>41850077732256</t>
  </si>
  <si>
    <t>4102519175</t>
  </si>
  <si>
    <t>41850077732249</t>
  </si>
  <si>
    <t>4102600122</t>
  </si>
  <si>
    <t>41850077732096</t>
  </si>
  <si>
    <t>4102600123</t>
  </si>
  <si>
    <t>12888025186387</t>
  </si>
  <si>
    <t>1202518638</t>
  </si>
  <si>
    <t>12888025187780</t>
  </si>
  <si>
    <t>1202518778</t>
  </si>
  <si>
    <t>12850077732256</t>
  </si>
  <si>
    <t>1202519175</t>
  </si>
  <si>
    <t>12850077732249</t>
  </si>
  <si>
    <t>1202600122</t>
  </si>
  <si>
    <t>14888025187780</t>
  </si>
  <si>
    <t>1402518778</t>
  </si>
  <si>
    <t>14850077732256</t>
  </si>
  <si>
    <t>1402519175</t>
  </si>
  <si>
    <t>14850077732249</t>
  </si>
  <si>
    <t>1402600122</t>
  </si>
  <si>
    <t>33888025187780</t>
  </si>
  <si>
    <t>3302518778</t>
  </si>
  <si>
    <t>14850077732096</t>
  </si>
  <si>
    <t>1402600123</t>
  </si>
  <si>
    <t>594578</t>
  </si>
  <si>
    <t>PRODUCT ON HAND</t>
  </si>
  <si>
    <t>8/22/2026</t>
  </si>
  <si>
    <t>7 29 AUGUST AD</t>
  </si>
  <si>
    <t>2108</t>
  </si>
  <si>
    <t>2</t>
  </si>
  <si>
    <t>15</t>
  </si>
  <si>
    <t>23</t>
  </si>
  <si>
    <t>2109</t>
  </si>
  <si>
    <t>912</t>
  </si>
  <si>
    <t>FUTURE EVENT - PO REQUIRED BY 7/29/2026</t>
  </si>
  <si>
    <t>7/29/2026</t>
  </si>
  <si>
    <t>3809030</t>
  </si>
  <si>
    <t>3809038</t>
  </si>
  <si>
    <t>8/3/2026</t>
  </si>
  <si>
    <t>3804068</t>
  </si>
  <si>
    <t>768</t>
  </si>
  <si>
    <t>3814081</t>
  </si>
  <si>
    <t>8/6/2026</t>
  </si>
  <si>
    <t>3805993</t>
  </si>
  <si>
    <t>660</t>
  </si>
  <si>
    <t>3799493</t>
  </si>
  <si>
    <t>654</t>
  </si>
  <si>
    <t>108</t>
  </si>
  <si>
    <t>YELLOW</t>
  </si>
  <si>
    <t>3809009</t>
  </si>
  <si>
    <t>8/5/2026</t>
  </si>
  <si>
    <t>3794855</t>
  </si>
  <si>
    <t>2856</t>
  </si>
  <si>
    <t>156</t>
  </si>
  <si>
    <t>1128</t>
  </si>
  <si>
    <t>2040</t>
  </si>
  <si>
    <t>390</t>
  </si>
  <si>
    <t>33850077732096</t>
  </si>
  <si>
    <t>3302600123</t>
  </si>
  <si>
    <t>12850077732096</t>
  </si>
  <si>
    <t>1202600123</t>
  </si>
  <si>
    <t>Current</t>
  </si>
  <si>
    <t>1596</t>
  </si>
  <si>
    <t>-1</t>
  </si>
  <si>
    <t>286</t>
  </si>
  <si>
    <t>331</t>
  </si>
  <si>
    <t>1740</t>
  </si>
  <si>
    <t>1428</t>
  </si>
  <si>
    <t>303</t>
  </si>
  <si>
    <t>1476</t>
  </si>
  <si>
    <t>370</t>
  </si>
  <si>
    <t>732</t>
  </si>
  <si>
    <t>2172</t>
  </si>
  <si>
    <t>201</t>
  </si>
  <si>
    <t>120</t>
  </si>
  <si>
    <t>366</t>
  </si>
  <si>
    <t>262</t>
  </si>
  <si>
    <t>1044</t>
  </si>
  <si>
    <t>124</t>
  </si>
  <si>
    <t>396</t>
  </si>
  <si>
    <t>1752</t>
  </si>
  <si>
    <t>1836</t>
  </si>
  <si>
    <t>77</t>
  </si>
  <si>
    <t>1176</t>
  </si>
  <si>
    <t>222</t>
  </si>
  <si>
    <t>1104</t>
  </si>
  <si>
    <t>163</t>
  </si>
  <si>
    <t>1032</t>
  </si>
  <si>
    <t>226</t>
  </si>
  <si>
    <t>1236</t>
  </si>
  <si>
    <t>1860</t>
  </si>
  <si>
    <t>-4</t>
  </si>
  <si>
    <t>1143</t>
  </si>
  <si>
    <t>372</t>
  </si>
  <si>
    <t>3264</t>
  </si>
  <si>
    <t>7</t>
  </si>
  <si>
    <t>8</t>
  </si>
  <si>
    <t>25</t>
  </si>
  <si>
    <t>3468</t>
  </si>
  <si>
    <t>1303</t>
  </si>
  <si>
    <t>3816402</t>
  </si>
  <si>
    <t>8/10/2026</t>
  </si>
  <si>
    <t>3799786</t>
  </si>
  <si>
    <t>3808614</t>
  </si>
  <si>
    <t>3799424</t>
  </si>
  <si>
    <t>852</t>
  </si>
  <si>
    <t>250</t>
  </si>
  <si>
    <t>36</t>
  </si>
  <si>
    <t>4896</t>
  </si>
  <si>
    <t>3805488</t>
  </si>
  <si>
    <t>333</t>
  </si>
  <si>
    <t>ON PO - ETA BEFORE PROMO END</t>
  </si>
  <si>
    <t>516</t>
  </si>
  <si>
    <t>3240</t>
  </si>
  <si>
    <t>706</t>
  </si>
  <si>
    <t>996</t>
  </si>
  <si>
    <t>49</t>
  </si>
  <si>
    <t>345</t>
  </si>
  <si>
    <t>24</t>
  </si>
  <si>
    <t>684</t>
  </si>
  <si>
    <t>2160</t>
  </si>
  <si>
    <t>142</t>
  </si>
  <si>
    <t>1116</t>
  </si>
  <si>
    <t>223</t>
  </si>
  <si>
    <t>1368</t>
  </si>
  <si>
    <t>197</t>
  </si>
  <si>
    <t>642</t>
  </si>
  <si>
    <t>534</t>
  </si>
  <si>
    <t>18</t>
  </si>
  <si>
    <t>858</t>
  </si>
  <si>
    <t>125</t>
  </si>
  <si>
    <t>3824718</t>
  </si>
  <si>
    <t>8/17/2026</t>
  </si>
  <si>
    <t>100</t>
  </si>
  <si>
    <t>2220</t>
  </si>
  <si>
    <t>1872</t>
  </si>
  <si>
    <t>3808646</t>
  </si>
  <si>
    <t>588</t>
  </si>
  <si>
    <t>1260</t>
  </si>
  <si>
    <t>264</t>
  </si>
  <si>
    <t>246</t>
  </si>
  <si>
    <t>3808619</t>
  </si>
  <si>
    <t>2652</t>
  </si>
  <si>
    <t>744</t>
  </si>
  <si>
    <t>618</t>
  </si>
  <si>
    <t>3818480</t>
  </si>
  <si>
    <t>8/12/2026</t>
  </si>
  <si>
    <t>1140</t>
  </si>
  <si>
    <t>1182</t>
  </si>
  <si>
    <t>1416</t>
  </si>
  <si>
    <t>2094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</si>
</sst>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30.617954050926" missingItemsLimit="0" createdVersion="8" refreshedVersion="8" minRefreshableVersion="3" recordCount="70" xr:uid="{12517E42-1DE3-4A22-AB43-DBB99D8A8347}">
  <cacheSource type="worksheet">
    <worksheetSource name="KeHEPARDataFlowSource"/>
  </cacheSource>
  <cacheFields count="70">
    <cacheField name="DC" numFmtId="0">
      <sharedItems count="8">
        <s v="12"/>
        <s v="14"/>
        <s v="19"/>
        <s v="27"/>
        <s v="31"/>
        <s v="33"/>
        <s v="41"/>
        <s v="55"/>
      </sharedItems>
    </cacheField>
    <cacheField name="Account" numFmtId="0">
      <sharedItems count="1">
        <s v="SPROUTS"/>
      </sharedItems>
    </cacheField>
    <cacheField name="Master ID" numFmtId="0">
      <sharedItems/>
    </cacheField>
    <cacheField name="Event Type" numFmtId="0">
      <sharedItems count="1">
        <s v="ADVERTISING"/>
      </sharedItems>
    </cacheField>
    <cacheField name="Status" numFmtId="0">
      <sharedItems count="2">
        <s v="Current"/>
        <s v="Future"/>
      </sharedItems>
    </cacheField>
    <cacheField name="DCUPC" numFmtId="0">
      <sharedItems/>
    </cacheField>
    <cacheField name="UPC" numFmtId="0">
      <sharedItems count="6">
        <s v="850077732256"/>
        <s v="850077732249"/>
        <s v="850077732096"/>
        <s v="888025186387"/>
        <s v="888025187780"/>
        <s v="850077732485"/>
      </sharedItems>
    </cacheField>
    <cacheField name="Brand" numFmtId="0">
      <sharedItems count="1">
        <s v="TRUE SEA MOSS"/>
      </sharedItems>
    </cacheField>
    <cacheField name="Description" numFmtId="0">
      <sharedItems count="6">
        <s v="SEA MOSS RTD MANGO"/>
        <s v="SEA MOSS RTD LEMON"/>
        <s v="SEA MOSS RTD CHRY ARONIA"/>
        <s v="SEA MOSS BLEND 5IN1"/>
        <s v="SEA MOSS SOURSOP"/>
        <s v="SEA MOSS WATERMELON RASP"/>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574.08000000000004" maxValue="10745.28"/>
    </cacheField>
    <cacheField name="Req Qty" numFmtId="0">
      <sharedItems containsSemiMixedTypes="0" containsString="0" containsNumber="1" containsInteger="1" minValue="96" maxValue="213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21">
        <m/>
        <s v="3809030"/>
        <s v="3809038"/>
        <s v="3816402"/>
        <s v="3799786"/>
        <s v="3794855"/>
        <s v="3808614"/>
        <s v="3799424"/>
        <s v="3814081"/>
        <s v="3804068"/>
        <s v="3809009"/>
        <s v="3805488"/>
        <s v="3805993"/>
        <s v="3794780"/>
        <s v="3824718"/>
        <s v="3799636"/>
        <s v="3808646"/>
        <s v="3799853"/>
        <s v="3799493"/>
        <s v="3808619"/>
        <s v="3818480"/>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Blank="1"/>
    </cacheField>
    <cacheField name="FOB/Prepaid" numFmtId="0">
      <sharedItems containsBlank="1"/>
    </cacheField>
    <cacheField name="Qty OH" numFmtId="0">
      <sharedItems/>
    </cacheField>
    <cacheField name="Qty OO" numFmtId="0">
      <sharedItems/>
    </cacheField>
    <cacheField name="Days to Start" numFmtId="0">
      <sharedItems containsBlank="1"/>
    </cacheField>
    <cacheField name="AOM Create Dt" numFmtId="0">
      <sharedItems/>
    </cacheField>
    <cacheField name="Event Start Dt" numFmtId="0">
      <sharedItems count="2">
        <s v="7/24/2026"/>
        <s v="8/21/2026"/>
      </sharedItems>
    </cacheField>
    <cacheField name="Event End Dt" numFmtId="0">
      <sharedItems count="2">
        <s v="8/22/2026"/>
        <s v="9/4/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1">
        <s v="LUIS.RAMIREZ@KEHE.COM"/>
      </sharedItems>
    </cacheField>
    <cacheField name="Broker Name" numFmtId="0">
      <sharedItems/>
    </cacheField>
    <cacheField name="Comments" numFmtId="0">
      <sharedItems/>
    </cacheField>
    <cacheField name="MDA #" numFmtId="0">
      <sharedItems/>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s v="594578"/>
    <x v="0"/>
    <x v="0"/>
    <s v="12850077732256"/>
    <x v="0"/>
    <x v="0"/>
    <x v="0"/>
    <s v="N"/>
    <s v=""/>
    <s v="FO"/>
    <s v="12"/>
    <s v="12"/>
    <s v="PRODUCT ON HAND"/>
    <s v="GREEN"/>
    <s v="0"/>
    <s v="408"/>
    <s v="0"/>
    <n v="2439.84"/>
    <n v="816"/>
    <s v="408"/>
    <s v="1"/>
    <s v="0"/>
    <s v="1"/>
    <x v="0"/>
    <m/>
    <m/>
    <m/>
    <m/>
    <m/>
    <s v="1596"/>
    <s v="612"/>
    <m/>
    <s v="7/13/2026"/>
    <x v="0"/>
    <x v="0"/>
    <m/>
    <s v="N"/>
    <s v="KeHE\LMRamirez"/>
    <x v="0"/>
    <s v="GREEN SPOON SALES"/>
    <s v="7 29 AUGUST AD"/>
    <s v="2108"/>
    <s v="CENTER"/>
    <s v="84"/>
    <s v="EWELINA WISZOWATA"/>
    <s v="214030"/>
    <s v="DIVA FAM INC"/>
    <s v="540"/>
    <s v="Christine Casey"/>
    <s v="1202519175"/>
    <s v="D"/>
    <s v="DRY"/>
    <s v="false"/>
    <s v="false"/>
    <s v="false"/>
    <s v="20"/>
    <s v="1/13/2026"/>
    <s v="true"/>
    <s v="-1"/>
    <s v="1"/>
    <m/>
    <s v="CURR_UNIT_STKOUT"/>
    <s v="12345"/>
    <s v="1"/>
    <s v="DAY"/>
    <s v="408"/>
    <s v="286"/>
    <x v="0"/>
  </r>
  <r>
    <x v="0"/>
    <x v="0"/>
    <s v="594578"/>
    <x v="0"/>
    <x v="0"/>
    <s v="12850077732249"/>
    <x v="1"/>
    <x v="0"/>
    <x v="1"/>
    <s v="N"/>
    <s v=""/>
    <s v="FO"/>
    <s v="12"/>
    <s v="12"/>
    <s v="PRODUCT ON HAND"/>
    <s v="GREEN"/>
    <s v="0"/>
    <s v="408"/>
    <s v="0"/>
    <n v="2188.6799999999998"/>
    <n v="732"/>
    <s v="408"/>
    <s v="1"/>
    <s v="0"/>
    <s v="1"/>
    <x v="0"/>
    <m/>
    <m/>
    <m/>
    <m/>
    <m/>
    <s v="1080"/>
    <s v="408"/>
    <m/>
    <s v="7/13/2026"/>
    <x v="0"/>
    <x v="0"/>
    <m/>
    <s v="N"/>
    <s v="KeHE\LMRamirez"/>
    <x v="0"/>
    <s v="GREEN SPOON SALES"/>
    <s v="7 29 AUGUST AD"/>
    <s v="2108"/>
    <s v="CENTER"/>
    <s v="84"/>
    <s v="EWELINA WISZOWATA"/>
    <s v="214030"/>
    <s v="DIVA FAM INC"/>
    <s v="540"/>
    <s v="Christine Casey"/>
    <s v="1202600122"/>
    <s v="D"/>
    <s v="DRY"/>
    <s v="false"/>
    <s v="false"/>
    <s v="false"/>
    <s v="20"/>
    <s v="1/13/2026"/>
    <s v="true"/>
    <s v="-1"/>
    <s v="1"/>
    <m/>
    <s v="CURR_UNIT_STKOUT"/>
    <s v="12345"/>
    <s v="1"/>
    <s v="DAY"/>
    <s v="408"/>
    <s v="331"/>
    <x v="0"/>
  </r>
  <r>
    <x v="1"/>
    <x v="0"/>
    <s v="594578"/>
    <x v="0"/>
    <x v="0"/>
    <s v="14850077732256"/>
    <x v="0"/>
    <x v="0"/>
    <x v="0"/>
    <s v="N"/>
    <s v=""/>
    <s v="FO"/>
    <s v="12"/>
    <s v="12"/>
    <s v="PRODUCT ON HAND"/>
    <s v="GREEN"/>
    <s v="0"/>
    <s v="660"/>
    <s v="0"/>
    <n v="3372.72"/>
    <n v="1128"/>
    <s v="660"/>
    <s v="1"/>
    <s v="0"/>
    <s v="1"/>
    <x v="0"/>
    <m/>
    <m/>
    <m/>
    <m/>
    <m/>
    <s v="1740"/>
    <s v="1428"/>
    <m/>
    <s v="7/13/2026"/>
    <x v="0"/>
    <x v="0"/>
    <m/>
    <s v="N"/>
    <s v="KeHE\LMRamirez"/>
    <x v="0"/>
    <s v="GREEN SPOON SALES"/>
    <s v="7 29 AUGUST AD"/>
    <s v="2108"/>
    <s v="CENTER"/>
    <s v="84"/>
    <s v="EWELINA WISZOWATA"/>
    <s v="214030"/>
    <s v="DIVA FAM INC"/>
    <s v="540"/>
    <s v="Christine Casey"/>
    <s v="1402519175"/>
    <s v="D"/>
    <s v="DRY"/>
    <s v="false"/>
    <s v="false"/>
    <s v="false"/>
    <s v="23"/>
    <s v="1/13/2026"/>
    <s v="true"/>
    <s v="0"/>
    <s v="1"/>
    <m/>
    <s v="CURR_UNIT_STKOUT"/>
    <s v="12345"/>
    <s v="1"/>
    <s v="DAY"/>
    <s v="408"/>
    <s v="303"/>
    <x v="0"/>
  </r>
  <r>
    <x v="1"/>
    <x v="0"/>
    <s v="594578"/>
    <x v="0"/>
    <x v="0"/>
    <s v="14850077732249"/>
    <x v="1"/>
    <x v="0"/>
    <x v="1"/>
    <s v="N"/>
    <s v=""/>
    <s v="FO"/>
    <s v="12"/>
    <s v="12"/>
    <s v="PRODUCT ON HAND"/>
    <s v="GREEN"/>
    <s v="0"/>
    <s v="660"/>
    <s v="0"/>
    <n v="3013.92"/>
    <n v="1008"/>
    <s v="660"/>
    <s v="1"/>
    <s v="0"/>
    <s v="1"/>
    <x v="0"/>
    <m/>
    <m/>
    <m/>
    <m/>
    <m/>
    <s v="1476"/>
    <s v="816"/>
    <m/>
    <s v="7/13/2026"/>
    <x v="0"/>
    <x v="0"/>
    <m/>
    <s v="N"/>
    <s v="KeHE\LMRamirez"/>
    <x v="0"/>
    <s v="GREEN SPOON SALES"/>
    <s v="7 29 AUGUST AD"/>
    <s v="2108"/>
    <s v="CENTER"/>
    <s v="84"/>
    <s v="EWELINA WISZOWATA"/>
    <s v="214030"/>
    <s v="DIVA FAM INC"/>
    <s v="540"/>
    <s v="Christine Casey"/>
    <s v="1402600122"/>
    <s v="D"/>
    <s v="DRY"/>
    <s v="false"/>
    <s v="false"/>
    <s v="false"/>
    <s v="23"/>
    <s v="1/13/2026"/>
    <s v="true"/>
    <s v="0"/>
    <s v="1"/>
    <m/>
    <s v="CURR_UNIT_STKOUT"/>
    <s v="12345"/>
    <s v="1"/>
    <s v="DAY"/>
    <s v="408"/>
    <s v="370"/>
    <x v="0"/>
  </r>
  <r>
    <x v="2"/>
    <x v="0"/>
    <s v="594578"/>
    <x v="0"/>
    <x v="0"/>
    <s v="19850077732256"/>
    <x v="0"/>
    <x v="0"/>
    <x v="0"/>
    <s v="N"/>
    <s v=""/>
    <s v="FO"/>
    <s v="12"/>
    <s v="12"/>
    <s v="PRODUCT ON HAND"/>
    <s v="GREEN"/>
    <s v="0"/>
    <s v="732"/>
    <s v="0"/>
    <n v="3946.8"/>
    <n v="1320"/>
    <s v="732"/>
    <s v="1"/>
    <s v="0"/>
    <s v="1"/>
    <x v="0"/>
    <m/>
    <m/>
    <m/>
    <m/>
    <m/>
    <s v="2172"/>
    <s v="2040"/>
    <m/>
    <s v="7/13/2026"/>
    <x v="0"/>
    <x v="0"/>
    <m/>
    <s v="N"/>
    <s v="KeHE\LMRamirez"/>
    <x v="0"/>
    <s v="GREEN SPOON SALES"/>
    <s v="7 29 AUGUST AD"/>
    <s v="2108"/>
    <s v="CENTER"/>
    <s v="84"/>
    <s v="EWELINA WISZOWATA"/>
    <s v="214030"/>
    <s v="DIVA FAM INC"/>
    <s v="540"/>
    <s v="Christine Casey"/>
    <s v="1902519175"/>
    <s v="D"/>
    <s v="DRY"/>
    <s v="false"/>
    <s v="false"/>
    <s v="false"/>
    <s v="21"/>
    <s v="1/13/2026"/>
    <s v="false"/>
    <s v="2"/>
    <s v="2"/>
    <m/>
    <s v="CURR_UNIT_STKOUT"/>
    <s v="12345"/>
    <s v="1"/>
    <s v="DAY"/>
    <s v="408"/>
    <s v="286"/>
    <x v="0"/>
  </r>
  <r>
    <x v="2"/>
    <x v="0"/>
    <s v="594578"/>
    <x v="0"/>
    <x v="0"/>
    <s v="19850077732249"/>
    <x v="1"/>
    <x v="0"/>
    <x v="1"/>
    <s v="N"/>
    <s v=""/>
    <s v="FO"/>
    <s v="12"/>
    <s v="12"/>
    <s v="PRODUCT ON HAND"/>
    <s v="GREEN"/>
    <s v="0"/>
    <s v="732"/>
    <s v="0"/>
    <n v="3516.24"/>
    <n v="1176"/>
    <s v="732"/>
    <s v="1"/>
    <s v="0"/>
    <s v="1"/>
    <x v="0"/>
    <m/>
    <m/>
    <m/>
    <m/>
    <m/>
    <s v="1980"/>
    <s v="816"/>
    <m/>
    <s v="7/13/2026"/>
    <x v="0"/>
    <x v="0"/>
    <m/>
    <s v="N"/>
    <s v="KeHE\LMRamirez"/>
    <x v="0"/>
    <s v="GREEN SPOON SALES"/>
    <s v="7 29 AUGUST AD"/>
    <s v="2108"/>
    <s v="CENTER"/>
    <s v="84"/>
    <s v="EWELINA WISZOWATA"/>
    <s v="214030"/>
    <s v="DIVA FAM INC"/>
    <s v="540"/>
    <s v="Christine Casey"/>
    <s v="1902600122"/>
    <s v="D"/>
    <s v="DRY"/>
    <s v="false"/>
    <s v="false"/>
    <s v="false"/>
    <s v="21"/>
    <s v="1/13/2026"/>
    <s v="false"/>
    <s v="2"/>
    <s v="2"/>
    <m/>
    <s v="CURR_UNIT_STKOUT"/>
    <s v="12345"/>
    <s v="1"/>
    <s v="DAY"/>
    <s v="204"/>
    <s v="201"/>
    <x v="0"/>
  </r>
  <r>
    <x v="3"/>
    <x v="0"/>
    <s v="594578"/>
    <x v="0"/>
    <x v="0"/>
    <s v="27850077732256"/>
    <x v="0"/>
    <x v="0"/>
    <x v="0"/>
    <s v="N"/>
    <s v=""/>
    <s v="FO"/>
    <s v="12"/>
    <s v="12"/>
    <s v="PRODUCT ON HAND"/>
    <s v="GREEN"/>
    <s v="0"/>
    <s v="120"/>
    <s v="0"/>
    <n v="1327.56"/>
    <n v="444"/>
    <s v="120"/>
    <s v="1"/>
    <s v="0"/>
    <s v="1"/>
    <x v="0"/>
    <m/>
    <m/>
    <m/>
    <m/>
    <m/>
    <s v="1128"/>
    <s v="1020"/>
    <m/>
    <s v="7/13/2026"/>
    <x v="0"/>
    <x v="0"/>
    <m/>
    <s v="N"/>
    <s v="KeHE\LMRamirez"/>
    <x v="0"/>
    <s v="GREEN SPOON SALES"/>
    <s v="7 29 AUGUST AD"/>
    <s v="2108"/>
    <s v="CENTER"/>
    <s v="44"/>
    <s v="BRYAN BURKLIN"/>
    <s v="214030"/>
    <s v="DIVA FAM INC"/>
    <s v="540"/>
    <s v="Christine Casey"/>
    <s v="2702519175"/>
    <s v="D"/>
    <s v="DRY"/>
    <s v="false"/>
    <s v="false"/>
    <s v="false"/>
    <s v="22"/>
    <s v="1/13/2026"/>
    <s v="false"/>
    <s v="1"/>
    <s v="4"/>
    <m/>
    <s v="CURR_UNIT_STKOUT"/>
    <s v="12345"/>
    <s v="1"/>
    <s v="DAY"/>
    <s v="408"/>
    <s v="366"/>
    <x v="0"/>
  </r>
  <r>
    <x v="3"/>
    <x v="0"/>
    <s v="594578"/>
    <x v="0"/>
    <x v="0"/>
    <s v="27850077732249"/>
    <x v="1"/>
    <x v="0"/>
    <x v="1"/>
    <s v="N"/>
    <s v=""/>
    <s v="FO"/>
    <s v="12"/>
    <s v="12"/>
    <s v="PRODUCT ON HAND"/>
    <s v="GREEN"/>
    <s v="0"/>
    <s v="120"/>
    <s v="0"/>
    <n v="1076.4000000000001"/>
    <n v="360"/>
    <s v="120"/>
    <s v="1"/>
    <s v="0"/>
    <s v="1"/>
    <x v="0"/>
    <m/>
    <m/>
    <m/>
    <m/>
    <m/>
    <s v="720"/>
    <s v="816"/>
    <m/>
    <s v="7/13/2026"/>
    <x v="0"/>
    <x v="0"/>
    <m/>
    <s v="N"/>
    <s v="KeHE\LMRamirez"/>
    <x v="0"/>
    <s v="GREEN SPOON SALES"/>
    <s v="7 29 AUGUST AD"/>
    <s v="2108"/>
    <s v="CENTER"/>
    <s v="44"/>
    <s v="BRYAN BURKLIN"/>
    <s v="214030"/>
    <s v="DIVA FAM INC"/>
    <s v="540"/>
    <s v="Christine Casey"/>
    <s v="2702600122"/>
    <s v="D"/>
    <s v="DRY"/>
    <s v="false"/>
    <s v="false"/>
    <s v="false"/>
    <s v="22"/>
    <s v="1/13/2026"/>
    <s v="false"/>
    <s v="1"/>
    <s v="4"/>
    <m/>
    <s v="CURR_UNIT_STKOUT"/>
    <s v="12345"/>
    <s v="1"/>
    <s v="DAY"/>
    <s v="408"/>
    <s v="262"/>
    <x v="0"/>
  </r>
  <r>
    <x v="3"/>
    <x v="0"/>
    <s v="594578"/>
    <x v="0"/>
    <x v="0"/>
    <s v="27850077732096"/>
    <x v="2"/>
    <x v="0"/>
    <x v="2"/>
    <s v="N"/>
    <s v=""/>
    <s v="FO"/>
    <s v="12"/>
    <s v="12"/>
    <s v="PRODUCT ON HAND"/>
    <s v="GREEN"/>
    <s v="0"/>
    <s v="120"/>
    <s v="0"/>
    <n v="1076.4000000000001"/>
    <n v="360"/>
    <s v="108"/>
    <s v="1"/>
    <s v="0"/>
    <s v="1"/>
    <x v="0"/>
    <m/>
    <m/>
    <m/>
    <m/>
    <m/>
    <s v="1044"/>
    <s v="612"/>
    <m/>
    <s v="7/13/2026"/>
    <x v="0"/>
    <x v="0"/>
    <m/>
    <s v="N"/>
    <s v="KeHE\LMRamirez"/>
    <x v="0"/>
    <s v="GREEN SPOON SALES"/>
    <s v="7 29 AUGUST AD"/>
    <s v="2108"/>
    <s v="CENTER"/>
    <s v="44"/>
    <s v="BRYAN BURKLIN"/>
    <s v="214030"/>
    <s v="DIVA FAM INC"/>
    <s v="540"/>
    <s v="Christine Casey"/>
    <s v="2702600123"/>
    <s v="D"/>
    <s v="DRY"/>
    <s v="false"/>
    <s v="false"/>
    <s v="false"/>
    <s v="22"/>
    <s v="1/13/2026"/>
    <s v="false"/>
    <s v="1"/>
    <s v="4"/>
    <m/>
    <s v="CURR_UNIT_STKOUT"/>
    <s v="12345"/>
    <s v="1"/>
    <s v="DAY"/>
    <s v="204"/>
    <s v="124"/>
    <x v="0"/>
  </r>
  <r>
    <x v="4"/>
    <x v="0"/>
    <s v="594578"/>
    <x v="0"/>
    <x v="0"/>
    <s v="31850077732256"/>
    <x v="0"/>
    <x v="0"/>
    <x v="0"/>
    <s v="N"/>
    <s v=""/>
    <s v="FO"/>
    <s v="12"/>
    <s v="12"/>
    <s v="PRODUCT ON HAND"/>
    <s v="GREEN"/>
    <s v="0"/>
    <s v="396"/>
    <s v="0"/>
    <n v="2726.88"/>
    <n v="912"/>
    <s v="396"/>
    <s v="1"/>
    <s v="0"/>
    <s v="1"/>
    <x v="0"/>
    <m/>
    <m/>
    <m/>
    <m/>
    <m/>
    <s v="1752"/>
    <s v="1836"/>
    <m/>
    <s v="7/13/2026"/>
    <x v="0"/>
    <x v="0"/>
    <m/>
    <s v="N"/>
    <s v="KeHE\LMRamirez"/>
    <x v="0"/>
    <s v="GREEN SPOON SALES"/>
    <s v="7 29 AUGUST AD"/>
    <s v="2108"/>
    <s v="CENTER"/>
    <s v="44"/>
    <s v="BRYAN BURKLIN"/>
    <s v="214030"/>
    <s v="DIVA FAM INC"/>
    <s v="540"/>
    <s v="Christine Casey"/>
    <s v="3102519175"/>
    <s v="D"/>
    <s v="DRY"/>
    <s v="false"/>
    <s v="false"/>
    <s v="false"/>
    <s v="22"/>
    <s v="1/13/2026"/>
    <s v="false"/>
    <s v="3"/>
    <s v="4"/>
    <m/>
    <s v="CURR_UNIT_STKOUT"/>
    <s v="12345"/>
    <s v="1"/>
    <s v="DAY"/>
    <s v="204"/>
    <s v="77"/>
    <x v="0"/>
  </r>
  <r>
    <x v="4"/>
    <x v="0"/>
    <s v="594578"/>
    <x v="0"/>
    <x v="0"/>
    <s v="31850077732096"/>
    <x v="2"/>
    <x v="0"/>
    <x v="2"/>
    <s v="N"/>
    <s v=""/>
    <s v="FO"/>
    <s v="12"/>
    <s v="12"/>
    <s v="PRODUCT ON HAND"/>
    <s v="GREEN"/>
    <s v="0"/>
    <s v="396"/>
    <s v="0"/>
    <n v="2296.3200000000002"/>
    <n v="768"/>
    <s v="396"/>
    <s v="1"/>
    <s v="0"/>
    <s v="1"/>
    <x v="0"/>
    <m/>
    <m/>
    <m/>
    <m/>
    <m/>
    <s v="1176"/>
    <s v="1632"/>
    <m/>
    <s v="7/13/2026"/>
    <x v="0"/>
    <x v="0"/>
    <m/>
    <s v="N"/>
    <s v="KeHE\LMRamirez"/>
    <x v="0"/>
    <s v="GREEN SPOON SALES"/>
    <s v="7 29 AUGUST AD"/>
    <s v="2108"/>
    <s v="CENTER"/>
    <s v="44"/>
    <s v="BRYAN BURKLIN"/>
    <s v="214030"/>
    <s v="DIVA FAM INC"/>
    <s v="540"/>
    <s v="Christine Casey"/>
    <s v="3102600123"/>
    <s v="D"/>
    <s v="DRY"/>
    <s v="false"/>
    <s v="false"/>
    <s v="false"/>
    <s v="22"/>
    <s v="1/13/2026"/>
    <s v="false"/>
    <s v="3"/>
    <s v="4"/>
    <m/>
    <s v="CURR_UNIT_STKOUT"/>
    <s v="12345"/>
    <s v="1"/>
    <s v="DAY"/>
    <s v="408"/>
    <s v="222"/>
    <x v="0"/>
  </r>
  <r>
    <x v="5"/>
    <x v="0"/>
    <s v="594578"/>
    <x v="0"/>
    <x v="0"/>
    <s v="33850077732256"/>
    <x v="0"/>
    <x v="0"/>
    <x v="0"/>
    <s v="N"/>
    <s v=""/>
    <s v="FO"/>
    <s v="12"/>
    <s v="12"/>
    <s v="PRODUCT ON HAND"/>
    <s v="GREEN"/>
    <s v="0"/>
    <s v="408"/>
    <s v="0"/>
    <n v="2439.84"/>
    <n v="816"/>
    <s v="408"/>
    <s v="1"/>
    <s v="0"/>
    <s v="1"/>
    <x v="0"/>
    <m/>
    <m/>
    <m/>
    <m/>
    <m/>
    <s v="1104"/>
    <s v="1224"/>
    <m/>
    <s v="7/13/2026"/>
    <x v="0"/>
    <x v="0"/>
    <m/>
    <s v="N"/>
    <s v="KeHE\LMRamirez"/>
    <x v="0"/>
    <s v="GREEN SPOON SALES"/>
    <s v="7 29 AUGUST AD"/>
    <s v="2108"/>
    <s v="CENTER"/>
    <s v="84"/>
    <s v="EWELINA WISZOWATA"/>
    <s v="214030"/>
    <s v="DIVA FAM INC"/>
    <s v="540"/>
    <s v="Christine Casey"/>
    <s v="3302519175"/>
    <s v="D"/>
    <s v="DRY"/>
    <s v="false"/>
    <s v="false"/>
    <s v="false"/>
    <s v="17"/>
    <s v="1/13/2026"/>
    <s v="false"/>
    <s v="2"/>
    <s v="3"/>
    <m/>
    <s v="CURR_UNIT_STKOUT"/>
    <s v="12345"/>
    <s v="1"/>
    <s v="DAY"/>
    <s v="204"/>
    <s v="163"/>
    <x v="0"/>
  </r>
  <r>
    <x v="5"/>
    <x v="0"/>
    <s v="594578"/>
    <x v="0"/>
    <x v="0"/>
    <s v="33850077732096"/>
    <x v="2"/>
    <x v="0"/>
    <x v="2"/>
    <s v="T"/>
    <s v=""/>
    <s v="FO"/>
    <s v="12"/>
    <s v="12"/>
    <s v="PRODUCT ON HAND"/>
    <s v="GREEN"/>
    <s v="0"/>
    <s v="408"/>
    <s v="0"/>
    <n v="2224.56"/>
    <n v="744"/>
    <s v="408"/>
    <s v="1"/>
    <s v="0"/>
    <s v="1"/>
    <x v="0"/>
    <m/>
    <m/>
    <m/>
    <m/>
    <m/>
    <s v="1032"/>
    <s v="612"/>
    <m/>
    <s v="7/13/2026"/>
    <x v="0"/>
    <x v="0"/>
    <m/>
    <s v="N"/>
    <s v="KeHE\LMRamirez"/>
    <x v="0"/>
    <s v="GREEN SPOON SALES"/>
    <s v="7 29 AUGUST AD"/>
    <s v="2108"/>
    <s v="CENTER"/>
    <s v="84"/>
    <s v="EWELINA WISZOWATA"/>
    <s v="214030"/>
    <s v="DIVA FAM INC"/>
    <s v="540"/>
    <s v="Christine Casey"/>
    <s v="3302600123"/>
    <s v="D"/>
    <s v="DRY"/>
    <s v="false"/>
    <s v="false"/>
    <s v="false"/>
    <s v="17"/>
    <s v="1/13/2026"/>
    <s v="false"/>
    <s v="2"/>
    <s v="3"/>
    <m/>
    <s v="CURR_UNIT_STKOUT"/>
    <s v="12345"/>
    <s v="1"/>
    <s v="DAY"/>
    <s v="408"/>
    <s v="226"/>
    <x v="1"/>
  </r>
  <r>
    <x v="6"/>
    <x v="0"/>
    <s v="594578"/>
    <x v="0"/>
    <x v="0"/>
    <s v="41850077732249"/>
    <x v="1"/>
    <x v="0"/>
    <x v="1"/>
    <s v="N"/>
    <s v=""/>
    <s v="FO"/>
    <s v="12"/>
    <s v="12"/>
    <s v="PRODUCT ON HAND"/>
    <s v="GREEN"/>
    <s v="0"/>
    <s v="1236"/>
    <s v="0"/>
    <n v="5453.76"/>
    <n v="1824"/>
    <s v="1236"/>
    <s v="1"/>
    <s v="0"/>
    <s v="1"/>
    <x v="0"/>
    <m/>
    <m/>
    <m/>
    <m/>
    <m/>
    <s v="1860"/>
    <s v="1428"/>
    <m/>
    <s v="7/13/2026"/>
    <x v="0"/>
    <x v="0"/>
    <m/>
    <s v="N"/>
    <s v="KeHE\LMRamirez"/>
    <x v="0"/>
    <s v="GREEN SPOON SALES"/>
    <s v="7 29 AUGUST AD"/>
    <s v="2108"/>
    <s v="CENTER"/>
    <s v="84"/>
    <s v="EWELINA WISZOWATA"/>
    <s v="214030"/>
    <s v="DIVA FAM INC"/>
    <s v="540"/>
    <s v="Christine Casey"/>
    <s v="4102600122"/>
    <s v="D"/>
    <s v="DRY"/>
    <s v="false"/>
    <s v="false"/>
    <s v="false"/>
    <s v="19"/>
    <s v="1/13/2026"/>
    <s v="true"/>
    <s v="-4"/>
    <s v="-4"/>
    <m/>
    <s v="CURR_UNIT_STKOUT"/>
    <s v="12345"/>
    <s v="1"/>
    <s v="DAY"/>
    <s v="1224"/>
    <s v="1143"/>
    <x v="0"/>
  </r>
  <r>
    <x v="7"/>
    <x v="0"/>
    <s v="594578"/>
    <x v="0"/>
    <x v="0"/>
    <s v="55850077732256"/>
    <x v="0"/>
    <x v="0"/>
    <x v="0"/>
    <s v="N"/>
    <s v=""/>
    <s v="FO"/>
    <s v="12"/>
    <s v="12"/>
    <s v="PRODUCT ON HAND"/>
    <s v="GREEN"/>
    <s v="0"/>
    <s v="372"/>
    <s v="0"/>
    <n v="2296.3200000000002"/>
    <n v="768"/>
    <s v="372"/>
    <s v="1"/>
    <s v="0"/>
    <s v="1"/>
    <x v="0"/>
    <m/>
    <m/>
    <m/>
    <m/>
    <m/>
    <s v="1236"/>
    <s v="3264"/>
    <m/>
    <s v="7/13/2026"/>
    <x v="0"/>
    <x v="0"/>
    <m/>
    <s v="N"/>
    <s v="KeHE\LMRamirez"/>
    <x v="0"/>
    <s v="GREEN SPOON SALES"/>
    <s v="7 29 AUGUST AD"/>
    <s v="2108"/>
    <s v="CENTER"/>
    <s v="44"/>
    <s v="BRYAN BURKLIN"/>
    <s v="214030"/>
    <s v="DIVA FAM INC"/>
    <s v="540"/>
    <s v="Christine Casey"/>
    <s v="5502519175"/>
    <s v="D"/>
    <s v="DRY"/>
    <s v="false"/>
    <s v="false"/>
    <s v="false"/>
    <s v="21"/>
    <s v="1/13/2026"/>
    <s v="false"/>
    <s v="7"/>
    <s v="8"/>
    <m/>
    <s v="CURR_UNIT_STKOUT"/>
    <s v="12345"/>
    <s v="1"/>
    <s v="DAY"/>
    <s v="204"/>
    <s v="19"/>
    <x v="0"/>
  </r>
  <r>
    <x v="5"/>
    <x v="0"/>
    <s v="593804"/>
    <x v="0"/>
    <x v="1"/>
    <s v="33850077732256"/>
    <x v="0"/>
    <x v="0"/>
    <x v="0"/>
    <s v="N"/>
    <s v=""/>
    <s v="FO"/>
    <s v="12"/>
    <s v="12"/>
    <s v="FUTURE EVENT - PO REQUIRED BY 8/4/2026"/>
    <s v="GREEN"/>
    <s v="0"/>
    <s v="0"/>
    <s v="0"/>
    <n v="1184.04"/>
    <n v="396"/>
    <s v="0"/>
    <s v="1"/>
    <s v="0"/>
    <s v="1"/>
    <x v="1"/>
    <s v="7/31/2026"/>
    <s v="7/31/2026"/>
    <m/>
    <m/>
    <s v="Collect"/>
    <s v="1104"/>
    <s v="1224"/>
    <s v="25"/>
    <s v="7/9/2026"/>
    <x v="1"/>
    <x v="1"/>
    <s v="8/4/2026"/>
    <s v="Y"/>
    <s v="KeHE\LMRamirez"/>
    <x v="0"/>
    <s v="GREEN SPOON SALES"/>
    <s v="8 26 VITAHBA SEPTEMBER AD"/>
    <s v="2109"/>
    <s v="CENTER"/>
    <s v="84"/>
    <s v="EWELINA WISZOWATA"/>
    <s v="214030"/>
    <s v="DIVA FAM INC"/>
    <s v="540"/>
    <s v="Christine Casey"/>
    <s v="3302519175"/>
    <s v="D"/>
    <s v="DRY"/>
    <s v="false"/>
    <s v="false"/>
    <s v="false"/>
    <s v="17"/>
    <s v="1/13/2026"/>
    <s v="false"/>
    <s v="2"/>
    <s v="3"/>
    <m/>
    <s v="CURR_UNIT_STKOUT"/>
    <s v="12345"/>
    <s v="1"/>
    <s v="DAY"/>
    <s v="204"/>
    <s v="163"/>
    <x v="0"/>
  </r>
  <r>
    <x v="6"/>
    <x v="0"/>
    <s v="593804"/>
    <x v="0"/>
    <x v="1"/>
    <s v="41850077732256"/>
    <x v="0"/>
    <x v="0"/>
    <x v="0"/>
    <s v="N"/>
    <s v=""/>
    <s v="FO"/>
    <s v="12"/>
    <s v="12"/>
    <s v="FUTURE EVENT - PO REQUIRED BY 8/2/2026"/>
    <s v="GREEN"/>
    <s v="0"/>
    <s v="0"/>
    <s v="0"/>
    <n v="2691"/>
    <n v="900"/>
    <s v="0"/>
    <s v="1"/>
    <s v="0"/>
    <s v="1"/>
    <x v="2"/>
    <s v="8/3/2026"/>
    <s v="8/3/2026"/>
    <m/>
    <m/>
    <s v="Collect"/>
    <s v="1224"/>
    <s v="3468"/>
    <s v="25"/>
    <s v="7/9/2026"/>
    <x v="1"/>
    <x v="1"/>
    <s v="8/2/2026"/>
    <s v="Y"/>
    <s v="KeHE\LMRamirez"/>
    <x v="0"/>
    <s v="GREEN SPOON SALES"/>
    <s v="8 26 VITAHBA SEPTEMBER AD"/>
    <s v="2109"/>
    <s v="CENTER"/>
    <s v="84"/>
    <s v="EWELINA WISZOWATA"/>
    <s v="214030"/>
    <s v="DIVA FAM INC"/>
    <s v="540"/>
    <s v="Christine Casey"/>
    <s v="4102519175"/>
    <s v="D"/>
    <s v="DRY"/>
    <s v="false"/>
    <s v="false"/>
    <s v="false"/>
    <s v="19"/>
    <s v="1/13/2026"/>
    <s v="true"/>
    <s v="-4"/>
    <s v="-4"/>
    <m/>
    <s v="CURR_UNIT_STKOUT"/>
    <s v="12345"/>
    <s v="1"/>
    <s v="DAY"/>
    <s v="1428"/>
    <s v="1303"/>
    <x v="0"/>
  </r>
  <r>
    <x v="0"/>
    <x v="0"/>
    <s v="593804"/>
    <x v="0"/>
    <x v="1"/>
    <s v="12850077732256"/>
    <x v="0"/>
    <x v="0"/>
    <x v="0"/>
    <s v="N"/>
    <s v=""/>
    <s v="FO"/>
    <s v="12"/>
    <s v="12"/>
    <s v="FUTURE EVENT - PO REQUIRED BY 8/1/2026"/>
    <s v="GREEN"/>
    <s v="0"/>
    <s v="0"/>
    <s v="0"/>
    <n v="1184.04"/>
    <n v="396"/>
    <s v="0"/>
    <s v="1"/>
    <s v="0"/>
    <s v="1"/>
    <x v="3"/>
    <s v="8/10/2026"/>
    <s v="8/10/2026"/>
    <m/>
    <m/>
    <s v="Collect"/>
    <s v="1596"/>
    <s v="612"/>
    <s v="25"/>
    <s v="7/9/2026"/>
    <x v="1"/>
    <x v="1"/>
    <s v="8/1/2026"/>
    <s v="Y"/>
    <s v="KeHE\LMRamirez"/>
    <x v="0"/>
    <s v="GREEN SPOON SALES"/>
    <s v="8 26 VITAHBA SEPTEMBER AD"/>
    <s v="2109"/>
    <s v="CENTER"/>
    <s v="84"/>
    <s v="EWELINA WISZOWATA"/>
    <s v="214030"/>
    <s v="DIVA FAM INC"/>
    <s v="540"/>
    <s v="Christine Casey"/>
    <s v="1202519175"/>
    <s v="D"/>
    <s v="DRY"/>
    <s v="false"/>
    <s v="false"/>
    <s v="false"/>
    <s v="20"/>
    <s v="1/13/2026"/>
    <s v="true"/>
    <s v="-1"/>
    <s v="1"/>
    <m/>
    <s v="CURR_UNIT_STKOUT"/>
    <s v="12345"/>
    <s v="1"/>
    <s v="DAY"/>
    <s v="408"/>
    <s v="286"/>
    <x v="0"/>
  </r>
  <r>
    <x v="2"/>
    <x v="0"/>
    <s v="593804"/>
    <x v="0"/>
    <x v="1"/>
    <s v="19850077732256"/>
    <x v="0"/>
    <x v="0"/>
    <x v="0"/>
    <s v="N"/>
    <s v=""/>
    <s v="FO"/>
    <s v="12"/>
    <s v="12"/>
    <s v="FUTURE EVENT - PO REQUIRED BY 7/31/2026"/>
    <s v="GREEN"/>
    <s v="0"/>
    <s v="0"/>
    <s v="0"/>
    <n v="1865.76"/>
    <n v="624"/>
    <s v="0"/>
    <s v="1"/>
    <s v="0"/>
    <s v="1"/>
    <x v="4"/>
    <s v="7/31/2026"/>
    <s v="7/31/2026"/>
    <m/>
    <m/>
    <s v="Collect"/>
    <s v="2172"/>
    <s v="2040"/>
    <s v="25"/>
    <s v="7/9/2026"/>
    <x v="1"/>
    <x v="1"/>
    <s v="7/31/2026"/>
    <s v="Y"/>
    <s v="KeHE\LMRamirez"/>
    <x v="0"/>
    <s v="GREEN SPOON SALES"/>
    <s v="8 26 VITAHBA SEPTEMBER AD"/>
    <s v="2109"/>
    <s v="CENTER"/>
    <s v="84"/>
    <s v="EWELINA WISZOWATA"/>
    <s v="214030"/>
    <s v="DIVA FAM INC"/>
    <s v="540"/>
    <s v="Christine Casey"/>
    <s v="1902519175"/>
    <s v="D"/>
    <s v="DRY"/>
    <s v="false"/>
    <s v="false"/>
    <s v="false"/>
    <s v="21"/>
    <s v="1/13/2026"/>
    <s v="false"/>
    <s v="2"/>
    <s v="2"/>
    <m/>
    <s v="CURR_UNIT_STKOUT"/>
    <s v="12345"/>
    <s v="1"/>
    <s v="DAY"/>
    <s v="408"/>
    <s v="286"/>
    <x v="0"/>
  </r>
  <r>
    <x v="7"/>
    <x v="0"/>
    <s v="593804"/>
    <x v="0"/>
    <x v="1"/>
    <s v="55850077732256"/>
    <x v="0"/>
    <x v="0"/>
    <x v="0"/>
    <s v="N"/>
    <s v=""/>
    <s v="FO"/>
    <s v="12"/>
    <s v="12"/>
    <s v="FUTURE EVENT - PO REQUIRED BY 7/31/2026"/>
    <s v="GREEN"/>
    <s v="0"/>
    <s v="0"/>
    <s v="0"/>
    <n v="897"/>
    <n v="300"/>
    <s v="0"/>
    <s v="1"/>
    <s v="0"/>
    <s v="1"/>
    <x v="5"/>
    <s v="7/27/2026"/>
    <s v="7/29/2026"/>
    <m/>
    <s v="7/27/2026"/>
    <s v="Collect"/>
    <s v="1236"/>
    <s v="3264"/>
    <s v="25"/>
    <s v="7/9/2026"/>
    <x v="1"/>
    <x v="1"/>
    <s v="7/31/2026"/>
    <s v="Y"/>
    <s v="KeHE\LMRamirez"/>
    <x v="0"/>
    <s v="GREEN SPOON SALES"/>
    <s v="8 26 VITAHBA SEPTEMBER AD"/>
    <s v="2109"/>
    <s v="CENTER"/>
    <s v="44"/>
    <s v="BRYAN BURKLIN"/>
    <s v="214030"/>
    <s v="DIVA FAM INC"/>
    <s v="540"/>
    <s v="Christine Casey"/>
    <s v="5502519175"/>
    <s v="D"/>
    <s v="DRY"/>
    <s v="false"/>
    <s v="false"/>
    <s v="false"/>
    <s v="21"/>
    <s v="1/13/2026"/>
    <s v="false"/>
    <s v="7"/>
    <s v="8"/>
    <m/>
    <s v="CURR_UNIT_STKOUT"/>
    <s v="12345"/>
    <s v="1"/>
    <s v="DAY"/>
    <s v="204"/>
    <s v="19"/>
    <x v="0"/>
  </r>
  <r>
    <x v="3"/>
    <x v="0"/>
    <s v="593804"/>
    <x v="0"/>
    <x v="1"/>
    <s v="27850077732256"/>
    <x v="0"/>
    <x v="0"/>
    <x v="0"/>
    <s v="N"/>
    <s v=""/>
    <s v="FO"/>
    <s v="12"/>
    <s v="12"/>
    <s v="FUTURE EVENT - PO REQUIRED BY 7/30/2026"/>
    <s v="GREEN"/>
    <s v="0"/>
    <s v="0"/>
    <s v="0"/>
    <n v="717.6"/>
    <n v="240"/>
    <s v="0"/>
    <s v="1"/>
    <s v="0"/>
    <s v="1"/>
    <x v="6"/>
    <s v="8/6/2026"/>
    <s v="8/6/2026"/>
    <m/>
    <m/>
    <s v="Collect"/>
    <s v="1128"/>
    <s v="1020"/>
    <s v="25"/>
    <s v="7/9/2026"/>
    <x v="1"/>
    <x v="1"/>
    <s v="7/30/2026"/>
    <s v="Y"/>
    <s v="KeHE\LMRamirez"/>
    <x v="0"/>
    <s v="GREEN SPOON SALES"/>
    <s v="8 26 VITAHBA SEPTEMBER AD"/>
    <s v="2109"/>
    <s v="CENTER"/>
    <s v="44"/>
    <s v="BRYAN BURKLIN"/>
    <s v="214030"/>
    <s v="DIVA FAM INC"/>
    <s v="540"/>
    <s v="Christine Casey"/>
    <s v="2702519175"/>
    <s v="D"/>
    <s v="DRY"/>
    <s v="false"/>
    <s v="false"/>
    <s v="false"/>
    <s v="22"/>
    <s v="1/13/2026"/>
    <s v="false"/>
    <s v="1"/>
    <s v="4"/>
    <m/>
    <s v="CURR_UNIT_STKOUT"/>
    <s v="12345"/>
    <s v="1"/>
    <s v="DAY"/>
    <s v="408"/>
    <s v="366"/>
    <x v="0"/>
  </r>
  <r>
    <x v="4"/>
    <x v="0"/>
    <s v="593804"/>
    <x v="0"/>
    <x v="1"/>
    <s v="31850077732256"/>
    <x v="0"/>
    <x v="0"/>
    <x v="0"/>
    <s v="N"/>
    <s v=""/>
    <s v="FO"/>
    <s v="12"/>
    <s v="12"/>
    <s v="FUTURE EVENT - PO REQUIRED BY 7/30/2026"/>
    <s v="GREEN"/>
    <s v="0"/>
    <s v="0"/>
    <s v="0"/>
    <n v="1435.2"/>
    <n v="480"/>
    <s v="0"/>
    <s v="1"/>
    <s v="0"/>
    <s v="1"/>
    <x v="7"/>
    <s v="7/31/2026"/>
    <s v="7/31/2026"/>
    <m/>
    <m/>
    <s v="Collect"/>
    <s v="1752"/>
    <s v="1836"/>
    <s v="25"/>
    <s v="7/9/2026"/>
    <x v="1"/>
    <x v="1"/>
    <s v="7/30/2026"/>
    <s v="Y"/>
    <s v="KeHE\LMRamirez"/>
    <x v="0"/>
    <s v="GREEN SPOON SALES"/>
    <s v="8 26 VITAHBA SEPTEMBER AD"/>
    <s v="2109"/>
    <s v="CENTER"/>
    <s v="44"/>
    <s v="BRYAN BURKLIN"/>
    <s v="214030"/>
    <s v="DIVA FAM INC"/>
    <s v="540"/>
    <s v="Christine Casey"/>
    <s v="3102519175"/>
    <s v="D"/>
    <s v="DRY"/>
    <s v="false"/>
    <s v="false"/>
    <s v="false"/>
    <s v="22"/>
    <s v="1/13/2026"/>
    <s v="false"/>
    <s v="3"/>
    <s v="4"/>
    <m/>
    <s v="CURR_UNIT_STKOUT"/>
    <s v="12345"/>
    <s v="1"/>
    <s v="DAY"/>
    <s v="204"/>
    <s v="77"/>
    <x v="0"/>
  </r>
  <r>
    <x v="1"/>
    <x v="0"/>
    <s v="593804"/>
    <x v="0"/>
    <x v="1"/>
    <s v="14850077732256"/>
    <x v="0"/>
    <x v="0"/>
    <x v="0"/>
    <s v="N"/>
    <s v=""/>
    <s v="FO"/>
    <s v="12"/>
    <s v="12"/>
    <s v="FUTURE EVENT - PO REQUIRED BY 7/29/2026"/>
    <s v="GREEN"/>
    <s v="0"/>
    <s v="0"/>
    <s v="0"/>
    <n v="1578.72"/>
    <n v="528"/>
    <s v="0"/>
    <s v="1"/>
    <s v="0"/>
    <s v="1"/>
    <x v="8"/>
    <s v="8/6/2026"/>
    <s v="8/6/2026"/>
    <m/>
    <m/>
    <s v="Collect"/>
    <s v="1740"/>
    <s v="1428"/>
    <s v="25"/>
    <s v="7/9/2026"/>
    <x v="1"/>
    <x v="1"/>
    <s v="7/29/2026"/>
    <s v="Y"/>
    <s v="KeHE\LMRamirez"/>
    <x v="0"/>
    <s v="GREEN SPOON SALES"/>
    <s v="8 26 VITAHBA SEPTEMBER AD"/>
    <s v="2109"/>
    <s v="CENTER"/>
    <s v="84"/>
    <s v="EWELINA WISZOWATA"/>
    <s v="214030"/>
    <s v="DIVA FAM INC"/>
    <s v="540"/>
    <s v="Christine Casey"/>
    <s v="1402519175"/>
    <s v="D"/>
    <s v="DRY"/>
    <s v="false"/>
    <s v="false"/>
    <s v="false"/>
    <s v="23"/>
    <s v="1/13/2026"/>
    <s v="true"/>
    <s v="0"/>
    <s v="1"/>
    <m/>
    <s v="CURR_UNIT_STKOUT"/>
    <s v="12345"/>
    <s v="1"/>
    <s v="DAY"/>
    <s v="408"/>
    <s v="303"/>
    <x v="0"/>
  </r>
  <r>
    <x v="5"/>
    <x v="0"/>
    <s v="593804"/>
    <x v="0"/>
    <x v="1"/>
    <s v="33850077732249"/>
    <x v="1"/>
    <x v="0"/>
    <x v="1"/>
    <s v="N"/>
    <s v=""/>
    <s v="FO"/>
    <s v="12"/>
    <s v="12"/>
    <s v="FUTURE EVENT - PO REQUIRED BY 8/4/2026"/>
    <s v="GREEN"/>
    <s v="0"/>
    <s v="0"/>
    <s v="0"/>
    <n v="968.76"/>
    <n v="324"/>
    <s v="0"/>
    <s v="1"/>
    <s v="0"/>
    <s v="1"/>
    <x v="1"/>
    <s v="7/31/2026"/>
    <s v="7/31/2026"/>
    <m/>
    <m/>
    <s v="Collect"/>
    <s v="852"/>
    <s v="1020"/>
    <s v="25"/>
    <s v="7/9/2026"/>
    <x v="1"/>
    <x v="1"/>
    <s v="8/4/2026"/>
    <s v="Y"/>
    <s v="KeHE\LMRamirez"/>
    <x v="0"/>
    <s v="GREEN SPOON SALES"/>
    <s v="8 26 VITAHBA SEPTEMBER AD"/>
    <s v="2109"/>
    <s v="CENTER"/>
    <s v="84"/>
    <s v="EWELINA WISZOWATA"/>
    <s v="214030"/>
    <s v="DIVA FAM INC"/>
    <s v="540"/>
    <s v="Christine Casey"/>
    <s v="3302600122"/>
    <s v="D"/>
    <s v="DRY"/>
    <s v="false"/>
    <s v="false"/>
    <s v="false"/>
    <s v="17"/>
    <s v="1/13/2026"/>
    <s v="false"/>
    <s v="2"/>
    <s v="3"/>
    <m/>
    <s v="CURR_UNIT_STKOUT"/>
    <s v="12345"/>
    <s v="1"/>
    <s v="DAY"/>
    <s v="408"/>
    <s v="250"/>
    <x v="0"/>
  </r>
  <r>
    <x v="6"/>
    <x v="0"/>
    <s v="593804"/>
    <x v="0"/>
    <x v="1"/>
    <s v="41850077732249"/>
    <x v="1"/>
    <x v="0"/>
    <x v="1"/>
    <s v="N"/>
    <s v=""/>
    <s v="FO"/>
    <s v="12"/>
    <s v="12"/>
    <s v="FUTURE EVENT - PO REQUIRED BY 8/2/2026"/>
    <s v="GREEN"/>
    <s v="0"/>
    <s v="0"/>
    <s v="0"/>
    <n v="2152.8000000000002"/>
    <n v="720"/>
    <s v="0"/>
    <s v="1"/>
    <s v="0"/>
    <s v="1"/>
    <x v="2"/>
    <s v="8/3/2026"/>
    <s v="8/3/2026"/>
    <m/>
    <m/>
    <s v="Collect"/>
    <s v="1860"/>
    <s v="1428"/>
    <s v="25"/>
    <s v="7/9/2026"/>
    <x v="1"/>
    <x v="1"/>
    <s v="8/2/2026"/>
    <s v="Y"/>
    <s v="KeHE\LMRamirez"/>
    <x v="0"/>
    <s v="GREEN SPOON SALES"/>
    <s v="8 26 VITAHBA SEPTEMBER AD"/>
    <s v="2109"/>
    <s v="CENTER"/>
    <s v="84"/>
    <s v="EWELINA WISZOWATA"/>
    <s v="214030"/>
    <s v="DIVA FAM INC"/>
    <s v="540"/>
    <s v="Christine Casey"/>
    <s v="4102600122"/>
    <s v="D"/>
    <s v="DRY"/>
    <s v="false"/>
    <s v="false"/>
    <s v="false"/>
    <s v="19"/>
    <s v="1/13/2026"/>
    <s v="true"/>
    <s v="-4"/>
    <s v="-4"/>
    <m/>
    <s v="CURR_UNIT_STKOUT"/>
    <s v="12345"/>
    <s v="1"/>
    <s v="DAY"/>
    <s v="1224"/>
    <s v="1143"/>
    <x v="0"/>
  </r>
  <r>
    <x v="6"/>
    <x v="0"/>
    <s v="593804"/>
    <x v="0"/>
    <x v="1"/>
    <s v="41850077732096"/>
    <x v="2"/>
    <x v="0"/>
    <x v="2"/>
    <s v="N"/>
    <s v=""/>
    <s v="FO"/>
    <s v="12"/>
    <s v="12"/>
    <s v="FUTURE EVENT - PO REQUIRED BY 8/2/2026"/>
    <s v="GREEN"/>
    <s v="0"/>
    <s v="0"/>
    <s v="0"/>
    <n v="2152.8000000000002"/>
    <n v="720"/>
    <s v="0"/>
    <s v="1"/>
    <s v="0"/>
    <s v="1"/>
    <x v="9"/>
    <s v="8/3/2026"/>
    <s v="8/3/2026"/>
    <m/>
    <m/>
    <s v="Collect"/>
    <s v="36"/>
    <s v="4896"/>
    <s v="25"/>
    <s v="7/9/2026"/>
    <x v="1"/>
    <x v="1"/>
    <s v="8/2/2026"/>
    <s v="Y"/>
    <s v="KeHE\LMRamirez"/>
    <x v="0"/>
    <s v="GREEN SPOON SALES"/>
    <s v="8 26 VITAHBA SEPTEMBER AD"/>
    <s v="2109"/>
    <s v="CENTER"/>
    <s v="84"/>
    <s v="EWELINA WISZOWATA"/>
    <s v="214030"/>
    <s v="DIVA FAM INC"/>
    <s v="540"/>
    <s v="Christine Casey"/>
    <s v="4102600123"/>
    <s v="D"/>
    <s v="DRY"/>
    <s v="false"/>
    <s v="false"/>
    <s v="false"/>
    <s v="19"/>
    <s v="1/13/2026"/>
    <s v="true"/>
    <s v="-4"/>
    <s v="-4"/>
    <m/>
    <s v="CURR_UNIT_STKOUT"/>
    <s v="12345"/>
    <s v="1"/>
    <s v="DAY"/>
    <s v="204"/>
    <s v="4"/>
    <x v="0"/>
  </r>
  <r>
    <x v="0"/>
    <x v="0"/>
    <s v="593804"/>
    <x v="0"/>
    <x v="1"/>
    <s v="12850077732249"/>
    <x v="1"/>
    <x v="0"/>
    <x v="1"/>
    <s v="N"/>
    <s v=""/>
    <s v="FO"/>
    <s v="12"/>
    <s v="12"/>
    <s v="FUTURE EVENT - PO REQUIRED BY 8/1/2026"/>
    <s v="GREEN"/>
    <s v="0"/>
    <s v="0"/>
    <s v="0"/>
    <n v="968.76"/>
    <n v="324"/>
    <s v="0"/>
    <s v="1"/>
    <s v="0"/>
    <s v="1"/>
    <x v="3"/>
    <s v="8/10/2026"/>
    <s v="8/10/2026"/>
    <m/>
    <m/>
    <s v="Collect"/>
    <s v="1080"/>
    <s v="408"/>
    <s v="25"/>
    <s v="7/9/2026"/>
    <x v="1"/>
    <x v="1"/>
    <s v="8/1/2026"/>
    <s v="Y"/>
    <s v="KeHE\LMRamirez"/>
    <x v="0"/>
    <s v="GREEN SPOON SALES"/>
    <s v="8 26 VITAHBA SEPTEMBER AD"/>
    <s v="2109"/>
    <s v="CENTER"/>
    <s v="84"/>
    <s v="EWELINA WISZOWATA"/>
    <s v="214030"/>
    <s v="DIVA FAM INC"/>
    <s v="540"/>
    <s v="Christine Casey"/>
    <s v="1202600122"/>
    <s v="D"/>
    <s v="DRY"/>
    <s v="false"/>
    <s v="false"/>
    <s v="false"/>
    <s v="20"/>
    <s v="1/13/2026"/>
    <s v="true"/>
    <s v="-1"/>
    <s v="1"/>
    <m/>
    <s v="CURR_UNIT_STKOUT"/>
    <s v="12345"/>
    <s v="1"/>
    <s v="DAY"/>
    <s v="408"/>
    <s v="331"/>
    <x v="0"/>
  </r>
  <r>
    <x v="2"/>
    <x v="0"/>
    <s v="593804"/>
    <x v="0"/>
    <x v="1"/>
    <s v="19850077732249"/>
    <x v="1"/>
    <x v="0"/>
    <x v="1"/>
    <s v="N"/>
    <s v=""/>
    <s v="FO"/>
    <s v="12"/>
    <s v="12"/>
    <s v="FUTURE EVENT - PO REQUIRED BY 7/31/2026"/>
    <s v="GREEN"/>
    <s v="0"/>
    <s v="0"/>
    <s v="0"/>
    <n v="1722.24"/>
    <n v="576"/>
    <s v="0"/>
    <s v="1"/>
    <s v="0"/>
    <s v="1"/>
    <x v="10"/>
    <s v="8/5/2026"/>
    <s v="8/5/2026"/>
    <m/>
    <m/>
    <s v="Collect"/>
    <s v="1980"/>
    <s v="816"/>
    <s v="25"/>
    <s v="7/9/2026"/>
    <x v="1"/>
    <x v="1"/>
    <s v="7/31/2026"/>
    <s v="Y"/>
    <s v="KeHE\LMRamirez"/>
    <x v="0"/>
    <s v="GREEN SPOON SALES"/>
    <s v="8 26 VITAHBA SEPTEMBER AD"/>
    <s v="2109"/>
    <s v="CENTER"/>
    <s v="84"/>
    <s v="EWELINA WISZOWATA"/>
    <s v="214030"/>
    <s v="DIVA FAM INC"/>
    <s v="540"/>
    <s v="Christine Casey"/>
    <s v="1902600122"/>
    <s v="D"/>
    <s v="DRY"/>
    <s v="false"/>
    <s v="false"/>
    <s v="false"/>
    <s v="21"/>
    <s v="1/13/2026"/>
    <s v="false"/>
    <s v="2"/>
    <s v="2"/>
    <m/>
    <s v="CURR_UNIT_STKOUT"/>
    <s v="12345"/>
    <s v="1"/>
    <s v="DAY"/>
    <s v="204"/>
    <s v="201"/>
    <x v="0"/>
  </r>
  <r>
    <x v="3"/>
    <x v="0"/>
    <s v="593804"/>
    <x v="0"/>
    <x v="1"/>
    <s v="27850077732249"/>
    <x v="1"/>
    <x v="0"/>
    <x v="1"/>
    <s v="N"/>
    <s v=""/>
    <s v="FO"/>
    <s v="12"/>
    <s v="12"/>
    <s v="FUTURE EVENT - PO REQUIRED BY 7/30/2026"/>
    <s v="GREEN"/>
    <s v="0"/>
    <s v="0"/>
    <s v="0"/>
    <n v="574.08000000000004"/>
    <n v="192"/>
    <s v="0"/>
    <s v="1"/>
    <s v="0"/>
    <s v="1"/>
    <x v="6"/>
    <s v="8/6/2026"/>
    <s v="8/6/2026"/>
    <m/>
    <m/>
    <s v="Collect"/>
    <s v="720"/>
    <s v="816"/>
    <s v="25"/>
    <s v="7/9/2026"/>
    <x v="1"/>
    <x v="1"/>
    <s v="7/30/2026"/>
    <s v="Y"/>
    <s v="KeHE\LMRamirez"/>
    <x v="0"/>
    <s v="GREEN SPOON SALES"/>
    <s v="8 26 VITAHBA SEPTEMBER AD"/>
    <s v="2109"/>
    <s v="CENTER"/>
    <s v="44"/>
    <s v="BRYAN BURKLIN"/>
    <s v="214030"/>
    <s v="DIVA FAM INC"/>
    <s v="540"/>
    <s v="Christine Casey"/>
    <s v="2702600122"/>
    <s v="D"/>
    <s v="DRY"/>
    <s v="false"/>
    <s v="false"/>
    <s v="false"/>
    <s v="22"/>
    <s v="1/13/2026"/>
    <s v="false"/>
    <s v="1"/>
    <s v="4"/>
    <m/>
    <s v="CURR_UNIT_STKOUT"/>
    <s v="12345"/>
    <s v="1"/>
    <s v="DAY"/>
    <s v="408"/>
    <s v="262"/>
    <x v="0"/>
  </r>
  <r>
    <x v="3"/>
    <x v="0"/>
    <s v="593804"/>
    <x v="0"/>
    <x v="1"/>
    <s v="27850077732096"/>
    <x v="2"/>
    <x v="0"/>
    <x v="2"/>
    <s v="N"/>
    <s v=""/>
    <s v="FO"/>
    <s v="12"/>
    <s v="12"/>
    <s v="FUTURE EVENT - PO REQUIRED BY 7/30/2026"/>
    <s v="GREEN"/>
    <s v="0"/>
    <s v="0"/>
    <s v="0"/>
    <n v="574.08000000000004"/>
    <n v="192"/>
    <s v="0"/>
    <s v="1"/>
    <s v="0"/>
    <s v="1"/>
    <x v="6"/>
    <s v="8/6/2026"/>
    <s v="8/6/2026"/>
    <m/>
    <m/>
    <s v="Collect"/>
    <s v="1044"/>
    <s v="612"/>
    <s v="25"/>
    <s v="7/9/2026"/>
    <x v="1"/>
    <x v="1"/>
    <s v="7/30/2026"/>
    <s v="Y"/>
    <s v="KeHE\LMRamirez"/>
    <x v="0"/>
    <s v="GREEN SPOON SALES"/>
    <s v="8 26 VITAHBA SEPTEMBER AD"/>
    <s v="2109"/>
    <s v="CENTER"/>
    <s v="44"/>
    <s v="BRYAN BURKLIN"/>
    <s v="214030"/>
    <s v="DIVA FAM INC"/>
    <s v="540"/>
    <s v="Christine Casey"/>
    <s v="2702600123"/>
    <s v="D"/>
    <s v="DRY"/>
    <s v="false"/>
    <s v="false"/>
    <s v="false"/>
    <s v="22"/>
    <s v="1/13/2026"/>
    <s v="false"/>
    <s v="1"/>
    <s v="4"/>
    <m/>
    <s v="CURR_UNIT_STKOUT"/>
    <s v="12345"/>
    <s v="1"/>
    <s v="DAY"/>
    <s v="204"/>
    <s v="124"/>
    <x v="0"/>
  </r>
  <r>
    <x v="4"/>
    <x v="0"/>
    <s v="593804"/>
    <x v="0"/>
    <x v="1"/>
    <s v="31850077732096"/>
    <x v="2"/>
    <x v="0"/>
    <x v="2"/>
    <s v="N"/>
    <s v=""/>
    <s v="FO"/>
    <s v="12"/>
    <s v="12"/>
    <s v="FUTURE EVENT - PO REQUIRED BY 7/30/2026"/>
    <s v="GREEN"/>
    <s v="0"/>
    <s v="0"/>
    <s v="0"/>
    <n v="1148.1600000000001"/>
    <n v="384"/>
    <s v="0"/>
    <s v="1"/>
    <s v="0"/>
    <s v="1"/>
    <x v="11"/>
    <s v="8/5/2026"/>
    <s v="8/5/2026"/>
    <m/>
    <m/>
    <s v="Collect"/>
    <s v="1176"/>
    <s v="1632"/>
    <s v="25"/>
    <s v="7/9/2026"/>
    <x v="1"/>
    <x v="1"/>
    <s v="7/30/2026"/>
    <s v="Y"/>
    <s v="KeHE\LMRamirez"/>
    <x v="0"/>
    <s v="GREEN SPOON SALES"/>
    <s v="8 26 VITAHBA SEPTEMBER AD"/>
    <s v="2109"/>
    <s v="CENTER"/>
    <s v="44"/>
    <s v="BRYAN BURKLIN"/>
    <s v="214030"/>
    <s v="DIVA FAM INC"/>
    <s v="540"/>
    <s v="Christine Casey"/>
    <s v="3102600123"/>
    <s v="D"/>
    <s v="DRY"/>
    <s v="false"/>
    <s v="false"/>
    <s v="false"/>
    <s v="22"/>
    <s v="1/13/2026"/>
    <s v="false"/>
    <s v="3"/>
    <s v="4"/>
    <m/>
    <s v="CURR_UNIT_STKOUT"/>
    <s v="12345"/>
    <s v="1"/>
    <s v="DAY"/>
    <s v="408"/>
    <s v="222"/>
    <x v="0"/>
  </r>
  <r>
    <x v="1"/>
    <x v="0"/>
    <s v="593804"/>
    <x v="0"/>
    <x v="1"/>
    <s v="14850077732249"/>
    <x v="1"/>
    <x v="0"/>
    <x v="1"/>
    <s v="N"/>
    <s v=""/>
    <s v="FO"/>
    <s v="12"/>
    <s v="12"/>
    <s v="FUTURE EVENT - PO REQUIRED BY 7/29/2026"/>
    <s v="GREEN"/>
    <s v="0"/>
    <s v="0"/>
    <s v="0"/>
    <n v="1363.44"/>
    <n v="456"/>
    <s v="0"/>
    <s v="1"/>
    <s v="0"/>
    <s v="1"/>
    <x v="8"/>
    <s v="8/6/2026"/>
    <s v="8/6/2026"/>
    <m/>
    <m/>
    <s v="Collect"/>
    <s v="1476"/>
    <s v="816"/>
    <s v="25"/>
    <s v="7/9/2026"/>
    <x v="1"/>
    <x v="1"/>
    <s v="7/29/2026"/>
    <s v="Y"/>
    <s v="KeHE\LMRamirez"/>
    <x v="0"/>
    <s v="GREEN SPOON SALES"/>
    <s v="8 26 VITAHBA SEPTEMBER AD"/>
    <s v="2109"/>
    <s v="CENTER"/>
    <s v="84"/>
    <s v="EWELINA WISZOWATA"/>
    <s v="214030"/>
    <s v="DIVA FAM INC"/>
    <s v="540"/>
    <s v="Christine Casey"/>
    <s v="1402600122"/>
    <s v="D"/>
    <s v="DRY"/>
    <s v="false"/>
    <s v="false"/>
    <s v="false"/>
    <s v="23"/>
    <s v="1/13/2026"/>
    <s v="true"/>
    <s v="0"/>
    <s v="1"/>
    <m/>
    <s v="CURR_UNIT_STKOUT"/>
    <s v="12345"/>
    <s v="1"/>
    <s v="DAY"/>
    <s v="408"/>
    <s v="370"/>
    <x v="0"/>
  </r>
  <r>
    <x v="1"/>
    <x v="0"/>
    <s v="593804"/>
    <x v="0"/>
    <x v="1"/>
    <s v="14850077732096"/>
    <x v="2"/>
    <x v="0"/>
    <x v="2"/>
    <s v="T"/>
    <s v=""/>
    <s v="FO"/>
    <s v="12"/>
    <s v="12"/>
    <s v="FUTURE EVENT - PO REQUIRED BY 7/29/2026"/>
    <s v="GREEN"/>
    <s v="0"/>
    <s v="0"/>
    <s v="0"/>
    <n v="1363.44"/>
    <n v="456"/>
    <s v="0"/>
    <s v="1"/>
    <s v="0"/>
    <s v="1"/>
    <x v="12"/>
    <s v="8/4/2026"/>
    <s v="8/4/2026"/>
    <m/>
    <m/>
    <s v="Collect"/>
    <s v="36"/>
    <s v="2856"/>
    <s v="25"/>
    <s v="7/9/2026"/>
    <x v="1"/>
    <x v="1"/>
    <s v="7/29/2026"/>
    <s v="Y"/>
    <s v="KeHE\LMRamirez"/>
    <x v="0"/>
    <s v="GREEN SPOON SALES"/>
    <s v="8 26 VITAHBA SEPTEMBER AD"/>
    <s v="2109"/>
    <s v="CENTER"/>
    <s v="84"/>
    <s v="EWELINA WISZOWATA"/>
    <s v="214030"/>
    <s v="DIVA FAM INC"/>
    <s v="540"/>
    <s v="Christine Casey"/>
    <s v="1402600123"/>
    <s v="D"/>
    <s v="DRY"/>
    <s v="false"/>
    <s v="false"/>
    <s v="false"/>
    <s v="23"/>
    <s v="1/13/2026"/>
    <s v="true"/>
    <s v="0"/>
    <s v="1"/>
    <m/>
    <s v="CURR_UNIT_STKOUT"/>
    <s v="12345"/>
    <s v="1"/>
    <s v="DAY"/>
    <s v="408"/>
    <s v="333"/>
    <x v="1"/>
  </r>
  <r>
    <x v="6"/>
    <x v="0"/>
    <s v="594578"/>
    <x v="0"/>
    <x v="0"/>
    <s v="41850077732096"/>
    <x v="2"/>
    <x v="0"/>
    <x v="2"/>
    <s v="N"/>
    <s v=""/>
    <s v="FO"/>
    <s v="12"/>
    <s v="12"/>
    <s v="ON PO - ETA BEFORE PROMO END"/>
    <s v="YELLOW"/>
    <s v="0"/>
    <s v="0"/>
    <s v="0"/>
    <n v="5884.32"/>
    <n v="1968"/>
    <s v="0"/>
    <s v="1"/>
    <s v="0"/>
    <s v="1"/>
    <x v="2"/>
    <s v="8/3/2026"/>
    <s v="8/3/2026"/>
    <m/>
    <m/>
    <s v="Collect"/>
    <s v="36"/>
    <s v="4896"/>
    <m/>
    <s v="7/13/2026"/>
    <x v="0"/>
    <x v="0"/>
    <m/>
    <s v="N"/>
    <s v="KeHE\LMRamirez"/>
    <x v="0"/>
    <s v="GREEN SPOON SALES"/>
    <s v="7 29 AUGUST AD"/>
    <s v="2108"/>
    <s v="CENTER"/>
    <s v="84"/>
    <s v="EWELINA WISZOWATA"/>
    <s v="214030"/>
    <s v="DIVA FAM INC"/>
    <s v="540"/>
    <s v="Christine Casey"/>
    <s v="4102600123"/>
    <s v="D"/>
    <s v="DRY"/>
    <s v="false"/>
    <s v="false"/>
    <s v="false"/>
    <s v="19"/>
    <s v="1/13/2026"/>
    <s v="true"/>
    <s v="-4"/>
    <s v="-4"/>
    <m/>
    <s v="CURR_UNIT_STKOUT"/>
    <s v="12345"/>
    <s v="1"/>
    <s v="DAY"/>
    <s v="204"/>
    <s v="4"/>
    <x v="0"/>
  </r>
  <r>
    <x v="5"/>
    <x v="0"/>
    <s v="593804"/>
    <x v="0"/>
    <x v="1"/>
    <s v="33888025186387"/>
    <x v="3"/>
    <x v="0"/>
    <x v="3"/>
    <s v="T"/>
    <s v=""/>
    <s v="FO"/>
    <s v="16"/>
    <s v="6"/>
    <s v="FUTURE EVENT - PO REQUIRED BY 8/4/2026"/>
    <s v="GREEN"/>
    <s v="0"/>
    <s v="0"/>
    <s v="0"/>
    <n v="3837.6"/>
    <n v="240"/>
    <s v="0"/>
    <s v="1"/>
    <s v="0"/>
    <s v="1"/>
    <x v="1"/>
    <s v="7/31/2026"/>
    <s v="7/31/2026"/>
    <m/>
    <m/>
    <s v="Collect"/>
    <s v="516"/>
    <s v="1080"/>
    <s v="25"/>
    <s v="7/9/2026"/>
    <x v="1"/>
    <x v="1"/>
    <s v="8/4/2026"/>
    <s v="Y"/>
    <s v="KeHE\LMRamirez"/>
    <x v="0"/>
    <s v="GREEN SPOON SALES"/>
    <s v="8 26 VITAHBA SEPTEMBER AD"/>
    <s v="2109"/>
    <s v="CENTER"/>
    <s v="84"/>
    <s v="EWELINA WISZOWATA"/>
    <s v="214030"/>
    <s v="DIVA FAM INC"/>
    <s v="270"/>
    <s v="Christine Casey"/>
    <s v="3302518638"/>
    <s v="D"/>
    <s v="DRY"/>
    <s v="false"/>
    <s v="false"/>
    <s v="false"/>
    <s v="17"/>
    <s v="12/11/2025"/>
    <s v="false"/>
    <s v="2"/>
    <s v="3"/>
    <m/>
    <s v="CURR_UNIT_STKOUT"/>
    <s v="12345"/>
    <s v="1"/>
    <s v="DAY"/>
    <s v="180"/>
    <s v="12"/>
    <x v="1"/>
  </r>
  <r>
    <x v="6"/>
    <x v="0"/>
    <s v="593804"/>
    <x v="0"/>
    <x v="1"/>
    <s v="41888025186387"/>
    <x v="3"/>
    <x v="0"/>
    <x v="3"/>
    <s v="N"/>
    <s v=""/>
    <s v="FO"/>
    <s v="16"/>
    <s v="6"/>
    <s v="FUTURE EVENT - PO REQUIRED BY 8/2/2026"/>
    <s v="GREEN"/>
    <s v="0"/>
    <s v="0"/>
    <s v="0"/>
    <n v="8634.6"/>
    <n v="540"/>
    <s v="0"/>
    <s v="1"/>
    <s v="0"/>
    <s v="1"/>
    <x v="13"/>
    <s v="8/4/2026"/>
    <s v="7/27/2026"/>
    <m/>
    <s v="7/20/2026"/>
    <s v="Collect"/>
    <s v="0"/>
    <s v="3240"/>
    <s v="25"/>
    <s v="7/9/2026"/>
    <x v="1"/>
    <x v="1"/>
    <s v="8/2/2026"/>
    <s v="Y"/>
    <s v="KeHE\LMRamirez"/>
    <x v="0"/>
    <s v="GREEN SPOON SALES"/>
    <s v="8 26 VITAHBA SEPTEMBER AD"/>
    <s v="2109"/>
    <s v="CENTER"/>
    <s v="84"/>
    <s v="EWELINA WISZOWATA"/>
    <s v="214030"/>
    <s v="DIVA FAM INC"/>
    <s v="270"/>
    <s v="Christine Casey"/>
    <s v="4102518638"/>
    <s v="D"/>
    <s v="DRY"/>
    <s v="false"/>
    <s v="false"/>
    <s v="false"/>
    <s v="19"/>
    <s v="12/11/2025"/>
    <s v="true"/>
    <s v="-4"/>
    <s v="-4"/>
    <m/>
    <s v="CURR_UNIT_STKOUT"/>
    <s v="12345"/>
    <s v="1"/>
    <s v="DAY"/>
    <s v="720"/>
    <s v="706"/>
    <x v="0"/>
  </r>
  <r>
    <x v="6"/>
    <x v="0"/>
    <s v="593804"/>
    <x v="0"/>
    <x v="1"/>
    <s v="41888025187780"/>
    <x v="4"/>
    <x v="0"/>
    <x v="4"/>
    <s v="N"/>
    <s v=""/>
    <s v="FO"/>
    <s v="16"/>
    <s v="6"/>
    <s v="FUTURE EVENT - PO REQUIRED BY 8/2/2026"/>
    <s v="GREEN"/>
    <s v="0"/>
    <s v="0"/>
    <s v="0"/>
    <n v="7195.5"/>
    <n v="450"/>
    <s v="0"/>
    <s v="1"/>
    <s v="0"/>
    <s v="1"/>
    <x v="9"/>
    <s v="8/3/2026"/>
    <s v="8/3/2026"/>
    <m/>
    <m/>
    <s v="Collect"/>
    <s v="996"/>
    <s v="1440"/>
    <s v="25"/>
    <s v="7/9/2026"/>
    <x v="1"/>
    <x v="1"/>
    <s v="8/2/2026"/>
    <s v="Y"/>
    <s v="KeHE\LMRamirez"/>
    <x v="0"/>
    <s v="GREEN SPOON SALES"/>
    <s v="8 26 VITAHBA SEPTEMBER AD"/>
    <s v="2109"/>
    <s v="CENTER"/>
    <s v="84"/>
    <s v="EWELINA WISZOWATA"/>
    <s v="214030"/>
    <s v="DIVA FAM INC"/>
    <s v="270"/>
    <s v="Christine Casey"/>
    <s v="4102518778"/>
    <s v="D"/>
    <s v="DRY"/>
    <s v="false"/>
    <s v="false"/>
    <s v="false"/>
    <s v="19"/>
    <s v="12/11/2025"/>
    <s v="true"/>
    <s v="-4"/>
    <s v="-4"/>
    <m/>
    <s v="CURR_UNIT_STKOUT"/>
    <s v="12345"/>
    <s v="1"/>
    <s v="DAY"/>
    <s v="180"/>
    <s v="49"/>
    <x v="0"/>
  </r>
  <r>
    <x v="6"/>
    <x v="0"/>
    <s v="593804"/>
    <x v="0"/>
    <x v="1"/>
    <s v="41850077732485"/>
    <x v="5"/>
    <x v="0"/>
    <x v="5"/>
    <s v="N"/>
    <s v=""/>
    <s v="FO"/>
    <s v="16"/>
    <s v="6"/>
    <s v="FUTURE EVENT - PO REQUIRED BY 8/2/2026"/>
    <s v="GREEN"/>
    <s v="0"/>
    <s v="0"/>
    <s v="0"/>
    <n v="10745.28"/>
    <n v="672"/>
    <s v="0"/>
    <s v="1"/>
    <s v="0"/>
    <s v="1"/>
    <x v="13"/>
    <s v="8/4/2026"/>
    <s v="7/27/2026"/>
    <m/>
    <s v="7/20/2026"/>
    <s v="Collect"/>
    <s v="390"/>
    <s v="1980"/>
    <s v="25"/>
    <s v="7/9/2026"/>
    <x v="1"/>
    <x v="1"/>
    <s v="8/2/2026"/>
    <s v="Y"/>
    <s v="KeHE\LMRamirez"/>
    <x v="0"/>
    <s v="GREEN SPOON SALES"/>
    <s v="8 26 VITAHBA SEPTEMBER AD"/>
    <s v="2109"/>
    <s v="CENTER"/>
    <s v="84"/>
    <s v="EWELINA WISZOWATA"/>
    <s v="214030"/>
    <s v="DIVA FAM INC"/>
    <s v="270"/>
    <s v="Christine Casey"/>
    <s v="4102607905"/>
    <s v="D"/>
    <s v="DRY"/>
    <s v="false"/>
    <s v="false"/>
    <s v="false"/>
    <s v="19"/>
    <s v="5/9/2026"/>
    <s v="true"/>
    <s v="-4"/>
    <s v="-4"/>
    <m/>
    <s v="CURR_UNIT_STKOUT"/>
    <s v="12345"/>
    <s v="1"/>
    <s v="DAY"/>
    <s v="360"/>
    <s v="345"/>
    <x v="0"/>
  </r>
  <r>
    <x v="0"/>
    <x v="0"/>
    <s v="593804"/>
    <x v="0"/>
    <x v="1"/>
    <s v="12850077732485"/>
    <x v="5"/>
    <x v="0"/>
    <x v="5"/>
    <s v="N"/>
    <s v=""/>
    <s v="FO"/>
    <s v="16"/>
    <s v="6"/>
    <s v="FUTURE EVENT - PO REQUIRED BY 8/1/2026"/>
    <s v="GREEN"/>
    <s v="0"/>
    <s v="0"/>
    <s v="0"/>
    <n v="3837.6"/>
    <n v="240"/>
    <s v="0"/>
    <s v="1"/>
    <s v="0"/>
    <s v="1"/>
    <x v="3"/>
    <s v="8/10/2026"/>
    <s v="8/10/2026"/>
    <m/>
    <m/>
    <s v="Collect"/>
    <s v="888"/>
    <s v="360"/>
    <s v="25"/>
    <s v="7/9/2026"/>
    <x v="1"/>
    <x v="1"/>
    <s v="8/1/2026"/>
    <s v="Y"/>
    <s v="KeHE\LMRamirez"/>
    <x v="0"/>
    <s v="GREEN SPOON SALES"/>
    <s v="8 26 VITAHBA SEPTEMBER AD"/>
    <s v="2109"/>
    <s v="CENTER"/>
    <s v="84"/>
    <s v="EWELINA WISZOWATA"/>
    <s v="214030"/>
    <s v="DIVA FAM INC"/>
    <s v="270"/>
    <s v="Christine Casey"/>
    <s v="1202607905"/>
    <s v="D"/>
    <s v="DRY"/>
    <s v="false"/>
    <s v="false"/>
    <s v="false"/>
    <s v="20"/>
    <s v="5/9/2026"/>
    <s v="true"/>
    <s v="-1"/>
    <s v="1"/>
    <m/>
    <s v="CURR_UNIT_STKOUT"/>
    <s v="12345"/>
    <s v="1"/>
    <s v="DAY"/>
    <s v="180"/>
    <s v="24"/>
    <x v="0"/>
  </r>
  <r>
    <x v="2"/>
    <x v="0"/>
    <s v="593804"/>
    <x v="0"/>
    <x v="1"/>
    <s v="19888025186387"/>
    <x v="3"/>
    <x v="0"/>
    <x v="3"/>
    <s v="N"/>
    <s v=""/>
    <s v="FO"/>
    <s v="16"/>
    <s v="6"/>
    <s v="FUTURE EVENT - PO REQUIRED BY 7/31/2026"/>
    <s v="GREEN"/>
    <s v="0"/>
    <s v="0"/>
    <s v="0"/>
    <n v="5948.28"/>
    <n v="372"/>
    <s v="0"/>
    <s v="1"/>
    <s v="0"/>
    <s v="1"/>
    <x v="4"/>
    <s v="7/31/2026"/>
    <s v="7/31/2026"/>
    <m/>
    <m/>
    <s v="Collect"/>
    <s v="684"/>
    <s v="2160"/>
    <s v="25"/>
    <s v="7/9/2026"/>
    <x v="1"/>
    <x v="1"/>
    <s v="7/31/2026"/>
    <s v="Y"/>
    <s v="KeHE\LMRamirez"/>
    <x v="0"/>
    <s v="GREEN SPOON SALES"/>
    <s v="8 26 VITAHBA SEPTEMBER AD"/>
    <s v="2109"/>
    <s v="CENTER"/>
    <s v="84"/>
    <s v="EWELINA WISZOWATA"/>
    <s v="214030"/>
    <s v="DIVA FAM INC"/>
    <s v="270"/>
    <s v="Christine Casey"/>
    <s v="1902518638"/>
    <s v="D"/>
    <s v="DRY"/>
    <s v="false"/>
    <s v="false"/>
    <s v="false"/>
    <s v="21"/>
    <s v="12/11/2025"/>
    <s v="false"/>
    <s v="2"/>
    <s v="2"/>
    <m/>
    <s v="CURR_UNIT_STKOUT"/>
    <s v="12345"/>
    <s v="1"/>
    <s v="DAY"/>
    <s v="180"/>
    <s v="142"/>
    <x v="0"/>
  </r>
  <r>
    <x v="2"/>
    <x v="0"/>
    <s v="593804"/>
    <x v="0"/>
    <x v="1"/>
    <s v="19888025187780"/>
    <x v="4"/>
    <x v="0"/>
    <x v="4"/>
    <s v="N"/>
    <s v=""/>
    <s v="FO"/>
    <s v="16"/>
    <s v="6"/>
    <s v="FUTURE EVENT - PO REQUIRED BY 7/31/2026"/>
    <s v="GREEN"/>
    <s v="0"/>
    <s v="0"/>
    <s v="0"/>
    <n v="4988.88"/>
    <n v="312"/>
    <s v="0"/>
    <s v="1"/>
    <s v="0"/>
    <s v="1"/>
    <x v="4"/>
    <s v="7/31/2026"/>
    <s v="7/31/2026"/>
    <m/>
    <m/>
    <s v="Collect"/>
    <s v="1116"/>
    <s v="720"/>
    <s v="25"/>
    <s v="7/9/2026"/>
    <x v="1"/>
    <x v="1"/>
    <s v="7/31/2026"/>
    <s v="Y"/>
    <s v="KeHE\LMRamirez"/>
    <x v="0"/>
    <s v="GREEN SPOON SALES"/>
    <s v="8 26 VITAHBA SEPTEMBER AD"/>
    <s v="2109"/>
    <s v="CENTER"/>
    <s v="84"/>
    <s v="EWELINA WISZOWATA"/>
    <s v="214030"/>
    <s v="DIVA FAM INC"/>
    <s v="270"/>
    <s v="Christine Casey"/>
    <s v="1902518778"/>
    <s v="D"/>
    <s v="DRY"/>
    <s v="false"/>
    <s v="false"/>
    <s v="false"/>
    <s v="21"/>
    <s v="12/11/2025"/>
    <s v="false"/>
    <s v="2"/>
    <s v="2"/>
    <m/>
    <s v="CURR_UNIT_STKOUT"/>
    <s v="12345"/>
    <s v="1"/>
    <s v="DAY"/>
    <s v="360"/>
    <s v="223"/>
    <x v="0"/>
  </r>
  <r>
    <x v="2"/>
    <x v="0"/>
    <s v="593804"/>
    <x v="0"/>
    <x v="1"/>
    <s v="19850077732485"/>
    <x v="5"/>
    <x v="0"/>
    <x v="5"/>
    <s v="T"/>
    <s v=""/>
    <s v="FO"/>
    <s v="16"/>
    <s v="6"/>
    <s v="FUTURE EVENT - PO REQUIRED BY 7/31/2026"/>
    <s v="GREEN"/>
    <s v="0"/>
    <s v="0"/>
    <s v="0"/>
    <n v="9210.24"/>
    <n v="576"/>
    <s v="0"/>
    <s v="1"/>
    <s v="0"/>
    <s v="1"/>
    <x v="10"/>
    <s v="8/5/2026"/>
    <s v="8/5/2026"/>
    <m/>
    <m/>
    <s v="Collect"/>
    <s v="1368"/>
    <s v="540"/>
    <s v="25"/>
    <s v="7/9/2026"/>
    <x v="1"/>
    <x v="1"/>
    <s v="7/31/2026"/>
    <s v="Y"/>
    <s v="KeHE\LMRamirez"/>
    <x v="0"/>
    <s v="GREEN SPOON SALES"/>
    <s v="8 26 VITAHBA SEPTEMBER AD"/>
    <s v="2109"/>
    <s v="CENTER"/>
    <s v="84"/>
    <s v="EWELINA WISZOWATA"/>
    <s v="214030"/>
    <s v="DIVA FAM INC"/>
    <s v="270"/>
    <s v="Christine Casey"/>
    <s v="1902607905"/>
    <s v="D"/>
    <s v="DRY"/>
    <s v="false"/>
    <s v="false"/>
    <s v="false"/>
    <s v="21"/>
    <s v="5/9/2026"/>
    <s v="false"/>
    <s v="2"/>
    <s v="2"/>
    <m/>
    <s v="CURR_UNIT_STKOUT"/>
    <s v="12345"/>
    <s v="1"/>
    <s v="DAY"/>
    <s v="360"/>
    <s v="197"/>
    <x v="1"/>
  </r>
  <r>
    <x v="3"/>
    <x v="0"/>
    <s v="593804"/>
    <x v="0"/>
    <x v="1"/>
    <s v="27888025186387"/>
    <x v="3"/>
    <x v="0"/>
    <x v="3"/>
    <s v="N"/>
    <s v=""/>
    <s v="FO"/>
    <s v="16"/>
    <s v="6"/>
    <s v="FUTURE EVENT - PO REQUIRED BY 7/30/2026"/>
    <s v="GREEN"/>
    <s v="0"/>
    <s v="0"/>
    <s v="0"/>
    <n v="2302.56"/>
    <n v="144"/>
    <s v="0"/>
    <s v="1"/>
    <s v="0"/>
    <s v="1"/>
    <x v="6"/>
    <s v="8/6/2026"/>
    <s v="8/6/2026"/>
    <m/>
    <m/>
    <s v="Collect"/>
    <s v="642"/>
    <s v="900"/>
    <s v="25"/>
    <s v="7/9/2026"/>
    <x v="1"/>
    <x v="1"/>
    <s v="7/30/2026"/>
    <s v="Y"/>
    <s v="KeHE\LMRamirez"/>
    <x v="0"/>
    <s v="GREEN SPOON SALES"/>
    <s v="8 26 VITAHBA SEPTEMBER AD"/>
    <s v="2109"/>
    <s v="CENTER"/>
    <s v="44"/>
    <s v="BRYAN BURKLIN"/>
    <s v="214030"/>
    <s v="DIVA FAM INC"/>
    <s v="270"/>
    <s v="Christine Casey"/>
    <s v="2702518638"/>
    <s v="D"/>
    <s v="DRY"/>
    <s v="false"/>
    <s v="false"/>
    <s v="false"/>
    <s v="22"/>
    <s v="12/11/2025"/>
    <s v="false"/>
    <s v="1"/>
    <s v="4"/>
    <m/>
    <s v="CURR_UNIT_STKOUT"/>
    <s v="12345"/>
    <s v="1"/>
    <s v="DAY"/>
    <s v="180"/>
    <s v="8"/>
    <x v="0"/>
  </r>
  <r>
    <x v="3"/>
    <x v="0"/>
    <s v="593804"/>
    <x v="0"/>
    <x v="1"/>
    <s v="27888025187780"/>
    <x v="4"/>
    <x v="0"/>
    <x v="4"/>
    <s v="N"/>
    <s v=""/>
    <s v="FO"/>
    <s v="16"/>
    <s v="6"/>
    <s v="FUTURE EVENT - PO REQUIRED BY 7/30/2026"/>
    <s v="GREEN"/>
    <s v="0"/>
    <s v="0"/>
    <s v="0"/>
    <n v="1918.8"/>
    <n v="120"/>
    <s v="0"/>
    <s v="1"/>
    <s v="0"/>
    <s v="1"/>
    <x v="6"/>
    <s v="8/6/2026"/>
    <s v="8/6/2026"/>
    <m/>
    <m/>
    <s v="Collect"/>
    <s v="654"/>
    <s v="540"/>
    <s v="25"/>
    <s v="7/9/2026"/>
    <x v="1"/>
    <x v="1"/>
    <s v="7/30/2026"/>
    <s v="Y"/>
    <s v="KeHE\LMRamirez"/>
    <x v="0"/>
    <s v="GREEN SPOON SALES"/>
    <s v="8 26 VITAHBA SEPTEMBER AD"/>
    <s v="2109"/>
    <s v="CENTER"/>
    <s v="44"/>
    <s v="BRYAN BURKLIN"/>
    <s v="214030"/>
    <s v="DIVA FAM INC"/>
    <s v="270"/>
    <s v="Christine Casey"/>
    <s v="2702518778"/>
    <s v="D"/>
    <s v="DRY"/>
    <s v="false"/>
    <s v="false"/>
    <s v="false"/>
    <s v="22"/>
    <s v="12/11/2025"/>
    <s v="false"/>
    <s v="1"/>
    <s v="4"/>
    <m/>
    <s v="CURR_UNIT_STKOUT"/>
    <s v="12345"/>
    <s v="1"/>
    <s v="DAY"/>
    <s v="180"/>
    <s v="84"/>
    <x v="0"/>
  </r>
  <r>
    <x v="3"/>
    <x v="0"/>
    <s v="593804"/>
    <x v="0"/>
    <x v="1"/>
    <s v="27850077732485"/>
    <x v="5"/>
    <x v="0"/>
    <x v="5"/>
    <s v="N"/>
    <s v=""/>
    <s v="FO"/>
    <s v="16"/>
    <s v="6"/>
    <s v="FUTURE EVENT - PO REQUIRED BY 7/30/2026"/>
    <s v="GREEN"/>
    <s v="0"/>
    <s v="0"/>
    <s v="0"/>
    <n v="1535.04"/>
    <n v="96"/>
    <s v="0"/>
    <s v="1"/>
    <s v="0"/>
    <s v="1"/>
    <x v="6"/>
    <s v="8/6/2026"/>
    <s v="8/6/2026"/>
    <m/>
    <m/>
    <s v="Collect"/>
    <s v="534"/>
    <s v="360"/>
    <s v="25"/>
    <s v="7/9/2026"/>
    <x v="1"/>
    <x v="1"/>
    <s v="7/30/2026"/>
    <s v="Y"/>
    <s v="KeHE\LMRamirez"/>
    <x v="0"/>
    <s v="GREEN SPOON SALES"/>
    <s v="8 26 VITAHBA SEPTEMBER AD"/>
    <s v="2109"/>
    <s v="CENTER"/>
    <s v="44"/>
    <s v="BRYAN BURKLIN"/>
    <s v="214030"/>
    <s v="DIVA FAM INC"/>
    <s v="270"/>
    <s v="Christine Casey"/>
    <s v="2702607905"/>
    <s v="D"/>
    <s v="DRY"/>
    <s v="false"/>
    <s v="false"/>
    <s v="false"/>
    <s v="22"/>
    <s v="5/9/2026"/>
    <s v="false"/>
    <s v="1"/>
    <s v="4"/>
    <m/>
    <s v="CURR_UNIT_STKOUT"/>
    <s v="12345"/>
    <s v="1"/>
    <s v="DAY"/>
    <s v="18"/>
    <s v="15"/>
    <x v="0"/>
  </r>
  <r>
    <x v="4"/>
    <x v="0"/>
    <s v="593804"/>
    <x v="0"/>
    <x v="1"/>
    <s v="31888025186387"/>
    <x v="3"/>
    <x v="0"/>
    <x v="3"/>
    <s v="N"/>
    <s v=""/>
    <s v="FO"/>
    <s v="16"/>
    <s v="6"/>
    <s v="FUTURE EVENT - PO REQUIRED BY 7/30/2026"/>
    <s v="GREEN"/>
    <s v="0"/>
    <s v="0"/>
    <s v="0"/>
    <n v="4605.12"/>
    <n v="288"/>
    <s v="0"/>
    <s v="1"/>
    <s v="0"/>
    <s v="1"/>
    <x v="7"/>
    <s v="7/31/2026"/>
    <s v="7/31/2026"/>
    <m/>
    <m/>
    <s v="Collect"/>
    <s v="858"/>
    <s v="1080"/>
    <s v="25"/>
    <s v="7/9/2026"/>
    <x v="1"/>
    <x v="1"/>
    <s v="7/30/2026"/>
    <s v="Y"/>
    <s v="KeHE\LMRamirez"/>
    <x v="0"/>
    <s v="GREEN SPOON SALES"/>
    <s v="8 26 VITAHBA SEPTEMBER AD"/>
    <s v="2109"/>
    <s v="CENTER"/>
    <s v="44"/>
    <s v="BRYAN BURKLIN"/>
    <s v="214030"/>
    <s v="DIVA FAM INC"/>
    <s v="270"/>
    <s v="Christine Casey"/>
    <s v="3102518638"/>
    <s v="D"/>
    <s v="DRY"/>
    <s v="false"/>
    <s v="false"/>
    <s v="false"/>
    <s v="22"/>
    <s v="12/11/2025"/>
    <s v="false"/>
    <s v="3"/>
    <s v="4"/>
    <m/>
    <s v="CURR_UNIT_STKOUT"/>
    <s v="12345"/>
    <s v="1"/>
    <s v="DAY"/>
    <s v="180"/>
    <s v="125"/>
    <x v="0"/>
  </r>
  <r>
    <x v="1"/>
    <x v="0"/>
    <s v="593804"/>
    <x v="0"/>
    <x v="1"/>
    <s v="14888025187780"/>
    <x v="4"/>
    <x v="0"/>
    <x v="4"/>
    <s v="N"/>
    <s v=""/>
    <s v="FO"/>
    <s v="16"/>
    <s v="6"/>
    <s v="FUTURE EVENT - PO REQUIRED BY 7/29/2026"/>
    <s v="GREEN"/>
    <s v="0"/>
    <s v="0"/>
    <s v="0"/>
    <n v="4221.3599999999997"/>
    <n v="264"/>
    <s v="0"/>
    <s v="1"/>
    <s v="0"/>
    <s v="1"/>
    <x v="14"/>
    <s v="8/17/2026"/>
    <s v="8/17/2026"/>
    <m/>
    <m/>
    <s v="Collect"/>
    <s v="1116"/>
    <s v="180"/>
    <s v="25"/>
    <s v="7/9/2026"/>
    <x v="1"/>
    <x v="1"/>
    <s v="7/29/2026"/>
    <s v="Y"/>
    <s v="KeHE\LMRamirez"/>
    <x v="0"/>
    <s v="GREEN SPOON SALES"/>
    <s v="8 26 VITAHBA SEPTEMBER AD"/>
    <s v="2109"/>
    <s v="CENTER"/>
    <s v="84"/>
    <s v="EWELINA WISZOWATA"/>
    <s v="214030"/>
    <s v="DIVA FAM INC"/>
    <s v="270"/>
    <s v="Christine Casey"/>
    <s v="1402518778"/>
    <s v="D"/>
    <s v="DRY"/>
    <s v="false"/>
    <s v="false"/>
    <s v="false"/>
    <s v="23"/>
    <s v="12/11/2025"/>
    <s v="true"/>
    <s v="0"/>
    <s v="1"/>
    <m/>
    <s v="CURR_UNIT_STKOUT"/>
    <s v="12345"/>
    <s v="1"/>
    <s v="DAY"/>
    <s v="180"/>
    <s v="100"/>
    <x v="0"/>
  </r>
  <r>
    <x v="1"/>
    <x v="0"/>
    <s v="593804"/>
    <x v="0"/>
    <x v="1"/>
    <s v="14850077732485"/>
    <x v="5"/>
    <x v="0"/>
    <x v="5"/>
    <s v="N"/>
    <s v=""/>
    <s v="FO"/>
    <s v="16"/>
    <s v="6"/>
    <s v="FUTURE EVENT - PO REQUIRED BY 7/29/2026"/>
    <s v="GREEN"/>
    <s v="0"/>
    <s v="0"/>
    <s v="0"/>
    <n v="7291.44"/>
    <n v="456"/>
    <s v="0"/>
    <s v="1"/>
    <s v="0"/>
    <s v="1"/>
    <x v="15"/>
    <s v="7/30/2026"/>
    <s v="7/30/2026"/>
    <m/>
    <m/>
    <s v="Collect"/>
    <s v="768"/>
    <s v="720"/>
    <s v="25"/>
    <s v="7/9/2026"/>
    <x v="1"/>
    <x v="1"/>
    <s v="7/29/2026"/>
    <s v="Y"/>
    <s v="KeHE\LMRamirez"/>
    <x v="0"/>
    <s v="GREEN SPOON SALES"/>
    <s v="8 26 VITAHBA SEPTEMBER AD"/>
    <s v="2109"/>
    <s v="CENTER"/>
    <s v="84"/>
    <s v="EWELINA WISZOWATA"/>
    <s v="214030"/>
    <s v="DIVA FAM INC"/>
    <s v="270"/>
    <s v="Christine Casey"/>
    <s v="1402607905"/>
    <s v="D"/>
    <s v="DRY"/>
    <s v="false"/>
    <s v="false"/>
    <s v="false"/>
    <s v="23"/>
    <s v="5/9/2026"/>
    <s v="true"/>
    <s v="0"/>
    <s v="1"/>
    <m/>
    <s v="CURR_UNIT_STKOUT"/>
    <s v="12345"/>
    <s v="1"/>
    <s v="DAY"/>
    <s v="180"/>
    <s v="44"/>
    <x v="0"/>
  </r>
  <r>
    <x v="1"/>
    <x v="0"/>
    <s v="594578"/>
    <x v="0"/>
    <x v="0"/>
    <s v="14850077732096"/>
    <x v="2"/>
    <x v="0"/>
    <x v="2"/>
    <s v="T"/>
    <s v=""/>
    <s v="FO"/>
    <s v="12"/>
    <s v="12"/>
    <s v="ON PO - ETA BEFORE PROMO END"/>
    <s v="YELLOW"/>
    <s v="0"/>
    <s v="660"/>
    <s v="0"/>
    <n v="3336.84"/>
    <n v="1116"/>
    <s v="660"/>
    <s v="1"/>
    <s v="0"/>
    <s v="1"/>
    <x v="12"/>
    <s v="8/4/2026"/>
    <s v="8/4/2026"/>
    <m/>
    <m/>
    <s v="Collect"/>
    <s v="36"/>
    <s v="2856"/>
    <m/>
    <s v="7/13/2026"/>
    <x v="0"/>
    <x v="0"/>
    <m/>
    <s v="N"/>
    <s v="KeHE\LMRamirez"/>
    <x v="0"/>
    <s v="GREEN SPOON SALES"/>
    <s v="7 29 AUGUST AD"/>
    <s v="2108"/>
    <s v="CENTER"/>
    <s v="84"/>
    <s v="EWELINA WISZOWATA"/>
    <s v="214030"/>
    <s v="DIVA FAM INC"/>
    <s v="540"/>
    <s v="Christine Casey"/>
    <s v="1402600123"/>
    <s v="D"/>
    <s v="DRY"/>
    <s v="false"/>
    <s v="false"/>
    <s v="false"/>
    <s v="23"/>
    <s v="1/13/2026"/>
    <s v="true"/>
    <s v="0"/>
    <s v="1"/>
    <m/>
    <s v="CURR_UNIT_STKOUT"/>
    <s v="12345"/>
    <s v="1"/>
    <s v="DAY"/>
    <s v="408"/>
    <s v="333"/>
    <x v="1"/>
  </r>
  <r>
    <x v="5"/>
    <x v="0"/>
    <s v="594578"/>
    <x v="0"/>
    <x v="0"/>
    <s v="33850077732249"/>
    <x v="1"/>
    <x v="0"/>
    <x v="1"/>
    <s v="N"/>
    <s v=""/>
    <s v="FO"/>
    <s v="12"/>
    <s v="12"/>
    <s v="ON PO - ETA BEFORE PROMO END"/>
    <s v="YELLOW"/>
    <s v="0"/>
    <s v="408"/>
    <s v="0"/>
    <n v="2224.56"/>
    <n v="744"/>
    <s v="408"/>
    <s v="1"/>
    <s v="0"/>
    <s v="1"/>
    <x v="1"/>
    <s v="7/31/2026"/>
    <s v="7/31/2026"/>
    <m/>
    <m/>
    <s v="Collect"/>
    <s v="852"/>
    <s v="1020"/>
    <m/>
    <s v="7/13/2026"/>
    <x v="0"/>
    <x v="0"/>
    <m/>
    <s v="N"/>
    <s v="KeHE\LMRamirez"/>
    <x v="0"/>
    <s v="GREEN SPOON SALES"/>
    <s v="7 29 AUGUST AD"/>
    <s v="2108"/>
    <s v="CENTER"/>
    <s v="84"/>
    <s v="EWELINA WISZOWATA"/>
    <s v="214030"/>
    <s v="DIVA FAM INC"/>
    <s v="540"/>
    <s v="Christine Casey"/>
    <s v="3302600122"/>
    <s v="D"/>
    <s v="DRY"/>
    <s v="false"/>
    <s v="false"/>
    <s v="false"/>
    <s v="17"/>
    <s v="1/13/2026"/>
    <s v="false"/>
    <s v="2"/>
    <s v="3"/>
    <m/>
    <s v="CURR_UNIT_STKOUT"/>
    <s v="12345"/>
    <s v="1"/>
    <s v="DAY"/>
    <s v="408"/>
    <s v="250"/>
    <x v="0"/>
  </r>
  <r>
    <x v="6"/>
    <x v="0"/>
    <s v="594578"/>
    <x v="0"/>
    <x v="0"/>
    <s v="41850077732256"/>
    <x v="0"/>
    <x v="0"/>
    <x v="0"/>
    <s v="N"/>
    <s v=""/>
    <s v="FO"/>
    <s v="12"/>
    <s v="12"/>
    <s v="ON PO - ETA BEFORE PROMO END"/>
    <s v="YELLOW"/>
    <s v="0"/>
    <s v="1236"/>
    <s v="0"/>
    <n v="6386.64"/>
    <n v="2136"/>
    <s v="1236"/>
    <s v="1"/>
    <s v="0"/>
    <s v="1"/>
    <x v="2"/>
    <s v="8/3/2026"/>
    <s v="8/3/2026"/>
    <m/>
    <m/>
    <s v="Collect"/>
    <s v="1224"/>
    <s v="3468"/>
    <m/>
    <s v="7/13/2026"/>
    <x v="0"/>
    <x v="0"/>
    <m/>
    <s v="N"/>
    <s v="KeHE\LMRamirez"/>
    <x v="0"/>
    <s v="GREEN SPOON SALES"/>
    <s v="7 29 AUGUST AD"/>
    <s v="2108"/>
    <s v="CENTER"/>
    <s v="84"/>
    <s v="EWELINA WISZOWATA"/>
    <s v="214030"/>
    <s v="DIVA FAM INC"/>
    <s v="540"/>
    <s v="Christine Casey"/>
    <s v="4102519175"/>
    <s v="D"/>
    <s v="DRY"/>
    <s v="false"/>
    <s v="false"/>
    <s v="false"/>
    <s v="19"/>
    <s v="1/13/2026"/>
    <s v="true"/>
    <s v="-4"/>
    <s v="-4"/>
    <m/>
    <s v="CURR_UNIT_STKOUT"/>
    <s v="12345"/>
    <s v="1"/>
    <s v="DAY"/>
    <s v="1428"/>
    <s v="1303"/>
    <x v="0"/>
  </r>
  <r>
    <x v="2"/>
    <x v="0"/>
    <s v="594578"/>
    <x v="0"/>
    <x v="0"/>
    <s v="19850077732096"/>
    <x v="2"/>
    <x v="0"/>
    <x v="2"/>
    <s v="T"/>
    <s v=""/>
    <s v="FO"/>
    <s v="12"/>
    <s v="12"/>
    <s v="PRODUCT ON HAND"/>
    <s v="GREEN"/>
    <s v="0"/>
    <s v="732"/>
    <s v="0"/>
    <n v="4054.44"/>
    <n v="1356"/>
    <s v="720"/>
    <s v="1"/>
    <s v="0"/>
    <s v="1"/>
    <x v="0"/>
    <m/>
    <m/>
    <m/>
    <m/>
    <m/>
    <s v="2220"/>
    <s v="1836"/>
    <m/>
    <s v="7/13/2026"/>
    <x v="0"/>
    <x v="0"/>
    <m/>
    <s v="N"/>
    <s v="KeHE\LMRamirez"/>
    <x v="0"/>
    <s v="GREEN SPOON SALES"/>
    <s v="7 29 AUGUST AD"/>
    <s v="2108"/>
    <s v="CENTER"/>
    <s v="84"/>
    <s v="EWELINA WISZOWATA"/>
    <s v="214030"/>
    <s v="DIVA FAM INC"/>
    <s v="540"/>
    <s v="Christine Casey"/>
    <s v="1902600123"/>
    <s v="D"/>
    <s v="DRY"/>
    <s v="false"/>
    <s v="false"/>
    <s v="false"/>
    <s v="21"/>
    <s v="1/13/2026"/>
    <s v="false"/>
    <s v="2"/>
    <s v="2"/>
    <m/>
    <s v="CURR_UNIT_STKOUT"/>
    <s v="12345"/>
    <s v="1"/>
    <s v="DAY"/>
    <s v="0"/>
    <s v="0"/>
    <x v="1"/>
  </r>
  <r>
    <x v="7"/>
    <x v="0"/>
    <s v="594578"/>
    <x v="0"/>
    <x v="0"/>
    <s v="55850077732249"/>
    <x v="1"/>
    <x v="0"/>
    <x v="1"/>
    <s v="N"/>
    <s v=""/>
    <s v="FO"/>
    <s v="12"/>
    <s v="12"/>
    <s v="PRODUCT ON HAND"/>
    <s v="GREEN"/>
    <s v="0"/>
    <s v="372"/>
    <s v="0"/>
    <n v="2045.16"/>
    <n v="684"/>
    <s v="372"/>
    <s v="1"/>
    <s v="0"/>
    <s v="1"/>
    <x v="0"/>
    <m/>
    <m/>
    <m/>
    <m/>
    <m/>
    <s v="1368"/>
    <s v="1428"/>
    <m/>
    <s v="7/13/2026"/>
    <x v="0"/>
    <x v="0"/>
    <m/>
    <s v="N"/>
    <s v="KeHE\LMRamirez"/>
    <x v="0"/>
    <s v="GREEN SPOON SALES"/>
    <s v="7 29 AUGUST AD"/>
    <s v="2108"/>
    <s v="CENTER"/>
    <s v="44"/>
    <s v="BRYAN BURKLIN"/>
    <s v="214030"/>
    <s v="DIVA FAM INC"/>
    <s v="540"/>
    <s v="Christine Casey"/>
    <s v="5502600122"/>
    <s v="D"/>
    <s v="DRY"/>
    <s v="false"/>
    <s v="false"/>
    <s v="false"/>
    <s v="21"/>
    <s v="1/13/2026"/>
    <s v="false"/>
    <s v="7"/>
    <s v="8"/>
    <m/>
    <s v="CURR_UNIT_STKOUT"/>
    <s v="12345"/>
    <s v="1"/>
    <s v="DAY"/>
    <s v="0"/>
    <s v="0"/>
    <x v="0"/>
  </r>
  <r>
    <x v="0"/>
    <x v="0"/>
    <s v="594578"/>
    <x v="0"/>
    <x v="0"/>
    <s v="12850077732096"/>
    <x v="2"/>
    <x v="0"/>
    <x v="2"/>
    <s v="T"/>
    <s v=""/>
    <s v="FO"/>
    <s v="12"/>
    <s v="12"/>
    <s v="PRODUCT ON HAND"/>
    <s v="GREEN"/>
    <s v="0"/>
    <s v="408"/>
    <s v="0"/>
    <n v="2224.56"/>
    <n v="744"/>
    <s v="396"/>
    <s v="1"/>
    <s v="0"/>
    <s v="0"/>
    <x v="0"/>
    <m/>
    <m/>
    <m/>
    <m/>
    <m/>
    <s v="1872"/>
    <s v="0"/>
    <m/>
    <s v="7/13/2026"/>
    <x v="0"/>
    <x v="0"/>
    <m/>
    <s v="N"/>
    <s v="KeHE\LMRamirez"/>
    <x v="0"/>
    <s v="GREEN SPOON SALES"/>
    <s v="7 29 AUGUST AD"/>
    <s v="2108"/>
    <s v="CENTER"/>
    <s v="84"/>
    <s v="EWELINA WISZOWATA"/>
    <s v="214030"/>
    <s v="DIVA FAM INC"/>
    <s v="540"/>
    <s v="Christine Casey"/>
    <s v="1202600123"/>
    <s v="D"/>
    <s v="DRY"/>
    <s v="false"/>
    <s v="false"/>
    <s v="false"/>
    <s v="20"/>
    <s v="1/13/2026"/>
    <s v="true"/>
    <s v="-1"/>
    <s v="1"/>
    <m/>
    <s v="CURR_UNIT_STKOUT"/>
    <s v="12345"/>
    <s v="1"/>
    <s v="DAY"/>
    <s v="0"/>
    <s v="0"/>
    <x v="1"/>
  </r>
  <r>
    <x v="7"/>
    <x v="0"/>
    <s v="594578"/>
    <x v="0"/>
    <x v="0"/>
    <s v="55850077732096"/>
    <x v="2"/>
    <x v="0"/>
    <x v="2"/>
    <s v="N"/>
    <s v=""/>
    <s v="FO"/>
    <s v="12"/>
    <s v="12"/>
    <s v="ON PO - ETA BEFORE PROMO END"/>
    <s v="YELLOW"/>
    <s v="0"/>
    <s v="372"/>
    <s v="0"/>
    <n v="2045.16"/>
    <n v="684"/>
    <s v="372"/>
    <s v="1"/>
    <s v="0"/>
    <s v="1"/>
    <x v="16"/>
    <s v="8/5/2026"/>
    <s v="8/5/2026"/>
    <m/>
    <m/>
    <s v="Collect"/>
    <s v="912"/>
    <s v="2856"/>
    <m/>
    <s v="7/13/2026"/>
    <x v="0"/>
    <x v="0"/>
    <m/>
    <s v="N"/>
    <s v="KeHE\LMRamirez"/>
    <x v="0"/>
    <s v="GREEN SPOON SALES"/>
    <s v="7 29 AUGUST AD"/>
    <s v="2108"/>
    <s v="CENTER"/>
    <s v="44"/>
    <s v="BRYAN BURKLIN"/>
    <s v="214030"/>
    <s v="DIVA FAM INC"/>
    <s v="540"/>
    <s v="Christine Casey"/>
    <s v="5502600123"/>
    <s v="D"/>
    <s v="DRY"/>
    <s v="false"/>
    <s v="false"/>
    <s v="false"/>
    <s v="21"/>
    <s v="1/13/2026"/>
    <s v="false"/>
    <s v="7"/>
    <s v="8"/>
    <m/>
    <s v="CURR_UNIT_STKOUT"/>
    <s v="12345"/>
    <s v="1"/>
    <s v="DAY"/>
    <s v="0"/>
    <s v="0"/>
    <x v="0"/>
  </r>
  <r>
    <x v="2"/>
    <x v="0"/>
    <s v="593804"/>
    <x v="0"/>
    <x v="1"/>
    <s v="19850077732096"/>
    <x v="2"/>
    <x v="0"/>
    <x v="2"/>
    <s v="T"/>
    <s v=""/>
    <s v="FO"/>
    <s v="12"/>
    <s v="12"/>
    <s v="FUTURE EVENT - PO REQUIRED BY 7/31/2026"/>
    <s v="GREEN"/>
    <s v="0"/>
    <s v="0"/>
    <s v="0"/>
    <n v="1722.24"/>
    <n v="576"/>
    <s v="0"/>
    <s v="1"/>
    <s v="0"/>
    <s v="1"/>
    <x v="10"/>
    <s v="8/5/2026"/>
    <s v="8/5/2026"/>
    <m/>
    <m/>
    <s v="Collect"/>
    <s v="2220"/>
    <s v="1836"/>
    <s v="25"/>
    <s v="7/9/2026"/>
    <x v="1"/>
    <x v="1"/>
    <s v="7/31/2026"/>
    <s v="Y"/>
    <s v="KeHE\LMRamirez"/>
    <x v="0"/>
    <s v="GREEN SPOON SALES"/>
    <s v="8 26 VITAHBA SEPTEMBER AD"/>
    <s v="2109"/>
    <s v="CENTER"/>
    <s v="84"/>
    <s v="EWELINA WISZOWATA"/>
    <s v="214030"/>
    <s v="DIVA FAM INC"/>
    <s v="540"/>
    <s v="Christine Casey"/>
    <s v="1902600123"/>
    <s v="D"/>
    <s v="DRY"/>
    <s v="false"/>
    <s v="false"/>
    <s v="false"/>
    <s v="21"/>
    <s v="1/13/2026"/>
    <s v="false"/>
    <s v="2"/>
    <s v="2"/>
    <m/>
    <s v="CURR_UNIT_STKOUT"/>
    <s v="12345"/>
    <s v="1"/>
    <s v="DAY"/>
    <s v="0"/>
    <s v="0"/>
    <x v="1"/>
  </r>
  <r>
    <x v="7"/>
    <x v="0"/>
    <s v="593804"/>
    <x v="0"/>
    <x v="1"/>
    <s v="55888025186387"/>
    <x v="3"/>
    <x v="0"/>
    <x v="3"/>
    <s v="N"/>
    <s v=""/>
    <s v="FO"/>
    <s v="16"/>
    <s v="6"/>
    <s v="FUTURE EVENT - PO REQUIRED BY 7/31/2026"/>
    <s v="GREEN"/>
    <s v="0"/>
    <s v="0"/>
    <s v="0"/>
    <n v="2782.26"/>
    <n v="174"/>
    <s v="0"/>
    <s v="1"/>
    <s v="0"/>
    <s v="1"/>
    <x v="5"/>
    <s v="7/27/2026"/>
    <s v="7/29/2026"/>
    <m/>
    <s v="7/27/2026"/>
    <s v="Collect"/>
    <s v="822"/>
    <s v="1620"/>
    <s v="25"/>
    <s v="7/9/2026"/>
    <x v="1"/>
    <x v="1"/>
    <s v="7/31/2026"/>
    <s v="Y"/>
    <s v="KeHE\LMRamirez"/>
    <x v="0"/>
    <s v="GREEN SPOON SALES"/>
    <s v="8 26 VITAHBA SEPTEMBER AD"/>
    <s v="2109"/>
    <s v="CENTER"/>
    <s v="44"/>
    <s v="BRYAN BURKLIN"/>
    <s v="214030"/>
    <s v="DIVA FAM INC"/>
    <s v="270"/>
    <s v="Christine Casey"/>
    <s v="5502518638"/>
    <s v="D"/>
    <s v="DRY"/>
    <s v="false"/>
    <s v="false"/>
    <s v="false"/>
    <s v="21"/>
    <s v="12/11/2025"/>
    <s v="false"/>
    <s v="7"/>
    <s v="8"/>
    <m/>
    <s v="CURR_UNIT_STKOUT"/>
    <s v="12345"/>
    <s v="1"/>
    <s v="DAY"/>
    <s v="0"/>
    <s v="0"/>
    <x v="0"/>
  </r>
  <r>
    <x v="7"/>
    <x v="0"/>
    <s v="593804"/>
    <x v="0"/>
    <x v="1"/>
    <s v="55888025187780"/>
    <x v="4"/>
    <x v="0"/>
    <x v="4"/>
    <s v="N"/>
    <s v=""/>
    <s v="FO"/>
    <s v="16"/>
    <s v="6"/>
    <s v="FUTURE EVENT - PO REQUIRED BY 7/31/2026"/>
    <s v="GREEN"/>
    <s v="0"/>
    <s v="0"/>
    <s v="0"/>
    <n v="2398.5"/>
    <n v="150"/>
    <s v="0"/>
    <s v="1"/>
    <s v="0"/>
    <s v="1"/>
    <x v="5"/>
    <s v="7/27/2026"/>
    <s v="7/29/2026"/>
    <m/>
    <s v="7/27/2026"/>
    <s v="Collect"/>
    <s v="588"/>
    <s v="1260"/>
    <s v="25"/>
    <s v="7/9/2026"/>
    <x v="1"/>
    <x v="1"/>
    <s v="7/31/2026"/>
    <s v="Y"/>
    <s v="KeHE\LMRamirez"/>
    <x v="0"/>
    <s v="GREEN SPOON SALES"/>
    <s v="8 26 VITAHBA SEPTEMBER AD"/>
    <s v="2109"/>
    <s v="CENTER"/>
    <s v="44"/>
    <s v="BRYAN BURKLIN"/>
    <s v="214030"/>
    <s v="DIVA FAM INC"/>
    <s v="270"/>
    <s v="Christine Casey"/>
    <s v="5502518778"/>
    <s v="D"/>
    <s v="DRY"/>
    <s v="false"/>
    <s v="false"/>
    <s v="false"/>
    <s v="21"/>
    <s v="12/11/2025"/>
    <s v="false"/>
    <s v="7"/>
    <s v="8"/>
    <m/>
    <s v="CURR_UNIT_STKOUT"/>
    <s v="12345"/>
    <s v="1"/>
    <s v="DAY"/>
    <s v="0"/>
    <s v="0"/>
    <x v="0"/>
  </r>
  <r>
    <x v="5"/>
    <x v="0"/>
    <s v="593804"/>
    <x v="0"/>
    <x v="1"/>
    <s v="33850077732485"/>
    <x v="5"/>
    <x v="0"/>
    <x v="5"/>
    <s v="N"/>
    <s v=""/>
    <s v="FO"/>
    <s v="16"/>
    <s v="6"/>
    <s v="FUTURE EVENT - PO REQUIRED BY 8/4/2026"/>
    <s v="GREEN"/>
    <s v="0"/>
    <s v="0"/>
    <s v="0"/>
    <n v="4413.24"/>
    <n v="276"/>
    <s v="0"/>
    <s v="1"/>
    <s v="0"/>
    <s v="1"/>
    <x v="17"/>
    <s v="8/4/2026"/>
    <s v="7/27/2026"/>
    <m/>
    <m/>
    <s v="Collect"/>
    <s v="264"/>
    <s v="900"/>
    <s v="25"/>
    <s v="7/9/2026"/>
    <x v="1"/>
    <x v="1"/>
    <s v="8/4/2026"/>
    <s v="Y"/>
    <s v="KeHE\LMRamirez"/>
    <x v="0"/>
    <s v="GREEN SPOON SALES"/>
    <s v="8 26 VITAHBA SEPTEMBER AD"/>
    <s v="2109"/>
    <s v="CENTER"/>
    <s v="84"/>
    <s v="EWELINA WISZOWATA"/>
    <s v="214030"/>
    <s v="DIVA FAM INC"/>
    <s v="270"/>
    <s v="Christine Casey"/>
    <s v="3302607905"/>
    <s v="D"/>
    <s v="DRY"/>
    <s v="false"/>
    <s v="false"/>
    <s v="false"/>
    <s v="17"/>
    <s v="5/9/2026"/>
    <s v="false"/>
    <s v="2"/>
    <s v="3"/>
    <m/>
    <s v="CURR_UNIT_STKOUT"/>
    <s v="12345"/>
    <s v="1"/>
    <s v="DAY"/>
    <s v="0"/>
    <s v="0"/>
    <x v="0"/>
  </r>
  <r>
    <x v="7"/>
    <x v="0"/>
    <s v="593804"/>
    <x v="0"/>
    <x v="1"/>
    <s v="55850077732249"/>
    <x v="1"/>
    <x v="0"/>
    <x v="1"/>
    <s v="N"/>
    <s v=""/>
    <s v="FO"/>
    <s v="12"/>
    <s v="12"/>
    <s v="FUTURE EVENT - PO REQUIRED BY 7/31/2026"/>
    <s v="GREEN"/>
    <s v="0"/>
    <s v="0"/>
    <s v="0"/>
    <n v="897"/>
    <n v="300"/>
    <s v="0"/>
    <s v="1"/>
    <s v="0"/>
    <s v="1"/>
    <x v="16"/>
    <s v="8/5/2026"/>
    <s v="8/5/2026"/>
    <m/>
    <m/>
    <s v="Collect"/>
    <s v="1368"/>
    <s v="1428"/>
    <s v="25"/>
    <s v="7/9/2026"/>
    <x v="1"/>
    <x v="1"/>
    <s v="7/31/2026"/>
    <s v="Y"/>
    <s v="KeHE\LMRamirez"/>
    <x v="0"/>
    <s v="GREEN SPOON SALES"/>
    <s v="8 26 VITAHBA SEPTEMBER AD"/>
    <s v="2109"/>
    <s v="CENTER"/>
    <s v="44"/>
    <s v="BRYAN BURKLIN"/>
    <s v="214030"/>
    <s v="DIVA FAM INC"/>
    <s v="540"/>
    <s v="Christine Casey"/>
    <s v="5502600122"/>
    <s v="D"/>
    <s v="DRY"/>
    <s v="false"/>
    <s v="false"/>
    <s v="false"/>
    <s v="21"/>
    <s v="1/13/2026"/>
    <s v="false"/>
    <s v="7"/>
    <s v="8"/>
    <m/>
    <s v="CURR_UNIT_STKOUT"/>
    <s v="12345"/>
    <s v="1"/>
    <s v="DAY"/>
    <s v="0"/>
    <s v="0"/>
    <x v="0"/>
  </r>
  <r>
    <x v="7"/>
    <x v="0"/>
    <s v="593804"/>
    <x v="0"/>
    <x v="1"/>
    <s v="55850077732096"/>
    <x v="2"/>
    <x v="0"/>
    <x v="2"/>
    <s v="N"/>
    <s v=""/>
    <s v="FO"/>
    <s v="12"/>
    <s v="12"/>
    <s v="FUTURE EVENT - PO REQUIRED BY 7/31/2026"/>
    <s v="GREEN"/>
    <s v="0"/>
    <s v="0"/>
    <s v="0"/>
    <n v="897"/>
    <n v="300"/>
    <s v="0"/>
    <s v="1"/>
    <s v="0"/>
    <s v="1"/>
    <x v="16"/>
    <s v="8/5/2026"/>
    <s v="8/5/2026"/>
    <m/>
    <m/>
    <s v="Collect"/>
    <s v="912"/>
    <s v="2856"/>
    <s v="25"/>
    <s v="7/9/2026"/>
    <x v="1"/>
    <x v="1"/>
    <s v="7/31/2026"/>
    <s v="Y"/>
    <s v="KeHE\LMRamirez"/>
    <x v="0"/>
    <s v="GREEN SPOON SALES"/>
    <s v="8 26 VITAHBA SEPTEMBER AD"/>
    <s v="2109"/>
    <s v="CENTER"/>
    <s v="44"/>
    <s v="BRYAN BURKLIN"/>
    <s v="214030"/>
    <s v="DIVA FAM INC"/>
    <s v="540"/>
    <s v="Christine Casey"/>
    <s v="5502600123"/>
    <s v="D"/>
    <s v="DRY"/>
    <s v="false"/>
    <s v="false"/>
    <s v="false"/>
    <s v="21"/>
    <s v="1/13/2026"/>
    <s v="false"/>
    <s v="7"/>
    <s v="8"/>
    <m/>
    <s v="CURR_UNIT_STKOUT"/>
    <s v="12345"/>
    <s v="1"/>
    <s v="DAY"/>
    <s v="0"/>
    <s v="0"/>
    <x v="0"/>
  </r>
  <r>
    <x v="7"/>
    <x v="0"/>
    <s v="593804"/>
    <x v="0"/>
    <x v="1"/>
    <s v="55850077732485"/>
    <x v="5"/>
    <x v="0"/>
    <x v="5"/>
    <s v="N"/>
    <s v=""/>
    <s v="FO"/>
    <s v="16"/>
    <s v="6"/>
    <s v="FUTURE EVENT - PO REQUIRED BY 7/31/2026"/>
    <s v="GREEN"/>
    <s v="0"/>
    <s v="0"/>
    <s v="0"/>
    <n v="4797"/>
    <n v="300"/>
    <s v="0"/>
    <s v="1"/>
    <s v="0"/>
    <s v="1"/>
    <x v="18"/>
    <s v="7/31/2026"/>
    <s v="7/31/2026"/>
    <m/>
    <m/>
    <s v="Collect"/>
    <s v="246"/>
    <s v="1260"/>
    <s v="25"/>
    <s v="7/9/2026"/>
    <x v="1"/>
    <x v="1"/>
    <s v="7/31/2026"/>
    <s v="Y"/>
    <s v="KeHE\LMRamirez"/>
    <x v="0"/>
    <s v="GREEN SPOON SALES"/>
    <s v="8 26 VITAHBA SEPTEMBER AD"/>
    <s v="2109"/>
    <s v="CENTER"/>
    <s v="44"/>
    <s v="BRYAN BURKLIN"/>
    <s v="214030"/>
    <s v="DIVA FAM INC"/>
    <s v="270"/>
    <s v="Christine Casey"/>
    <s v="5502607905"/>
    <s v="D"/>
    <s v="DRY"/>
    <s v="false"/>
    <s v="false"/>
    <s v="false"/>
    <s v="21"/>
    <s v="5/9/2026"/>
    <s v="false"/>
    <s v="7"/>
    <s v="8"/>
    <m/>
    <s v="CURR_UNIT_STKOUT"/>
    <s v="12345"/>
    <s v="1"/>
    <s v="DAY"/>
    <s v="0"/>
    <s v="0"/>
    <x v="0"/>
  </r>
  <r>
    <x v="4"/>
    <x v="0"/>
    <s v="593804"/>
    <x v="0"/>
    <x v="1"/>
    <s v="31850077732249"/>
    <x v="1"/>
    <x v="0"/>
    <x v="1"/>
    <s v="N"/>
    <s v=""/>
    <s v="FO"/>
    <s v="12"/>
    <s v="12"/>
    <s v="FUTURE EVENT - PO REQUIRED BY 7/30/2026"/>
    <s v="GREEN"/>
    <s v="0"/>
    <s v="0"/>
    <s v="0"/>
    <n v="1148.1600000000001"/>
    <n v="384"/>
    <s v="0"/>
    <s v="1"/>
    <s v="0"/>
    <s v="1"/>
    <x v="19"/>
    <s v="8/6/2026"/>
    <s v="8/6/2026"/>
    <m/>
    <m/>
    <s v="Collect"/>
    <s v="156"/>
    <s v="2652"/>
    <s v="25"/>
    <s v="7/9/2026"/>
    <x v="1"/>
    <x v="1"/>
    <s v="7/30/2026"/>
    <s v="Y"/>
    <s v="KeHE\LMRamirez"/>
    <x v="0"/>
    <s v="GREEN SPOON SALES"/>
    <s v="8 26 VITAHBA SEPTEMBER AD"/>
    <s v="2109"/>
    <s v="CENTER"/>
    <s v="44"/>
    <s v="BRYAN BURKLIN"/>
    <s v="214030"/>
    <s v="DIVA FAM INC"/>
    <s v="540"/>
    <s v="Christine Casey"/>
    <s v="3102600122"/>
    <s v="D"/>
    <s v="DRY"/>
    <s v="false"/>
    <s v="false"/>
    <s v="false"/>
    <s v="22"/>
    <s v="1/13/2026"/>
    <s v="false"/>
    <s v="3"/>
    <s v="4"/>
    <m/>
    <s v="CURR_UNIT_STKOUT"/>
    <s v="12345"/>
    <s v="1"/>
    <s v="DAY"/>
    <s v="0"/>
    <s v="0"/>
    <x v="0"/>
  </r>
  <r>
    <x v="4"/>
    <x v="0"/>
    <s v="593804"/>
    <x v="0"/>
    <x v="1"/>
    <s v="31850077732485"/>
    <x v="5"/>
    <x v="0"/>
    <x v="5"/>
    <s v="N"/>
    <s v=""/>
    <s v="FO"/>
    <s v="16"/>
    <s v="6"/>
    <s v="FUTURE EVENT - PO REQUIRED BY 7/30/2026"/>
    <s v="GREEN"/>
    <s v="0"/>
    <s v="0"/>
    <s v="0"/>
    <n v="3453.84"/>
    <n v="216"/>
    <s v="0"/>
    <s v="1"/>
    <s v="0"/>
    <s v="1"/>
    <x v="7"/>
    <s v="7/31/2026"/>
    <s v="7/31/2026"/>
    <m/>
    <m/>
    <s v="Collect"/>
    <s v="744"/>
    <s v="540"/>
    <s v="25"/>
    <s v="7/9/2026"/>
    <x v="1"/>
    <x v="1"/>
    <s v="7/30/2026"/>
    <s v="Y"/>
    <s v="KeHE\LMRamirez"/>
    <x v="0"/>
    <s v="GREEN SPOON SALES"/>
    <s v="8 26 VITAHBA SEPTEMBER AD"/>
    <s v="2109"/>
    <s v="CENTER"/>
    <s v="44"/>
    <s v="BRYAN BURKLIN"/>
    <s v="214030"/>
    <s v="DIVA FAM INC"/>
    <s v="270"/>
    <s v="Christine Casey"/>
    <s v="3102607905"/>
    <s v="D"/>
    <s v="DRY"/>
    <s v="false"/>
    <s v="false"/>
    <s v="false"/>
    <s v="22"/>
    <s v="5/9/2026"/>
    <s v="false"/>
    <s v="3"/>
    <s v="4"/>
    <m/>
    <s v="CURR_UNIT_STKOUT"/>
    <s v="12345"/>
    <s v="1"/>
    <s v="DAY"/>
    <s v="0"/>
    <s v="0"/>
    <x v="0"/>
  </r>
  <r>
    <x v="1"/>
    <x v="0"/>
    <s v="593804"/>
    <x v="0"/>
    <x v="1"/>
    <s v="14888025186387"/>
    <x v="3"/>
    <x v="0"/>
    <x v="3"/>
    <s v="N"/>
    <s v=""/>
    <s v="FO"/>
    <s v="16"/>
    <s v="6"/>
    <s v="FUTURE EVENT - PO REQUIRED BY 7/29/2026"/>
    <s v="GREEN"/>
    <s v="0"/>
    <s v="0"/>
    <s v="0"/>
    <n v="5084.82"/>
    <n v="318"/>
    <s v="0"/>
    <s v="1"/>
    <s v="0"/>
    <s v="1"/>
    <x v="15"/>
    <s v="7/30/2026"/>
    <s v="7/30/2026"/>
    <m/>
    <m/>
    <s v="Collect"/>
    <s v="618"/>
    <s v="1620"/>
    <s v="25"/>
    <s v="7/9/2026"/>
    <x v="1"/>
    <x v="1"/>
    <s v="7/29/2026"/>
    <s v="Y"/>
    <s v="KeHE\LMRamirez"/>
    <x v="0"/>
    <s v="GREEN SPOON SALES"/>
    <s v="8 26 VITAHBA SEPTEMBER AD"/>
    <s v="2109"/>
    <s v="CENTER"/>
    <s v="84"/>
    <s v="EWELINA WISZOWATA"/>
    <s v="214030"/>
    <s v="DIVA FAM INC"/>
    <s v="270"/>
    <s v="Christine Casey"/>
    <s v="1402518638"/>
    <s v="D"/>
    <s v="DRY"/>
    <s v="false"/>
    <s v="false"/>
    <s v="false"/>
    <s v="23"/>
    <s v="12/11/2025"/>
    <s v="true"/>
    <s v="0"/>
    <s v="1"/>
    <m/>
    <s v="CURR_UNIT_STKOUT"/>
    <s v="12345"/>
    <s v="1"/>
    <s v="DAY"/>
    <s v="0"/>
    <s v="0"/>
    <x v="0"/>
  </r>
  <r>
    <x v="4"/>
    <x v="0"/>
    <s v="594578"/>
    <x v="0"/>
    <x v="0"/>
    <s v="31850077732249"/>
    <x v="1"/>
    <x v="0"/>
    <x v="1"/>
    <s v="N"/>
    <s v=""/>
    <s v="FO"/>
    <s v="12"/>
    <s v="12"/>
    <s v="ON PO - ETA BEFORE PROMO END"/>
    <s v="YELLOW"/>
    <s v="0"/>
    <s v="0"/>
    <s v="0"/>
    <n v="2296.3200000000002"/>
    <n v="768"/>
    <s v="0"/>
    <s v="1"/>
    <s v="0"/>
    <s v="1"/>
    <x v="20"/>
    <s v="8/12/2026"/>
    <s v="8/12/2026"/>
    <m/>
    <m/>
    <s v="Collect"/>
    <s v="156"/>
    <s v="2652"/>
    <m/>
    <s v="7/13/2026"/>
    <x v="0"/>
    <x v="0"/>
    <m/>
    <s v="N"/>
    <s v="KeHE\LMRamirez"/>
    <x v="0"/>
    <s v="GREEN SPOON SALES"/>
    <s v="7 29 AUGUST AD"/>
    <s v="2108"/>
    <s v="CENTER"/>
    <s v="44"/>
    <s v="BRYAN BURKLIN"/>
    <s v="214030"/>
    <s v="DIVA FAM INC"/>
    <s v="540"/>
    <s v="Christine Casey"/>
    <s v="3102600122"/>
    <s v="D"/>
    <s v="DRY"/>
    <s v="false"/>
    <s v="false"/>
    <s v="false"/>
    <s v="22"/>
    <s v="1/13/2026"/>
    <s v="false"/>
    <s v="3"/>
    <s v="4"/>
    <m/>
    <s v="CURR_UNIT_STKOUT"/>
    <s v="12345"/>
    <s v="1"/>
    <s v="DAY"/>
    <s v="0"/>
    <s v="0"/>
    <x v="0"/>
  </r>
  <r>
    <x v="5"/>
    <x v="0"/>
    <s v="593804"/>
    <x v="0"/>
    <x v="1"/>
    <s v="33888025187780"/>
    <x v="4"/>
    <x v="0"/>
    <x v="4"/>
    <s v="T"/>
    <s v=""/>
    <s v="FO"/>
    <s v="16"/>
    <s v="6"/>
    <s v="FUTURE EVENT - PO REQUIRED BY 8/4/2026"/>
    <s v="GREEN"/>
    <s v="0"/>
    <s v="0"/>
    <s v="0"/>
    <n v="3166.02"/>
    <n v="198"/>
    <s v="0"/>
    <s v="1"/>
    <s v="0"/>
    <s v="0"/>
    <x v="0"/>
    <m/>
    <m/>
    <m/>
    <m/>
    <m/>
    <s v="1140"/>
    <s v="0"/>
    <s v="25"/>
    <s v="7/9/2026"/>
    <x v="1"/>
    <x v="1"/>
    <s v="8/4/2026"/>
    <s v="Y"/>
    <s v="KeHE\LMRamirez"/>
    <x v="0"/>
    <s v="GREEN SPOON SALES"/>
    <s v="8 26 VITAHBA SEPTEMBER AD"/>
    <s v="2109"/>
    <s v="CENTER"/>
    <s v="84"/>
    <s v="EWELINA WISZOWATA"/>
    <s v="214030"/>
    <s v="DIVA FAM INC"/>
    <s v="270"/>
    <s v="Christine Casey"/>
    <s v="3302518778"/>
    <s v="D"/>
    <s v="DRY"/>
    <s v="false"/>
    <s v="false"/>
    <s v="false"/>
    <s v="17"/>
    <s v="12/11/2025"/>
    <s v="false"/>
    <s v="2"/>
    <s v="3"/>
    <m/>
    <s v="CURR_UNIT_STKOUT"/>
    <s v="12345"/>
    <s v="1"/>
    <s v="DAY"/>
    <s v="0"/>
    <s v="0"/>
    <x v="1"/>
  </r>
  <r>
    <x v="0"/>
    <x v="0"/>
    <s v="593804"/>
    <x v="0"/>
    <x v="1"/>
    <s v="12888025186387"/>
    <x v="3"/>
    <x v="0"/>
    <x v="3"/>
    <s v="N"/>
    <s v=""/>
    <s v="FO"/>
    <s v="16"/>
    <s v="6"/>
    <s v="FUTURE EVENT - PO REQUIRED BY 8/1/2026"/>
    <s v="GREEN"/>
    <s v="0"/>
    <s v="0"/>
    <s v="0"/>
    <n v="3837.6"/>
    <n v="240"/>
    <s v="0"/>
    <s v="1"/>
    <s v="0"/>
    <s v="0"/>
    <x v="0"/>
    <m/>
    <m/>
    <m/>
    <m/>
    <m/>
    <s v="1182"/>
    <s v="0"/>
    <s v="25"/>
    <s v="7/9/2026"/>
    <x v="1"/>
    <x v="1"/>
    <s v="8/1/2026"/>
    <s v="Y"/>
    <s v="KeHE\LMRamirez"/>
    <x v="0"/>
    <s v="GREEN SPOON SALES"/>
    <s v="8 26 VITAHBA SEPTEMBER AD"/>
    <s v="2109"/>
    <s v="CENTER"/>
    <s v="84"/>
    <s v="EWELINA WISZOWATA"/>
    <s v="214030"/>
    <s v="DIVA FAM INC"/>
    <s v="270"/>
    <s v="Christine Casey"/>
    <s v="1202518638"/>
    <s v="D"/>
    <s v="DRY"/>
    <s v="false"/>
    <s v="false"/>
    <s v="false"/>
    <s v="20"/>
    <s v="12/11/2025"/>
    <s v="true"/>
    <s v="-1"/>
    <s v="1"/>
    <m/>
    <s v="CURR_UNIT_STKOUT"/>
    <s v="12345"/>
    <s v="1"/>
    <s v="DAY"/>
    <s v="0"/>
    <s v="0"/>
    <x v="0"/>
  </r>
  <r>
    <x v="0"/>
    <x v="0"/>
    <s v="593804"/>
    <x v="0"/>
    <x v="1"/>
    <s v="12888025187780"/>
    <x v="4"/>
    <x v="0"/>
    <x v="4"/>
    <s v="N"/>
    <s v=""/>
    <s v="FO"/>
    <s v="16"/>
    <s v="6"/>
    <s v="FUTURE EVENT - PO REQUIRED BY 8/1/2026"/>
    <s v="GREEN"/>
    <s v="0"/>
    <s v="0"/>
    <s v="0"/>
    <n v="3166.02"/>
    <n v="198"/>
    <s v="0"/>
    <s v="1"/>
    <s v="0"/>
    <s v="0"/>
    <x v="0"/>
    <m/>
    <m/>
    <m/>
    <m/>
    <m/>
    <s v="1416"/>
    <s v="0"/>
    <s v="25"/>
    <s v="7/9/2026"/>
    <x v="1"/>
    <x v="1"/>
    <s v="8/1/2026"/>
    <s v="Y"/>
    <s v="KeHE\LMRamirez"/>
    <x v="0"/>
    <s v="GREEN SPOON SALES"/>
    <s v="8 26 VITAHBA SEPTEMBER AD"/>
    <s v="2109"/>
    <s v="CENTER"/>
    <s v="84"/>
    <s v="EWELINA WISZOWATA"/>
    <s v="214030"/>
    <s v="DIVA FAM INC"/>
    <s v="270"/>
    <s v="Christine Casey"/>
    <s v="1202518778"/>
    <s v="D"/>
    <s v="DRY"/>
    <s v="false"/>
    <s v="false"/>
    <s v="false"/>
    <s v="20"/>
    <s v="12/11/2025"/>
    <s v="true"/>
    <s v="-1"/>
    <s v="1"/>
    <m/>
    <s v="CURR_UNIT_STKOUT"/>
    <s v="12345"/>
    <s v="1"/>
    <s v="DAY"/>
    <s v="0"/>
    <s v="0"/>
    <x v="0"/>
  </r>
  <r>
    <x v="4"/>
    <x v="0"/>
    <s v="593804"/>
    <x v="0"/>
    <x v="1"/>
    <s v="31888025187780"/>
    <x v="4"/>
    <x v="0"/>
    <x v="4"/>
    <s v="N"/>
    <s v=""/>
    <s v="FO"/>
    <s v="16"/>
    <s v="6"/>
    <s v="FUTURE EVENT - PO REQUIRED BY 7/30/2026"/>
    <s v="GREEN"/>
    <s v="0"/>
    <s v="0"/>
    <s v="0"/>
    <n v="3837.6"/>
    <n v="240"/>
    <s v="0"/>
    <s v="1"/>
    <s v="0"/>
    <s v="0"/>
    <x v="0"/>
    <m/>
    <m/>
    <m/>
    <m/>
    <m/>
    <s v="2094"/>
    <s v="0"/>
    <s v="25"/>
    <s v="7/9/2026"/>
    <x v="1"/>
    <x v="1"/>
    <s v="7/30/2026"/>
    <s v="Y"/>
    <s v="KeHE\LMRamirez"/>
    <x v="0"/>
    <s v="GREEN SPOON SALES"/>
    <s v="8 26 VITAHBA SEPTEMBER AD"/>
    <s v="2109"/>
    <s v="CENTER"/>
    <s v="44"/>
    <s v="BRYAN BURKLIN"/>
    <s v="214030"/>
    <s v="DIVA FAM INC"/>
    <s v="270"/>
    <s v="Christine Casey"/>
    <s v="3102518778"/>
    <s v="D"/>
    <s v="DRY"/>
    <s v="false"/>
    <s v="false"/>
    <s v="false"/>
    <s v="22"/>
    <s v="12/11/2025"/>
    <s v="false"/>
    <s v="3"/>
    <s v="4"/>
    <m/>
    <s v="CURR_UNIT_STKOUT"/>
    <s v="12345"/>
    <s v="1"/>
    <s v="DAY"/>
    <s v="0"/>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85" firstHeaderRow="1" firstDataRow="2" firstDataCol="10" rowPageCount="1" colPageCount="1"/>
  <pivotFields count="70">
    <pivotField axis="axisRow" compact="0" outline="0" showAll="0" defaultSubtotal="0">
      <items count="8">
        <item x="3"/>
        <item x="5"/>
        <item x="6"/>
        <item x="0"/>
        <item x="2"/>
        <item x="7"/>
        <item x="4"/>
        <item x="1"/>
      </items>
    </pivotField>
    <pivotField axis="axisRow" compact="0" outline="0" showAll="0" defaultSubtotal="0">
      <items count="1">
        <item x="0"/>
      </items>
    </pivotField>
    <pivotField compact="0" outline="0" showAll="0"/>
    <pivotField axis="axisRow" compact="0" outline="0" showAll="0" defaultSubtotal="0">
      <items count="1">
        <item x="0"/>
      </items>
    </pivotField>
    <pivotField compact="0" outline="0" showAll="0">
      <items count="3">
        <item x="0"/>
        <item x="1"/>
        <item t="default"/>
      </items>
    </pivotField>
    <pivotField compact="0" outline="0" showAll="0"/>
    <pivotField axis="axisRow" compact="0" numFmtId="1" outline="0" showAll="0" defaultSubtotal="0">
      <items count="6">
        <item x="3"/>
        <item x="4"/>
        <item x="5"/>
        <item x="0"/>
        <item x="1"/>
        <item x="2"/>
      </items>
    </pivotField>
    <pivotField axis="axisRow" compact="0" outline="0" showAll="0" defaultSubtotal="0">
      <items count="1">
        <item x="0"/>
      </items>
    </pivotField>
    <pivotField axis="axisRow" compact="0" outline="0" showAll="0">
      <items count="7">
        <item x="3"/>
        <item x="4"/>
        <item x="5"/>
        <item x="0"/>
        <item x="1"/>
        <item x="2"/>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21">
        <item x="0"/>
        <item x="13"/>
        <item x="15"/>
        <item x="17"/>
        <item x="1"/>
        <item x="2"/>
        <item x="9"/>
        <item x="8"/>
        <item x="12"/>
        <item x="18"/>
        <item x="10"/>
        <item x="5"/>
        <item x="3"/>
        <item x="4"/>
        <item x="6"/>
        <item x="7"/>
        <item x="11"/>
        <item x="14"/>
        <item x="16"/>
        <item x="19"/>
        <item x="20"/>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2">
        <item x="1"/>
        <item x="0"/>
      </items>
    </pivotField>
    <pivotField axis="axisRow" compact="0" numFmtId="166" outline="0" showAll="0" defaultSubtotal="0">
      <items count="2">
        <item x="1"/>
        <item x="0"/>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0"/>
        <item x="1"/>
        <item t="default"/>
      </items>
    </pivotField>
  </pivotFields>
  <rowFields count="10">
    <field x="7"/>
    <field x="1"/>
    <field x="40"/>
    <field x="3"/>
    <field x="35"/>
    <field x="36"/>
    <field x="25"/>
    <field x="0"/>
    <field x="6"/>
    <field x="8"/>
  </rowFields>
  <rowItems count="71">
    <i>
      <x/>
      <x/>
      <x/>
      <x/>
      <x/>
      <x/>
      <x/>
      <x v="1"/>
      <x v="1"/>
      <x v="1"/>
    </i>
    <i r="7">
      <x v="3"/>
      <x/>
      <x/>
    </i>
    <i r="8">
      <x v="1"/>
      <x v="1"/>
    </i>
    <i r="7">
      <x v="6"/>
      <x v="1"/>
      <x v="1"/>
    </i>
    <i r="6">
      <x v="1"/>
      <x v="2"/>
      <x/>
      <x/>
    </i>
    <i r="8">
      <x v="2"/>
      <x v="2"/>
    </i>
    <i r="6">
      <x v="2"/>
      <x v="7"/>
      <x/>
      <x/>
    </i>
    <i r="8">
      <x v="2"/>
      <x v="2"/>
    </i>
    <i r="6">
      <x v="3"/>
      <x v="1"/>
      <x v="2"/>
      <x v="2"/>
    </i>
    <i r="6">
      <x v="4"/>
      <x v="1"/>
      <x/>
      <x/>
    </i>
    <i r="8">
      <x v="3"/>
      <x v="3"/>
    </i>
    <i r="8">
      <x v="4"/>
      <x v="4"/>
    </i>
    <i r="6">
      <x v="5"/>
      <x v="2"/>
      <x v="3"/>
      <x v="3"/>
    </i>
    <i r="8">
      <x v="4"/>
      <x v="4"/>
    </i>
    <i r="6">
      <x v="6"/>
      <x v="2"/>
      <x v="1"/>
      <x v="1"/>
    </i>
    <i r="8">
      <x v="5"/>
      <x v="5"/>
    </i>
    <i r="6">
      <x v="7"/>
      <x v="7"/>
      <x v="3"/>
      <x v="3"/>
    </i>
    <i r="8">
      <x v="4"/>
      <x v="4"/>
    </i>
    <i r="6">
      <x v="8"/>
      <x v="7"/>
      <x v="5"/>
      <x v="5"/>
    </i>
    <i r="6">
      <x v="9"/>
      <x v="5"/>
      <x v="2"/>
      <x v="2"/>
    </i>
    <i r="6">
      <x v="10"/>
      <x v="4"/>
      <x v="2"/>
      <x v="2"/>
    </i>
    <i r="8">
      <x v="4"/>
      <x v="4"/>
    </i>
    <i r="8">
      <x v="5"/>
      <x v="5"/>
    </i>
    <i r="6">
      <x v="11"/>
      <x v="5"/>
      <x/>
      <x/>
    </i>
    <i r="8">
      <x v="1"/>
      <x v="1"/>
    </i>
    <i r="8">
      <x v="3"/>
      <x v="3"/>
    </i>
    <i r="6">
      <x v="12"/>
      <x v="3"/>
      <x v="2"/>
      <x v="2"/>
    </i>
    <i r="8">
      <x v="3"/>
      <x v="3"/>
    </i>
    <i r="8">
      <x v="4"/>
      <x v="4"/>
    </i>
    <i r="6">
      <x v="13"/>
      <x v="4"/>
      <x/>
      <x/>
    </i>
    <i r="8">
      <x v="1"/>
      <x v="1"/>
    </i>
    <i r="8">
      <x v="3"/>
      <x v="3"/>
    </i>
    <i r="6">
      <x v="14"/>
      <x/>
      <x/>
      <x/>
    </i>
    <i r="8">
      <x v="1"/>
      <x v="1"/>
    </i>
    <i r="8">
      <x v="2"/>
      <x v="2"/>
    </i>
    <i r="8">
      <x v="3"/>
      <x v="3"/>
    </i>
    <i r="8">
      <x v="4"/>
      <x v="4"/>
    </i>
    <i r="8">
      <x v="5"/>
      <x v="5"/>
    </i>
    <i r="6">
      <x v="15"/>
      <x v="6"/>
      <x/>
      <x/>
    </i>
    <i r="8">
      <x v="2"/>
      <x v="2"/>
    </i>
    <i r="8">
      <x v="3"/>
      <x v="3"/>
    </i>
    <i r="6">
      <x v="16"/>
      <x v="6"/>
      <x v="5"/>
      <x v="5"/>
    </i>
    <i r="6">
      <x v="17"/>
      <x v="7"/>
      <x v="1"/>
      <x v="1"/>
    </i>
    <i r="6">
      <x v="18"/>
      <x v="5"/>
      <x v="4"/>
      <x v="4"/>
    </i>
    <i r="8">
      <x v="5"/>
      <x v="5"/>
    </i>
    <i r="6">
      <x v="19"/>
      <x v="6"/>
      <x v="4"/>
      <x v="4"/>
    </i>
    <i r="4">
      <x v="1"/>
      <x v="1"/>
      <x/>
      <x/>
      <x v="3"/>
      <x v="3"/>
    </i>
    <i r="8">
      <x v="4"/>
      <x v="4"/>
    </i>
    <i r="8">
      <x v="5"/>
      <x v="5"/>
    </i>
    <i r="7">
      <x v="1"/>
      <x v="3"/>
      <x v="3"/>
    </i>
    <i r="8">
      <x v="5"/>
      <x v="5"/>
    </i>
    <i r="7">
      <x v="2"/>
      <x v="4"/>
      <x v="4"/>
    </i>
    <i r="7">
      <x v="3"/>
      <x v="3"/>
      <x v="3"/>
    </i>
    <i r="8">
      <x v="4"/>
      <x v="4"/>
    </i>
    <i r="8">
      <x v="5"/>
      <x v="5"/>
    </i>
    <i r="7">
      <x v="4"/>
      <x v="3"/>
      <x v="3"/>
    </i>
    <i r="8">
      <x v="4"/>
      <x v="4"/>
    </i>
    <i r="8">
      <x v="5"/>
      <x v="5"/>
    </i>
    <i r="7">
      <x v="5"/>
      <x v="3"/>
      <x v="3"/>
    </i>
    <i r="8">
      <x v="4"/>
      <x v="4"/>
    </i>
    <i r="7">
      <x v="6"/>
      <x v="3"/>
      <x v="3"/>
    </i>
    <i r="8">
      <x v="5"/>
      <x v="5"/>
    </i>
    <i r="7">
      <x v="7"/>
      <x v="3"/>
      <x v="3"/>
    </i>
    <i r="8">
      <x v="4"/>
      <x v="4"/>
    </i>
    <i r="6">
      <x v="4"/>
      <x v="1"/>
      <x v="4"/>
      <x v="4"/>
    </i>
    <i r="6">
      <x v="5"/>
      <x v="2"/>
      <x v="3"/>
      <x v="3"/>
    </i>
    <i r="8">
      <x v="5"/>
      <x v="5"/>
    </i>
    <i r="6">
      <x v="8"/>
      <x v="7"/>
      <x v="5"/>
      <x v="5"/>
    </i>
    <i r="6">
      <x v="18"/>
      <x v="5"/>
      <x v="5"/>
      <x v="5"/>
    </i>
    <i r="6">
      <x v="20"/>
      <x v="6"/>
      <x v="4"/>
      <x v="4"/>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71" tableType="queryTable" totalsRowShown="0">
  <autoFilter ref="A1:BR71"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$212,309.76 and Qty: 40,224</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212309.76000000004</v>
      </c>
    </row>
    <row r="5" spans="2:14" ht="20.399999999999999" x14ac:dyDescent="0.35">
      <c r="B5" s="6"/>
      <c r="J5" s="7"/>
      <c r="K5" s="7"/>
      <c r="M5" s="8"/>
      <c r="N5" s="9"/>
    </row>
    <row r="6" spans="2:14" ht="20.399999999999999" x14ac:dyDescent="0.35">
      <c r="B6" s="6"/>
      <c r="J6" s="7"/>
      <c r="K6" s="7"/>
      <c r="M6" s="8"/>
      <c r="N6" s="10">
        <f>VLOOKUP(M4,B15:M50006,12,FALSE)</f>
        <v>40224</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87</v>
      </c>
      <c r="C15" t="s">
        <v>122</v>
      </c>
      <c r="D15" t="s">
        <v>133</v>
      </c>
      <c r="E15" t="s">
        <v>124</v>
      </c>
      <c r="F15" s="2" t="s">
        <v>129</v>
      </c>
      <c r="G15" s="2" t="s">
        <v>130</v>
      </c>
      <c r="H15" t="s">
        <v>27</v>
      </c>
      <c r="I15" t="s">
        <v>121</v>
      </c>
      <c r="J15" s="12" t="s">
        <v>141</v>
      </c>
      <c r="K15" t="s">
        <v>142</v>
      </c>
      <c r="L15" s="5">
        <v>3166.02</v>
      </c>
      <c r="M15" s="1">
        <v>198</v>
      </c>
    </row>
    <row r="16" spans="2:14" x14ac:dyDescent="0.25">
      <c r="E16"/>
      <c r="I16" t="s">
        <v>148</v>
      </c>
      <c r="J16" s="12" t="s">
        <v>107</v>
      </c>
      <c r="K16" t="s">
        <v>108</v>
      </c>
      <c r="L16" s="5">
        <v>3837.6</v>
      </c>
      <c r="M16" s="1">
        <v>240</v>
      </c>
    </row>
    <row r="17" spans="5:13" x14ac:dyDescent="0.25">
      <c r="E17"/>
      <c r="J17" s="12" t="s">
        <v>141</v>
      </c>
      <c r="K17" t="s">
        <v>142</v>
      </c>
      <c r="L17" s="5">
        <v>3166.02</v>
      </c>
      <c r="M17" s="1">
        <v>198</v>
      </c>
    </row>
    <row r="18" spans="5:13" x14ac:dyDescent="0.25">
      <c r="E18"/>
      <c r="I18" t="s">
        <v>206</v>
      </c>
      <c r="J18" s="12" t="s">
        <v>141</v>
      </c>
      <c r="K18" t="s">
        <v>142</v>
      </c>
      <c r="L18" s="5">
        <v>3837.6</v>
      </c>
      <c r="M18" s="1">
        <v>240</v>
      </c>
    </row>
    <row r="19" spans="5:13" x14ac:dyDescent="0.25">
      <c r="E19"/>
      <c r="H19" t="s">
        <v>158</v>
      </c>
      <c r="I19" t="s">
        <v>139</v>
      </c>
      <c r="J19" s="12" t="s">
        <v>107</v>
      </c>
      <c r="K19" t="s">
        <v>108</v>
      </c>
      <c r="L19" s="5">
        <v>8634.6</v>
      </c>
      <c r="M19" s="1">
        <v>540</v>
      </c>
    </row>
    <row r="20" spans="5:13" x14ac:dyDescent="0.25">
      <c r="E20"/>
      <c r="J20" s="12" t="s">
        <v>150</v>
      </c>
      <c r="K20" t="s">
        <v>151</v>
      </c>
      <c r="L20" s="5">
        <v>10745.28</v>
      </c>
      <c r="M20" s="1">
        <v>672</v>
      </c>
    </row>
    <row r="21" spans="5:13" x14ac:dyDescent="0.25">
      <c r="E21"/>
      <c r="H21" t="s">
        <v>216</v>
      </c>
      <c r="I21" t="s">
        <v>214</v>
      </c>
      <c r="J21" s="12" t="s">
        <v>107</v>
      </c>
      <c r="K21" t="s">
        <v>108</v>
      </c>
      <c r="L21" s="5">
        <v>5084.82</v>
      </c>
      <c r="M21" s="1">
        <v>318</v>
      </c>
    </row>
    <row r="22" spans="5:13" x14ac:dyDescent="0.25">
      <c r="E22"/>
      <c r="J22" s="12" t="s">
        <v>150</v>
      </c>
      <c r="K22" t="s">
        <v>151</v>
      </c>
      <c r="L22" s="5">
        <v>7291.44</v>
      </c>
      <c r="M22" s="1">
        <v>456</v>
      </c>
    </row>
    <row r="23" spans="5:13" x14ac:dyDescent="0.25">
      <c r="E23"/>
      <c r="H23" t="s">
        <v>230</v>
      </c>
      <c r="I23" t="s">
        <v>121</v>
      </c>
      <c r="J23" s="12" t="s">
        <v>150</v>
      </c>
      <c r="K23" t="s">
        <v>151</v>
      </c>
      <c r="L23" s="5">
        <v>4413.24</v>
      </c>
      <c r="M23" s="1">
        <v>276</v>
      </c>
    </row>
    <row r="24" spans="5:13" x14ac:dyDescent="0.25">
      <c r="E24"/>
      <c r="H24" t="s">
        <v>291</v>
      </c>
      <c r="I24" t="s">
        <v>121</v>
      </c>
      <c r="J24" s="12" t="s">
        <v>107</v>
      </c>
      <c r="K24" t="s">
        <v>108</v>
      </c>
      <c r="L24" s="5">
        <v>3837.6</v>
      </c>
      <c r="M24" s="1">
        <v>240</v>
      </c>
    </row>
    <row r="25" spans="5:13" x14ac:dyDescent="0.25">
      <c r="E25"/>
      <c r="J25" s="12" t="s">
        <v>182</v>
      </c>
      <c r="K25" t="s">
        <v>183</v>
      </c>
      <c r="L25" s="5">
        <v>1184.04</v>
      </c>
      <c r="M25" s="1">
        <v>396</v>
      </c>
    </row>
    <row r="26" spans="5:13" x14ac:dyDescent="0.25">
      <c r="E26"/>
      <c r="J26" s="12" t="s">
        <v>200</v>
      </c>
      <c r="K26" t="s">
        <v>201</v>
      </c>
      <c r="L26" s="5">
        <v>968.76</v>
      </c>
      <c r="M26" s="1">
        <v>324</v>
      </c>
    </row>
    <row r="27" spans="5:13" x14ac:dyDescent="0.25">
      <c r="E27"/>
      <c r="H27" t="s">
        <v>292</v>
      </c>
      <c r="I27" t="s">
        <v>139</v>
      </c>
      <c r="J27" s="12" t="s">
        <v>182</v>
      </c>
      <c r="K27" t="s">
        <v>183</v>
      </c>
      <c r="L27" s="5">
        <v>2691</v>
      </c>
      <c r="M27" s="1">
        <v>900</v>
      </c>
    </row>
    <row r="28" spans="5:13" x14ac:dyDescent="0.25">
      <c r="E28"/>
      <c r="J28" s="12" t="s">
        <v>200</v>
      </c>
      <c r="K28" t="s">
        <v>201</v>
      </c>
      <c r="L28" s="5">
        <v>2152.8000000000002</v>
      </c>
      <c r="M28" s="1">
        <v>720</v>
      </c>
    </row>
    <row r="29" spans="5:13" x14ac:dyDescent="0.25">
      <c r="E29"/>
      <c r="H29" t="s">
        <v>294</v>
      </c>
      <c r="I29" t="s">
        <v>139</v>
      </c>
      <c r="J29" s="12" t="s">
        <v>141</v>
      </c>
      <c r="K29" t="s">
        <v>142</v>
      </c>
      <c r="L29" s="5">
        <v>7195.5</v>
      </c>
      <c r="M29" s="1">
        <v>450</v>
      </c>
    </row>
    <row r="30" spans="5:13" x14ac:dyDescent="0.25">
      <c r="E30"/>
      <c r="J30" s="12" t="s">
        <v>238</v>
      </c>
      <c r="K30" t="s">
        <v>239</v>
      </c>
      <c r="L30" s="5">
        <v>2152.8000000000002</v>
      </c>
      <c r="M30" s="1">
        <v>720</v>
      </c>
    </row>
    <row r="31" spans="5:13" x14ac:dyDescent="0.25">
      <c r="E31"/>
      <c r="H31" t="s">
        <v>296</v>
      </c>
      <c r="I31" t="s">
        <v>214</v>
      </c>
      <c r="J31" s="12" t="s">
        <v>182</v>
      </c>
      <c r="K31" t="s">
        <v>183</v>
      </c>
      <c r="L31" s="5">
        <v>1578.72</v>
      </c>
      <c r="M31" s="1">
        <v>528</v>
      </c>
    </row>
    <row r="32" spans="5:13" x14ac:dyDescent="0.25">
      <c r="E32"/>
      <c r="J32" s="12" t="s">
        <v>200</v>
      </c>
      <c r="K32" t="s">
        <v>201</v>
      </c>
      <c r="L32" s="5">
        <v>1363.44</v>
      </c>
      <c r="M32" s="1">
        <v>456</v>
      </c>
    </row>
    <row r="33" spans="5:13" x14ac:dyDescent="0.25">
      <c r="E33"/>
      <c r="H33" t="s">
        <v>298</v>
      </c>
      <c r="I33" t="s">
        <v>214</v>
      </c>
      <c r="J33" s="12" t="s">
        <v>238</v>
      </c>
      <c r="K33" t="s">
        <v>239</v>
      </c>
      <c r="L33" s="5">
        <v>1363.44</v>
      </c>
      <c r="M33" s="1">
        <v>456</v>
      </c>
    </row>
    <row r="34" spans="5:13" x14ac:dyDescent="0.25">
      <c r="E34"/>
      <c r="H34" t="s">
        <v>300</v>
      </c>
      <c r="I34" t="s">
        <v>175</v>
      </c>
      <c r="J34" s="12" t="s">
        <v>150</v>
      </c>
      <c r="K34" t="s">
        <v>151</v>
      </c>
      <c r="L34" s="5">
        <v>4797</v>
      </c>
      <c r="M34" s="1">
        <v>300</v>
      </c>
    </row>
    <row r="35" spans="5:13" x14ac:dyDescent="0.25">
      <c r="E35"/>
      <c r="H35" t="s">
        <v>304</v>
      </c>
      <c r="I35" t="s">
        <v>146</v>
      </c>
      <c r="J35" s="12" t="s">
        <v>150</v>
      </c>
      <c r="K35" t="s">
        <v>151</v>
      </c>
      <c r="L35" s="5">
        <v>9210.24</v>
      </c>
      <c r="M35" s="1">
        <v>576</v>
      </c>
    </row>
    <row r="36" spans="5:13" x14ac:dyDescent="0.25">
      <c r="E36"/>
      <c r="J36" s="12" t="s">
        <v>200</v>
      </c>
      <c r="K36" t="s">
        <v>201</v>
      </c>
      <c r="L36" s="5">
        <v>1722.24</v>
      </c>
      <c r="M36" s="1">
        <v>576</v>
      </c>
    </row>
    <row r="37" spans="5:13" x14ac:dyDescent="0.25">
      <c r="E37"/>
      <c r="J37" s="12" t="s">
        <v>238</v>
      </c>
      <c r="K37" t="s">
        <v>239</v>
      </c>
      <c r="L37" s="5">
        <v>1722.24</v>
      </c>
      <c r="M37" s="1">
        <v>576</v>
      </c>
    </row>
    <row r="38" spans="5:13" x14ac:dyDescent="0.25">
      <c r="E38"/>
      <c r="H38" t="s">
        <v>306</v>
      </c>
      <c r="I38" t="s">
        <v>175</v>
      </c>
      <c r="J38" s="12" t="s">
        <v>107</v>
      </c>
      <c r="K38" t="s">
        <v>108</v>
      </c>
      <c r="L38" s="5">
        <v>2782.26</v>
      </c>
      <c r="M38" s="1">
        <v>174</v>
      </c>
    </row>
    <row r="39" spans="5:13" x14ac:dyDescent="0.25">
      <c r="E39"/>
      <c r="J39" s="12" t="s">
        <v>141</v>
      </c>
      <c r="K39" t="s">
        <v>142</v>
      </c>
      <c r="L39" s="5">
        <v>2398.5</v>
      </c>
      <c r="M39" s="1">
        <v>150</v>
      </c>
    </row>
    <row r="40" spans="5:13" x14ac:dyDescent="0.25">
      <c r="E40"/>
      <c r="J40" s="12" t="s">
        <v>182</v>
      </c>
      <c r="K40" t="s">
        <v>183</v>
      </c>
      <c r="L40" s="5">
        <v>897</v>
      </c>
      <c r="M40" s="1">
        <v>300</v>
      </c>
    </row>
    <row r="41" spans="5:13" x14ac:dyDescent="0.25">
      <c r="E41"/>
      <c r="H41" t="s">
        <v>355</v>
      </c>
      <c r="I41" t="s">
        <v>148</v>
      </c>
      <c r="J41" s="12" t="s">
        <v>150</v>
      </c>
      <c r="K41" t="s">
        <v>151</v>
      </c>
      <c r="L41" s="5">
        <v>3837.6</v>
      </c>
      <c r="M41" s="1">
        <v>240</v>
      </c>
    </row>
    <row r="42" spans="5:13" x14ac:dyDescent="0.25">
      <c r="E42"/>
      <c r="J42" s="12" t="s">
        <v>182</v>
      </c>
      <c r="K42" t="s">
        <v>183</v>
      </c>
      <c r="L42" s="5">
        <v>1184.04</v>
      </c>
      <c r="M42" s="1">
        <v>396</v>
      </c>
    </row>
    <row r="43" spans="5:13" x14ac:dyDescent="0.25">
      <c r="E43"/>
      <c r="J43" s="12" t="s">
        <v>200</v>
      </c>
      <c r="K43" t="s">
        <v>201</v>
      </c>
      <c r="L43" s="5">
        <v>968.76</v>
      </c>
      <c r="M43" s="1">
        <v>324</v>
      </c>
    </row>
    <row r="44" spans="5:13" x14ac:dyDescent="0.25">
      <c r="E44"/>
      <c r="H44" t="s">
        <v>357</v>
      </c>
      <c r="I44" t="s">
        <v>146</v>
      </c>
      <c r="J44" s="12" t="s">
        <v>107</v>
      </c>
      <c r="K44" t="s">
        <v>108</v>
      </c>
      <c r="L44" s="5">
        <v>5948.28</v>
      </c>
      <c r="M44" s="1">
        <v>372</v>
      </c>
    </row>
    <row r="45" spans="5:13" x14ac:dyDescent="0.25">
      <c r="E45"/>
      <c r="J45" s="12" t="s">
        <v>141</v>
      </c>
      <c r="K45" t="s">
        <v>142</v>
      </c>
      <c r="L45" s="5">
        <v>4988.88</v>
      </c>
      <c r="M45" s="1">
        <v>312</v>
      </c>
    </row>
    <row r="46" spans="5:13" x14ac:dyDescent="0.25">
      <c r="E46"/>
      <c r="J46" s="12" t="s">
        <v>182</v>
      </c>
      <c r="K46" t="s">
        <v>183</v>
      </c>
      <c r="L46" s="5">
        <v>1865.76</v>
      </c>
      <c r="M46" s="1">
        <v>624</v>
      </c>
    </row>
    <row r="47" spans="5:13" x14ac:dyDescent="0.25">
      <c r="E47"/>
      <c r="H47" t="s">
        <v>358</v>
      </c>
      <c r="I47" t="s">
        <v>104</v>
      </c>
      <c r="J47" s="12" t="s">
        <v>107</v>
      </c>
      <c r="K47" t="s">
        <v>108</v>
      </c>
      <c r="L47" s="5">
        <v>2302.56</v>
      </c>
      <c r="M47" s="1">
        <v>144</v>
      </c>
    </row>
    <row r="48" spans="5:13" x14ac:dyDescent="0.25">
      <c r="E48"/>
      <c r="J48" s="12" t="s">
        <v>141</v>
      </c>
      <c r="K48" t="s">
        <v>142</v>
      </c>
      <c r="L48" s="5">
        <v>1918.8</v>
      </c>
      <c r="M48" s="1">
        <v>120</v>
      </c>
    </row>
    <row r="49" spans="5:13" x14ac:dyDescent="0.25">
      <c r="E49"/>
      <c r="J49" s="12" t="s">
        <v>150</v>
      </c>
      <c r="K49" t="s">
        <v>151</v>
      </c>
      <c r="L49" s="5">
        <v>1535.04</v>
      </c>
      <c r="M49" s="1">
        <v>96</v>
      </c>
    </row>
    <row r="50" spans="5:13" x14ac:dyDescent="0.25">
      <c r="E50"/>
      <c r="J50" s="12" t="s">
        <v>182</v>
      </c>
      <c r="K50" t="s">
        <v>183</v>
      </c>
      <c r="L50" s="5">
        <v>717.6</v>
      </c>
      <c r="M50" s="1">
        <v>240</v>
      </c>
    </row>
    <row r="51" spans="5:13" x14ac:dyDescent="0.25">
      <c r="E51"/>
      <c r="J51" s="12" t="s">
        <v>200</v>
      </c>
      <c r="K51" t="s">
        <v>201</v>
      </c>
      <c r="L51" s="5">
        <v>574.08000000000004</v>
      </c>
      <c r="M51" s="1">
        <v>192</v>
      </c>
    </row>
    <row r="52" spans="5:13" x14ac:dyDescent="0.25">
      <c r="E52"/>
      <c r="J52" s="12" t="s">
        <v>238</v>
      </c>
      <c r="K52" t="s">
        <v>239</v>
      </c>
      <c r="L52" s="5">
        <v>574.08000000000004</v>
      </c>
      <c r="M52" s="1">
        <v>192</v>
      </c>
    </row>
    <row r="53" spans="5:13" x14ac:dyDescent="0.25">
      <c r="E53"/>
      <c r="H53" t="s">
        <v>359</v>
      </c>
      <c r="I53" t="s">
        <v>206</v>
      </c>
      <c r="J53" s="12" t="s">
        <v>107</v>
      </c>
      <c r="K53" t="s">
        <v>108</v>
      </c>
      <c r="L53" s="5">
        <v>4605.12</v>
      </c>
      <c r="M53" s="1">
        <v>288</v>
      </c>
    </row>
    <row r="54" spans="5:13" x14ac:dyDescent="0.25">
      <c r="E54"/>
      <c r="J54" s="12" t="s">
        <v>150</v>
      </c>
      <c r="K54" t="s">
        <v>151</v>
      </c>
      <c r="L54" s="5">
        <v>3453.84</v>
      </c>
      <c r="M54" s="1">
        <v>216</v>
      </c>
    </row>
    <row r="55" spans="5:13" x14ac:dyDescent="0.25">
      <c r="E55"/>
      <c r="J55" s="12" t="s">
        <v>182</v>
      </c>
      <c r="K55" t="s">
        <v>183</v>
      </c>
      <c r="L55" s="5">
        <v>1435.2</v>
      </c>
      <c r="M55" s="1">
        <v>480</v>
      </c>
    </row>
    <row r="56" spans="5:13" x14ac:dyDescent="0.25">
      <c r="E56"/>
      <c r="H56" t="s">
        <v>364</v>
      </c>
      <c r="I56" t="s">
        <v>206</v>
      </c>
      <c r="J56" s="12" t="s">
        <v>238</v>
      </c>
      <c r="K56" t="s">
        <v>239</v>
      </c>
      <c r="L56" s="5">
        <v>1148.1600000000001</v>
      </c>
      <c r="M56" s="1">
        <v>384</v>
      </c>
    </row>
    <row r="57" spans="5:13" x14ac:dyDescent="0.25">
      <c r="E57"/>
      <c r="H57" t="s">
        <v>386</v>
      </c>
      <c r="I57" t="s">
        <v>214</v>
      </c>
      <c r="J57" s="12" t="s">
        <v>141</v>
      </c>
      <c r="K57" t="s">
        <v>142</v>
      </c>
      <c r="L57" s="5">
        <v>4221.3599999999997</v>
      </c>
      <c r="M57" s="1">
        <v>264</v>
      </c>
    </row>
    <row r="58" spans="5:13" x14ac:dyDescent="0.25">
      <c r="E58"/>
      <c r="H58" t="s">
        <v>391</v>
      </c>
      <c r="I58" t="s">
        <v>175</v>
      </c>
      <c r="J58" s="12" t="s">
        <v>200</v>
      </c>
      <c r="K58" t="s">
        <v>201</v>
      </c>
      <c r="L58" s="5">
        <v>897</v>
      </c>
      <c r="M58" s="1">
        <v>300</v>
      </c>
    </row>
    <row r="59" spans="5:13" x14ac:dyDescent="0.25">
      <c r="E59"/>
      <c r="J59" s="12" t="s">
        <v>238</v>
      </c>
      <c r="K59" t="s">
        <v>239</v>
      </c>
      <c r="L59" s="5">
        <v>897</v>
      </c>
      <c r="M59" s="1">
        <v>300</v>
      </c>
    </row>
    <row r="60" spans="5:13" x14ac:dyDescent="0.25">
      <c r="E60"/>
      <c r="H60" t="s">
        <v>396</v>
      </c>
      <c r="I60" t="s">
        <v>206</v>
      </c>
      <c r="J60" s="12" t="s">
        <v>200</v>
      </c>
      <c r="K60" t="s">
        <v>201</v>
      </c>
      <c r="L60" s="5">
        <v>1148.1600000000001</v>
      </c>
      <c r="M60" s="1">
        <v>384</v>
      </c>
    </row>
    <row r="61" spans="5:13" x14ac:dyDescent="0.25">
      <c r="E61"/>
      <c r="F61" s="2" t="s">
        <v>208</v>
      </c>
      <c r="G61" s="2" t="s">
        <v>281</v>
      </c>
      <c r="H61" t="s">
        <v>27</v>
      </c>
      <c r="I61" t="s">
        <v>104</v>
      </c>
      <c r="J61" s="12" t="s">
        <v>182</v>
      </c>
      <c r="K61" t="s">
        <v>183</v>
      </c>
      <c r="L61" s="5">
        <v>1327.56</v>
      </c>
      <c r="M61" s="1">
        <v>444</v>
      </c>
    </row>
    <row r="62" spans="5:13" x14ac:dyDescent="0.25">
      <c r="E62"/>
      <c r="J62" s="12" t="s">
        <v>200</v>
      </c>
      <c r="K62" t="s">
        <v>201</v>
      </c>
      <c r="L62" s="5">
        <v>1076.4000000000001</v>
      </c>
      <c r="M62" s="1">
        <v>360</v>
      </c>
    </row>
    <row r="63" spans="5:13" x14ac:dyDescent="0.25">
      <c r="E63"/>
      <c r="J63" s="12" t="s">
        <v>238</v>
      </c>
      <c r="K63" t="s">
        <v>239</v>
      </c>
      <c r="L63" s="5">
        <v>1076.4000000000001</v>
      </c>
      <c r="M63" s="1">
        <v>360</v>
      </c>
    </row>
    <row r="64" spans="5:13" x14ac:dyDescent="0.25">
      <c r="E64"/>
      <c r="I64" t="s">
        <v>121</v>
      </c>
      <c r="J64" s="12" t="s">
        <v>182</v>
      </c>
      <c r="K64" t="s">
        <v>183</v>
      </c>
      <c r="L64" s="5">
        <v>2439.84</v>
      </c>
      <c r="M64" s="1">
        <v>816</v>
      </c>
    </row>
    <row r="65" spans="5:13" x14ac:dyDescent="0.25">
      <c r="E65"/>
      <c r="J65" s="12" t="s">
        <v>238</v>
      </c>
      <c r="K65" t="s">
        <v>239</v>
      </c>
      <c r="L65" s="5">
        <v>2224.56</v>
      </c>
      <c r="M65" s="1">
        <v>744</v>
      </c>
    </row>
    <row r="66" spans="5:13" x14ac:dyDescent="0.25">
      <c r="E66"/>
      <c r="I66" t="s">
        <v>139</v>
      </c>
      <c r="J66" s="12" t="s">
        <v>200</v>
      </c>
      <c r="K66" t="s">
        <v>201</v>
      </c>
      <c r="L66" s="5">
        <v>5453.76</v>
      </c>
      <c r="M66" s="1">
        <v>1824</v>
      </c>
    </row>
    <row r="67" spans="5:13" x14ac:dyDescent="0.25">
      <c r="E67"/>
      <c r="I67" t="s">
        <v>148</v>
      </c>
      <c r="J67" s="12" t="s">
        <v>182</v>
      </c>
      <c r="K67" t="s">
        <v>183</v>
      </c>
      <c r="L67" s="5">
        <v>2439.84</v>
      </c>
      <c r="M67" s="1">
        <v>816</v>
      </c>
    </row>
    <row r="68" spans="5:13" x14ac:dyDescent="0.25">
      <c r="E68"/>
      <c r="J68" s="12" t="s">
        <v>200</v>
      </c>
      <c r="K68" t="s">
        <v>201</v>
      </c>
      <c r="L68" s="5">
        <v>2188.6799999999998</v>
      </c>
      <c r="M68" s="1">
        <v>732</v>
      </c>
    </row>
    <row r="69" spans="5:13" x14ac:dyDescent="0.25">
      <c r="E69"/>
      <c r="J69" s="12" t="s">
        <v>238</v>
      </c>
      <c r="K69" t="s">
        <v>239</v>
      </c>
      <c r="L69" s="5">
        <v>2224.56</v>
      </c>
      <c r="M69" s="1">
        <v>744</v>
      </c>
    </row>
    <row r="70" spans="5:13" x14ac:dyDescent="0.25">
      <c r="E70"/>
      <c r="I70" t="s">
        <v>146</v>
      </c>
      <c r="J70" s="12" t="s">
        <v>182</v>
      </c>
      <c r="K70" t="s">
        <v>183</v>
      </c>
      <c r="L70" s="5">
        <v>3946.8</v>
      </c>
      <c r="M70" s="1">
        <v>1320</v>
      </c>
    </row>
    <row r="71" spans="5:13" x14ac:dyDescent="0.25">
      <c r="E71"/>
      <c r="J71" s="12" t="s">
        <v>200</v>
      </c>
      <c r="K71" t="s">
        <v>201</v>
      </c>
      <c r="L71" s="5">
        <v>3516.24</v>
      </c>
      <c r="M71" s="1">
        <v>1176</v>
      </c>
    </row>
    <row r="72" spans="5:13" x14ac:dyDescent="0.25">
      <c r="E72"/>
      <c r="J72" s="12" t="s">
        <v>238</v>
      </c>
      <c r="K72" t="s">
        <v>239</v>
      </c>
      <c r="L72" s="5">
        <v>4054.44</v>
      </c>
      <c r="M72" s="1">
        <v>1356</v>
      </c>
    </row>
    <row r="73" spans="5:13" x14ac:dyDescent="0.25">
      <c r="E73"/>
      <c r="I73" t="s">
        <v>175</v>
      </c>
      <c r="J73" s="12" t="s">
        <v>182</v>
      </c>
      <c r="K73" t="s">
        <v>183</v>
      </c>
      <c r="L73" s="5">
        <v>2296.3200000000002</v>
      </c>
      <c r="M73" s="1">
        <v>768</v>
      </c>
    </row>
    <row r="74" spans="5:13" x14ac:dyDescent="0.25">
      <c r="E74"/>
      <c r="J74" s="12" t="s">
        <v>200</v>
      </c>
      <c r="K74" t="s">
        <v>201</v>
      </c>
      <c r="L74" s="5">
        <v>2045.16</v>
      </c>
      <c r="M74" s="1">
        <v>684</v>
      </c>
    </row>
    <row r="75" spans="5:13" x14ac:dyDescent="0.25">
      <c r="E75"/>
      <c r="I75" t="s">
        <v>206</v>
      </c>
      <c r="J75" s="12" t="s">
        <v>182</v>
      </c>
      <c r="K75" t="s">
        <v>183</v>
      </c>
      <c r="L75" s="5">
        <v>2726.88</v>
      </c>
      <c r="M75" s="1">
        <v>912</v>
      </c>
    </row>
    <row r="76" spans="5:13" x14ac:dyDescent="0.25">
      <c r="E76"/>
      <c r="J76" s="12" t="s">
        <v>238</v>
      </c>
      <c r="K76" t="s">
        <v>239</v>
      </c>
      <c r="L76" s="5">
        <v>2296.3200000000002</v>
      </c>
      <c r="M76" s="1">
        <v>768</v>
      </c>
    </row>
    <row r="77" spans="5:13" x14ac:dyDescent="0.25">
      <c r="E77"/>
      <c r="I77" t="s">
        <v>214</v>
      </c>
      <c r="J77" s="12" t="s">
        <v>182</v>
      </c>
      <c r="K77" t="s">
        <v>183</v>
      </c>
      <c r="L77" s="5">
        <v>3372.72</v>
      </c>
      <c r="M77" s="1">
        <v>1128</v>
      </c>
    </row>
    <row r="78" spans="5:13" x14ac:dyDescent="0.25">
      <c r="E78"/>
      <c r="J78" s="12" t="s">
        <v>200</v>
      </c>
      <c r="K78" t="s">
        <v>201</v>
      </c>
      <c r="L78" s="5">
        <v>3013.92</v>
      </c>
      <c r="M78" s="1">
        <v>1008</v>
      </c>
    </row>
    <row r="79" spans="5:13" x14ac:dyDescent="0.25">
      <c r="E79"/>
      <c r="H79" t="s">
        <v>291</v>
      </c>
      <c r="I79" t="s">
        <v>121</v>
      </c>
      <c r="J79" s="12" t="s">
        <v>200</v>
      </c>
      <c r="K79" t="s">
        <v>201</v>
      </c>
      <c r="L79" s="5">
        <v>2224.56</v>
      </c>
      <c r="M79" s="1">
        <v>744</v>
      </c>
    </row>
    <row r="80" spans="5:13" x14ac:dyDescent="0.25">
      <c r="E80"/>
      <c r="H80" t="s">
        <v>292</v>
      </c>
      <c r="I80" t="s">
        <v>139</v>
      </c>
      <c r="J80" s="12" t="s">
        <v>182</v>
      </c>
      <c r="K80" t="s">
        <v>183</v>
      </c>
      <c r="L80" s="5">
        <v>6386.64</v>
      </c>
      <c r="M80" s="1">
        <v>2136</v>
      </c>
    </row>
    <row r="81" spans="2:13" x14ac:dyDescent="0.25">
      <c r="E81"/>
      <c r="J81" s="12" t="s">
        <v>238</v>
      </c>
      <c r="K81" t="s">
        <v>239</v>
      </c>
      <c r="L81" s="5">
        <v>5884.32</v>
      </c>
      <c r="M81" s="1">
        <v>1968</v>
      </c>
    </row>
    <row r="82" spans="2:13" x14ac:dyDescent="0.25">
      <c r="E82"/>
      <c r="H82" t="s">
        <v>298</v>
      </c>
      <c r="I82" t="s">
        <v>214</v>
      </c>
      <c r="J82" s="12" t="s">
        <v>238</v>
      </c>
      <c r="K82" t="s">
        <v>239</v>
      </c>
      <c r="L82" s="5">
        <v>3336.84</v>
      </c>
      <c r="M82" s="1">
        <v>1116</v>
      </c>
    </row>
    <row r="83" spans="2:13" x14ac:dyDescent="0.25">
      <c r="E83"/>
      <c r="H83" t="s">
        <v>391</v>
      </c>
      <c r="I83" t="s">
        <v>175</v>
      </c>
      <c r="J83" s="12" t="s">
        <v>238</v>
      </c>
      <c r="K83" t="s">
        <v>239</v>
      </c>
      <c r="L83" s="5">
        <v>2045.16</v>
      </c>
      <c r="M83" s="1">
        <v>684</v>
      </c>
    </row>
    <row r="84" spans="2:13" x14ac:dyDescent="0.25">
      <c r="E84"/>
      <c r="H84" t="s">
        <v>400</v>
      </c>
      <c r="I84" t="s">
        <v>206</v>
      </c>
      <c r="J84" s="12" t="s">
        <v>200</v>
      </c>
      <c r="K84" t="s">
        <v>201</v>
      </c>
      <c r="L84" s="5">
        <v>2296.3200000000002</v>
      </c>
      <c r="M84" s="1">
        <v>768</v>
      </c>
    </row>
    <row r="85" spans="2:13" x14ac:dyDescent="0.25">
      <c r="B85" t="s">
        <v>12</v>
      </c>
      <c r="E85"/>
      <c r="L85" s="5">
        <v>212309.76000000004</v>
      </c>
      <c r="M85" s="1">
        <v>40224</v>
      </c>
    </row>
    <row r="86" spans="2:13" x14ac:dyDescent="0.25">
      <c r="E86"/>
      <c r="M86"/>
    </row>
    <row r="87" spans="2:13" x14ac:dyDescent="0.25">
      <c r="E87"/>
      <c r="M87"/>
    </row>
    <row r="88" spans="2:13" x14ac:dyDescent="0.25">
      <c r="E88"/>
      <c r="M88"/>
    </row>
    <row r="89" spans="2:13" x14ac:dyDescent="0.25">
      <c r="E89"/>
      <c r="M89"/>
    </row>
    <row r="90" spans="2:13" x14ac:dyDescent="0.25">
      <c r="E90"/>
      <c r="M90"/>
    </row>
    <row r="91" spans="2:13" x14ac:dyDescent="0.25">
      <c r="E91"/>
      <c r="M91"/>
    </row>
    <row r="92" spans="2:13" x14ac:dyDescent="0.25">
      <c r="E92"/>
      <c r="M92"/>
    </row>
    <row r="93" spans="2:13" x14ac:dyDescent="0.25">
      <c r="E93"/>
      <c r="M93"/>
    </row>
    <row r="94" spans="2:13" x14ac:dyDescent="0.25">
      <c r="E94"/>
      <c r="M94"/>
    </row>
    <row r="95" spans="2:13" x14ac:dyDescent="0.25">
      <c r="E95"/>
      <c r="M95"/>
    </row>
    <row r="96" spans="2: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71"/>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3.554687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1"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25.44140625" bestFit="1" customWidth="1"/>
    <col min="42" max="42" width="20.44140625" bestFit="1" customWidth="1"/>
    <col min="43" max="43" width="27.77734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148</v>
      </c>
      <c r="B2" t="s">
        <v>122</v>
      </c>
      <c r="C2" t="s">
        <v>279</v>
      </c>
      <c r="D2" t="s">
        <v>124</v>
      </c>
      <c r="E2" t="s">
        <v>316</v>
      </c>
      <c r="F2" t="s">
        <v>265</v>
      </c>
      <c r="G2" t="s">
        <v>182</v>
      </c>
      <c r="H2" t="s">
        <v>87</v>
      </c>
      <c r="I2" t="s">
        <v>183</v>
      </c>
      <c r="J2" t="s">
        <v>10</v>
      </c>
      <c r="K2" t="s">
        <v>120</v>
      </c>
      <c r="L2" t="s">
        <v>88</v>
      </c>
      <c r="M2" t="s">
        <v>148</v>
      </c>
      <c r="N2" t="s">
        <v>148</v>
      </c>
      <c r="O2" t="s">
        <v>280</v>
      </c>
      <c r="P2" t="s">
        <v>118</v>
      </c>
      <c r="Q2" t="s">
        <v>89</v>
      </c>
      <c r="R2" t="s">
        <v>186</v>
      </c>
      <c r="S2" t="s">
        <v>89</v>
      </c>
      <c r="T2">
        <v>2439.84</v>
      </c>
      <c r="U2">
        <v>816</v>
      </c>
      <c r="V2" t="s">
        <v>186</v>
      </c>
      <c r="W2" t="s">
        <v>102</v>
      </c>
      <c r="X2" t="s">
        <v>89</v>
      </c>
      <c r="Y2" t="s">
        <v>102</v>
      </c>
      <c r="AF2" t="s">
        <v>317</v>
      </c>
      <c r="AG2" t="s">
        <v>202</v>
      </c>
      <c r="AI2" t="s">
        <v>212</v>
      </c>
      <c r="AJ2" t="s">
        <v>208</v>
      </c>
      <c r="AK2" t="s">
        <v>281</v>
      </c>
      <c r="AM2" t="s">
        <v>10</v>
      </c>
      <c r="AN2" t="s">
        <v>132</v>
      </c>
      <c r="AO2" t="s">
        <v>133</v>
      </c>
      <c r="AP2" t="s">
        <v>90</v>
      </c>
      <c r="AQ2" t="s">
        <v>282</v>
      </c>
      <c r="AR2" t="s">
        <v>283</v>
      </c>
      <c r="AS2" t="s">
        <v>91</v>
      </c>
      <c r="AT2" t="s">
        <v>135</v>
      </c>
      <c r="AU2" t="s">
        <v>136</v>
      </c>
      <c r="AV2" t="s">
        <v>92</v>
      </c>
      <c r="AW2" t="s">
        <v>93</v>
      </c>
      <c r="AX2" t="s">
        <v>94</v>
      </c>
      <c r="AY2" t="s">
        <v>95</v>
      </c>
      <c r="AZ2" t="s">
        <v>266</v>
      </c>
      <c r="BA2" t="s">
        <v>6</v>
      </c>
      <c r="BB2" t="s">
        <v>96</v>
      </c>
      <c r="BC2" t="s">
        <v>98</v>
      </c>
      <c r="BD2" t="s">
        <v>98</v>
      </c>
      <c r="BE2" t="s">
        <v>98</v>
      </c>
      <c r="BF2" t="s">
        <v>155</v>
      </c>
      <c r="BG2" t="s">
        <v>185</v>
      </c>
      <c r="BH2" t="s">
        <v>97</v>
      </c>
      <c r="BI2" t="s">
        <v>318</v>
      </c>
      <c r="BJ2" t="s">
        <v>102</v>
      </c>
      <c r="BL2" t="s">
        <v>100</v>
      </c>
      <c r="BM2" t="s">
        <v>101</v>
      </c>
      <c r="BN2" t="s">
        <v>102</v>
      </c>
      <c r="BO2" t="s">
        <v>103</v>
      </c>
      <c r="BP2" t="s">
        <v>186</v>
      </c>
      <c r="BQ2" t="s">
        <v>319</v>
      </c>
      <c r="BR2" t="str">
        <f>VLOOKUP(KeHEPARDataFlowSource[[#This Row],[Item Status]],Table2[#All],2,FALSE)</f>
        <v>Normal, Active item</v>
      </c>
    </row>
    <row r="3" spans="1:70" x14ac:dyDescent="0.25">
      <c r="A3" t="s">
        <v>148</v>
      </c>
      <c r="B3" t="s">
        <v>122</v>
      </c>
      <c r="C3" t="s">
        <v>279</v>
      </c>
      <c r="D3" t="s">
        <v>124</v>
      </c>
      <c r="E3" t="s">
        <v>316</v>
      </c>
      <c r="F3" t="s">
        <v>267</v>
      </c>
      <c r="G3" t="s">
        <v>200</v>
      </c>
      <c r="H3" t="s">
        <v>87</v>
      </c>
      <c r="I3" t="s">
        <v>201</v>
      </c>
      <c r="J3" t="s">
        <v>10</v>
      </c>
      <c r="K3" t="s">
        <v>120</v>
      </c>
      <c r="L3" t="s">
        <v>88</v>
      </c>
      <c r="M3" t="s">
        <v>148</v>
      </c>
      <c r="N3" t="s">
        <v>148</v>
      </c>
      <c r="O3" t="s">
        <v>280</v>
      </c>
      <c r="P3" t="s">
        <v>118</v>
      </c>
      <c r="Q3" t="s">
        <v>89</v>
      </c>
      <c r="R3" t="s">
        <v>186</v>
      </c>
      <c r="S3" t="s">
        <v>89</v>
      </c>
      <c r="T3">
        <v>2188.6799999999998</v>
      </c>
      <c r="U3">
        <v>732</v>
      </c>
      <c r="V3" t="s">
        <v>186</v>
      </c>
      <c r="W3" t="s">
        <v>102</v>
      </c>
      <c r="X3" t="s">
        <v>89</v>
      </c>
      <c r="Y3" t="s">
        <v>102</v>
      </c>
      <c r="AF3" t="s">
        <v>117</v>
      </c>
      <c r="AG3" t="s">
        <v>186</v>
      </c>
      <c r="AI3" t="s">
        <v>212</v>
      </c>
      <c r="AJ3" t="s">
        <v>208</v>
      </c>
      <c r="AK3" t="s">
        <v>281</v>
      </c>
      <c r="AM3" t="s">
        <v>10</v>
      </c>
      <c r="AN3" t="s">
        <v>132</v>
      </c>
      <c r="AO3" t="s">
        <v>133</v>
      </c>
      <c r="AP3" t="s">
        <v>90</v>
      </c>
      <c r="AQ3" t="s">
        <v>282</v>
      </c>
      <c r="AR3" t="s">
        <v>283</v>
      </c>
      <c r="AS3" t="s">
        <v>91</v>
      </c>
      <c r="AT3" t="s">
        <v>135</v>
      </c>
      <c r="AU3" t="s">
        <v>136</v>
      </c>
      <c r="AV3" t="s">
        <v>92</v>
      </c>
      <c r="AW3" t="s">
        <v>93</v>
      </c>
      <c r="AX3" t="s">
        <v>94</v>
      </c>
      <c r="AY3" t="s">
        <v>95</v>
      </c>
      <c r="AZ3" t="s">
        <v>268</v>
      </c>
      <c r="BA3" t="s">
        <v>6</v>
      </c>
      <c r="BB3" t="s">
        <v>96</v>
      </c>
      <c r="BC3" t="s">
        <v>98</v>
      </c>
      <c r="BD3" t="s">
        <v>98</v>
      </c>
      <c r="BE3" t="s">
        <v>98</v>
      </c>
      <c r="BF3" t="s">
        <v>155</v>
      </c>
      <c r="BG3" t="s">
        <v>185</v>
      </c>
      <c r="BH3" t="s">
        <v>97</v>
      </c>
      <c r="BI3" t="s">
        <v>318</v>
      </c>
      <c r="BJ3" t="s">
        <v>102</v>
      </c>
      <c r="BL3" t="s">
        <v>100</v>
      </c>
      <c r="BM3" t="s">
        <v>101</v>
      </c>
      <c r="BN3" t="s">
        <v>102</v>
      </c>
      <c r="BO3" t="s">
        <v>103</v>
      </c>
      <c r="BP3" t="s">
        <v>186</v>
      </c>
      <c r="BQ3" t="s">
        <v>320</v>
      </c>
      <c r="BR3" t="str">
        <f>VLOOKUP(KeHEPARDataFlowSource[[#This Row],[Item Status]],Table2[#All],2,FALSE)</f>
        <v>Normal, Active item</v>
      </c>
    </row>
    <row r="4" spans="1:70" x14ac:dyDescent="0.25">
      <c r="A4" t="s">
        <v>214</v>
      </c>
      <c r="B4" t="s">
        <v>122</v>
      </c>
      <c r="C4" t="s">
        <v>279</v>
      </c>
      <c r="D4" t="s">
        <v>124</v>
      </c>
      <c r="E4" t="s">
        <v>316</v>
      </c>
      <c r="F4" t="s">
        <v>271</v>
      </c>
      <c r="G4" t="s">
        <v>182</v>
      </c>
      <c r="H4" t="s">
        <v>87</v>
      </c>
      <c r="I4" t="s">
        <v>183</v>
      </c>
      <c r="J4" t="s">
        <v>10</v>
      </c>
      <c r="K4" t="s">
        <v>120</v>
      </c>
      <c r="L4" t="s">
        <v>88</v>
      </c>
      <c r="M4" t="s">
        <v>148</v>
      </c>
      <c r="N4" t="s">
        <v>148</v>
      </c>
      <c r="O4" t="s">
        <v>280</v>
      </c>
      <c r="P4" t="s">
        <v>118</v>
      </c>
      <c r="Q4" t="s">
        <v>89</v>
      </c>
      <c r="R4" t="s">
        <v>299</v>
      </c>
      <c r="S4" t="s">
        <v>89</v>
      </c>
      <c r="T4">
        <v>3372.72</v>
      </c>
      <c r="U4">
        <v>1128</v>
      </c>
      <c r="V4" t="s">
        <v>299</v>
      </c>
      <c r="W4" t="s">
        <v>102</v>
      </c>
      <c r="X4" t="s">
        <v>89</v>
      </c>
      <c r="Y4" t="s">
        <v>102</v>
      </c>
      <c r="AF4" t="s">
        <v>321</v>
      </c>
      <c r="AG4" t="s">
        <v>322</v>
      </c>
      <c r="AI4" t="s">
        <v>212</v>
      </c>
      <c r="AJ4" t="s">
        <v>208</v>
      </c>
      <c r="AK4" t="s">
        <v>281</v>
      </c>
      <c r="AM4" t="s">
        <v>10</v>
      </c>
      <c r="AN4" t="s">
        <v>132</v>
      </c>
      <c r="AO4" t="s">
        <v>133</v>
      </c>
      <c r="AP4" t="s">
        <v>90</v>
      </c>
      <c r="AQ4" t="s">
        <v>282</v>
      </c>
      <c r="AR4" t="s">
        <v>283</v>
      </c>
      <c r="AS4" t="s">
        <v>91</v>
      </c>
      <c r="AT4" t="s">
        <v>135</v>
      </c>
      <c r="AU4" t="s">
        <v>136</v>
      </c>
      <c r="AV4" t="s">
        <v>92</v>
      </c>
      <c r="AW4" t="s">
        <v>93</v>
      </c>
      <c r="AX4" t="s">
        <v>94</v>
      </c>
      <c r="AY4" t="s">
        <v>95</v>
      </c>
      <c r="AZ4" t="s">
        <v>272</v>
      </c>
      <c r="BA4" t="s">
        <v>6</v>
      </c>
      <c r="BB4" t="s">
        <v>96</v>
      </c>
      <c r="BC4" t="s">
        <v>98</v>
      </c>
      <c r="BD4" t="s">
        <v>98</v>
      </c>
      <c r="BE4" t="s">
        <v>98</v>
      </c>
      <c r="BF4" t="s">
        <v>286</v>
      </c>
      <c r="BG4" t="s">
        <v>185</v>
      </c>
      <c r="BH4" t="s">
        <v>97</v>
      </c>
      <c r="BI4" t="s">
        <v>89</v>
      </c>
      <c r="BJ4" t="s">
        <v>102</v>
      </c>
      <c r="BL4" t="s">
        <v>100</v>
      </c>
      <c r="BM4" t="s">
        <v>101</v>
      </c>
      <c r="BN4" t="s">
        <v>102</v>
      </c>
      <c r="BO4" t="s">
        <v>103</v>
      </c>
      <c r="BP4" t="s">
        <v>186</v>
      </c>
      <c r="BQ4" t="s">
        <v>323</v>
      </c>
      <c r="BR4" t="str">
        <f>VLOOKUP(KeHEPARDataFlowSource[[#This Row],[Item Status]],Table2[#All],2,FALSE)</f>
        <v>Normal, Active item</v>
      </c>
    </row>
    <row r="5" spans="1:70" x14ac:dyDescent="0.25">
      <c r="A5" t="s">
        <v>214</v>
      </c>
      <c r="B5" t="s">
        <v>122</v>
      </c>
      <c r="C5" t="s">
        <v>279</v>
      </c>
      <c r="D5" t="s">
        <v>124</v>
      </c>
      <c r="E5" t="s">
        <v>316</v>
      </c>
      <c r="F5" t="s">
        <v>273</v>
      </c>
      <c r="G5" t="s">
        <v>200</v>
      </c>
      <c r="H5" t="s">
        <v>87</v>
      </c>
      <c r="I5" t="s">
        <v>201</v>
      </c>
      <c r="J5" t="s">
        <v>10</v>
      </c>
      <c r="K5" t="s">
        <v>120</v>
      </c>
      <c r="L5" t="s">
        <v>88</v>
      </c>
      <c r="M5" t="s">
        <v>148</v>
      </c>
      <c r="N5" t="s">
        <v>148</v>
      </c>
      <c r="O5" t="s">
        <v>280</v>
      </c>
      <c r="P5" t="s">
        <v>118</v>
      </c>
      <c r="Q5" t="s">
        <v>89</v>
      </c>
      <c r="R5" t="s">
        <v>299</v>
      </c>
      <c r="S5" t="s">
        <v>89</v>
      </c>
      <c r="T5">
        <v>3013.92</v>
      </c>
      <c r="U5">
        <v>1008</v>
      </c>
      <c r="V5" t="s">
        <v>299</v>
      </c>
      <c r="W5" t="s">
        <v>102</v>
      </c>
      <c r="X5" t="s">
        <v>89</v>
      </c>
      <c r="Y5" t="s">
        <v>102</v>
      </c>
      <c r="AF5" t="s">
        <v>324</v>
      </c>
      <c r="AG5" t="s">
        <v>233</v>
      </c>
      <c r="AI5" t="s">
        <v>212</v>
      </c>
      <c r="AJ5" t="s">
        <v>208</v>
      </c>
      <c r="AK5" t="s">
        <v>281</v>
      </c>
      <c r="AM5" t="s">
        <v>10</v>
      </c>
      <c r="AN5" t="s">
        <v>132</v>
      </c>
      <c r="AO5" t="s">
        <v>133</v>
      </c>
      <c r="AP5" t="s">
        <v>90</v>
      </c>
      <c r="AQ5" t="s">
        <v>282</v>
      </c>
      <c r="AR5" t="s">
        <v>283</v>
      </c>
      <c r="AS5" t="s">
        <v>91</v>
      </c>
      <c r="AT5" t="s">
        <v>135</v>
      </c>
      <c r="AU5" t="s">
        <v>136</v>
      </c>
      <c r="AV5" t="s">
        <v>92</v>
      </c>
      <c r="AW5" t="s">
        <v>93</v>
      </c>
      <c r="AX5" t="s">
        <v>94</v>
      </c>
      <c r="AY5" t="s">
        <v>95</v>
      </c>
      <c r="AZ5" t="s">
        <v>274</v>
      </c>
      <c r="BA5" t="s">
        <v>6</v>
      </c>
      <c r="BB5" t="s">
        <v>96</v>
      </c>
      <c r="BC5" t="s">
        <v>98</v>
      </c>
      <c r="BD5" t="s">
        <v>98</v>
      </c>
      <c r="BE5" t="s">
        <v>98</v>
      </c>
      <c r="BF5" t="s">
        <v>286</v>
      </c>
      <c r="BG5" t="s">
        <v>185</v>
      </c>
      <c r="BH5" t="s">
        <v>97</v>
      </c>
      <c r="BI5" t="s">
        <v>89</v>
      </c>
      <c r="BJ5" t="s">
        <v>102</v>
      </c>
      <c r="BL5" t="s">
        <v>100</v>
      </c>
      <c r="BM5" t="s">
        <v>101</v>
      </c>
      <c r="BN5" t="s">
        <v>102</v>
      </c>
      <c r="BO5" t="s">
        <v>103</v>
      </c>
      <c r="BP5" t="s">
        <v>186</v>
      </c>
      <c r="BQ5" t="s">
        <v>325</v>
      </c>
      <c r="BR5" t="str">
        <f>VLOOKUP(KeHEPARDataFlowSource[[#This Row],[Item Status]],Table2[#All],2,FALSE)</f>
        <v>Normal, Active item</v>
      </c>
    </row>
    <row r="6" spans="1:70" x14ac:dyDescent="0.25">
      <c r="A6" t="s">
        <v>146</v>
      </c>
      <c r="B6" t="s">
        <v>122</v>
      </c>
      <c r="C6" t="s">
        <v>279</v>
      </c>
      <c r="D6" t="s">
        <v>124</v>
      </c>
      <c r="E6" t="s">
        <v>316</v>
      </c>
      <c r="F6" t="s">
        <v>232</v>
      </c>
      <c r="G6" t="s">
        <v>182</v>
      </c>
      <c r="H6" t="s">
        <v>87</v>
      </c>
      <c r="I6" t="s">
        <v>183</v>
      </c>
      <c r="J6" t="s">
        <v>10</v>
      </c>
      <c r="K6" t="s">
        <v>120</v>
      </c>
      <c r="L6" t="s">
        <v>88</v>
      </c>
      <c r="M6" t="s">
        <v>148</v>
      </c>
      <c r="N6" t="s">
        <v>148</v>
      </c>
      <c r="O6" t="s">
        <v>280</v>
      </c>
      <c r="P6" t="s">
        <v>118</v>
      </c>
      <c r="Q6" t="s">
        <v>89</v>
      </c>
      <c r="R6" t="s">
        <v>326</v>
      </c>
      <c r="S6" t="s">
        <v>89</v>
      </c>
      <c r="T6">
        <v>3946.8</v>
      </c>
      <c r="U6">
        <v>1320</v>
      </c>
      <c r="V6" t="s">
        <v>326</v>
      </c>
      <c r="W6" t="s">
        <v>102</v>
      </c>
      <c r="X6" t="s">
        <v>89</v>
      </c>
      <c r="Y6" t="s">
        <v>102</v>
      </c>
      <c r="AF6" t="s">
        <v>327</v>
      </c>
      <c r="AG6" t="s">
        <v>310</v>
      </c>
      <c r="AI6" t="s">
        <v>212</v>
      </c>
      <c r="AJ6" t="s">
        <v>208</v>
      </c>
      <c r="AK6" t="s">
        <v>281</v>
      </c>
      <c r="AM6" t="s">
        <v>10</v>
      </c>
      <c r="AN6" t="s">
        <v>132</v>
      </c>
      <c r="AO6" t="s">
        <v>133</v>
      </c>
      <c r="AP6" t="s">
        <v>90</v>
      </c>
      <c r="AQ6" t="s">
        <v>282</v>
      </c>
      <c r="AR6" t="s">
        <v>283</v>
      </c>
      <c r="AS6" t="s">
        <v>91</v>
      </c>
      <c r="AT6" t="s">
        <v>135</v>
      </c>
      <c r="AU6" t="s">
        <v>136</v>
      </c>
      <c r="AV6" t="s">
        <v>92</v>
      </c>
      <c r="AW6" t="s">
        <v>93</v>
      </c>
      <c r="AX6" t="s">
        <v>94</v>
      </c>
      <c r="AY6" t="s">
        <v>95</v>
      </c>
      <c r="AZ6" t="s">
        <v>234</v>
      </c>
      <c r="BA6" t="s">
        <v>6</v>
      </c>
      <c r="BB6" t="s">
        <v>96</v>
      </c>
      <c r="BC6" t="s">
        <v>98</v>
      </c>
      <c r="BD6" t="s">
        <v>98</v>
      </c>
      <c r="BE6" t="s">
        <v>98</v>
      </c>
      <c r="BF6" t="s">
        <v>171</v>
      </c>
      <c r="BG6" t="s">
        <v>185</v>
      </c>
      <c r="BH6" t="s">
        <v>98</v>
      </c>
      <c r="BI6" t="s">
        <v>284</v>
      </c>
      <c r="BJ6" t="s">
        <v>284</v>
      </c>
      <c r="BL6" t="s">
        <v>100</v>
      </c>
      <c r="BM6" t="s">
        <v>101</v>
      </c>
      <c r="BN6" t="s">
        <v>102</v>
      </c>
      <c r="BO6" t="s">
        <v>103</v>
      </c>
      <c r="BP6" t="s">
        <v>186</v>
      </c>
      <c r="BQ6" t="s">
        <v>319</v>
      </c>
      <c r="BR6" t="str">
        <f>VLOOKUP(KeHEPARDataFlowSource[[#This Row],[Item Status]],Table2[#All],2,FALSE)</f>
        <v>Normal, Active item</v>
      </c>
    </row>
    <row r="7" spans="1:70" x14ac:dyDescent="0.25">
      <c r="A7" t="s">
        <v>146</v>
      </c>
      <c r="B7" t="s">
        <v>122</v>
      </c>
      <c r="C7" t="s">
        <v>279</v>
      </c>
      <c r="D7" t="s">
        <v>124</v>
      </c>
      <c r="E7" t="s">
        <v>316</v>
      </c>
      <c r="F7" t="s">
        <v>235</v>
      </c>
      <c r="G7" t="s">
        <v>200</v>
      </c>
      <c r="H7" t="s">
        <v>87</v>
      </c>
      <c r="I7" t="s">
        <v>201</v>
      </c>
      <c r="J7" t="s">
        <v>10</v>
      </c>
      <c r="K7" t="s">
        <v>120</v>
      </c>
      <c r="L7" t="s">
        <v>88</v>
      </c>
      <c r="M7" t="s">
        <v>148</v>
      </c>
      <c r="N7" t="s">
        <v>148</v>
      </c>
      <c r="O7" t="s">
        <v>280</v>
      </c>
      <c r="P7" t="s">
        <v>118</v>
      </c>
      <c r="Q7" t="s">
        <v>89</v>
      </c>
      <c r="R7" t="s">
        <v>326</v>
      </c>
      <c r="S7" t="s">
        <v>89</v>
      </c>
      <c r="T7">
        <v>3516.24</v>
      </c>
      <c r="U7">
        <v>1176</v>
      </c>
      <c r="V7" t="s">
        <v>326</v>
      </c>
      <c r="W7" t="s">
        <v>102</v>
      </c>
      <c r="X7" t="s">
        <v>89</v>
      </c>
      <c r="Y7" t="s">
        <v>102</v>
      </c>
      <c r="AF7" t="s">
        <v>225</v>
      </c>
      <c r="AG7" t="s">
        <v>233</v>
      </c>
      <c r="AI7" t="s">
        <v>212</v>
      </c>
      <c r="AJ7" t="s">
        <v>208</v>
      </c>
      <c r="AK7" t="s">
        <v>281</v>
      </c>
      <c r="AM7" t="s">
        <v>10</v>
      </c>
      <c r="AN7" t="s">
        <v>132</v>
      </c>
      <c r="AO7" t="s">
        <v>133</v>
      </c>
      <c r="AP7" t="s">
        <v>90</v>
      </c>
      <c r="AQ7" t="s">
        <v>282</v>
      </c>
      <c r="AR7" t="s">
        <v>283</v>
      </c>
      <c r="AS7" t="s">
        <v>91</v>
      </c>
      <c r="AT7" t="s">
        <v>135</v>
      </c>
      <c r="AU7" t="s">
        <v>136</v>
      </c>
      <c r="AV7" t="s">
        <v>92</v>
      </c>
      <c r="AW7" t="s">
        <v>93</v>
      </c>
      <c r="AX7" t="s">
        <v>94</v>
      </c>
      <c r="AY7" t="s">
        <v>95</v>
      </c>
      <c r="AZ7" t="s">
        <v>236</v>
      </c>
      <c r="BA7" t="s">
        <v>6</v>
      </c>
      <c r="BB7" t="s">
        <v>96</v>
      </c>
      <c r="BC7" t="s">
        <v>98</v>
      </c>
      <c r="BD7" t="s">
        <v>98</v>
      </c>
      <c r="BE7" t="s">
        <v>98</v>
      </c>
      <c r="BF7" t="s">
        <v>171</v>
      </c>
      <c r="BG7" t="s">
        <v>185</v>
      </c>
      <c r="BH7" t="s">
        <v>98</v>
      </c>
      <c r="BI7" t="s">
        <v>284</v>
      </c>
      <c r="BJ7" t="s">
        <v>284</v>
      </c>
      <c r="BL7" t="s">
        <v>100</v>
      </c>
      <c r="BM7" t="s">
        <v>101</v>
      </c>
      <c r="BN7" t="s">
        <v>102</v>
      </c>
      <c r="BO7" t="s">
        <v>103</v>
      </c>
      <c r="BP7" t="s">
        <v>198</v>
      </c>
      <c r="BQ7" t="s">
        <v>328</v>
      </c>
      <c r="BR7" t="str">
        <f>VLOOKUP(KeHEPARDataFlowSource[[#This Row],[Item Status]],Table2[#All],2,FALSE)</f>
        <v>Normal, Active item</v>
      </c>
    </row>
    <row r="8" spans="1:70" x14ac:dyDescent="0.25">
      <c r="A8" t="s">
        <v>104</v>
      </c>
      <c r="B8" t="s">
        <v>122</v>
      </c>
      <c r="C8" t="s">
        <v>279</v>
      </c>
      <c r="D8" t="s">
        <v>124</v>
      </c>
      <c r="E8" t="s">
        <v>316</v>
      </c>
      <c r="F8" t="s">
        <v>194</v>
      </c>
      <c r="G8" t="s">
        <v>182</v>
      </c>
      <c r="H8" t="s">
        <v>87</v>
      </c>
      <c r="I8" t="s">
        <v>183</v>
      </c>
      <c r="J8" t="s">
        <v>10</v>
      </c>
      <c r="K8" t="s">
        <v>120</v>
      </c>
      <c r="L8" t="s">
        <v>88</v>
      </c>
      <c r="M8" t="s">
        <v>148</v>
      </c>
      <c r="N8" t="s">
        <v>148</v>
      </c>
      <c r="O8" t="s">
        <v>280</v>
      </c>
      <c r="P8" t="s">
        <v>118</v>
      </c>
      <c r="Q8" t="s">
        <v>89</v>
      </c>
      <c r="R8" t="s">
        <v>329</v>
      </c>
      <c r="S8" t="s">
        <v>89</v>
      </c>
      <c r="T8">
        <v>1327.56</v>
      </c>
      <c r="U8">
        <v>444</v>
      </c>
      <c r="V8" t="s">
        <v>329</v>
      </c>
      <c r="W8" t="s">
        <v>102</v>
      </c>
      <c r="X8" t="s">
        <v>89</v>
      </c>
      <c r="Y8" t="s">
        <v>102</v>
      </c>
      <c r="AF8" t="s">
        <v>309</v>
      </c>
      <c r="AG8" t="s">
        <v>196</v>
      </c>
      <c r="AI8" t="s">
        <v>212</v>
      </c>
      <c r="AJ8" t="s">
        <v>208</v>
      </c>
      <c r="AK8" t="s">
        <v>281</v>
      </c>
      <c r="AM8" t="s">
        <v>10</v>
      </c>
      <c r="AN8" t="s">
        <v>132</v>
      </c>
      <c r="AO8" t="s">
        <v>133</v>
      </c>
      <c r="AP8" t="s">
        <v>90</v>
      </c>
      <c r="AQ8" t="s">
        <v>282</v>
      </c>
      <c r="AR8" t="s">
        <v>283</v>
      </c>
      <c r="AS8" t="s">
        <v>91</v>
      </c>
      <c r="AT8" t="s">
        <v>105</v>
      </c>
      <c r="AU8" t="s">
        <v>106</v>
      </c>
      <c r="AV8" t="s">
        <v>92</v>
      </c>
      <c r="AW8" t="s">
        <v>93</v>
      </c>
      <c r="AX8" t="s">
        <v>94</v>
      </c>
      <c r="AY8" t="s">
        <v>95</v>
      </c>
      <c r="AZ8" t="s">
        <v>197</v>
      </c>
      <c r="BA8" t="s">
        <v>6</v>
      </c>
      <c r="BB8" t="s">
        <v>96</v>
      </c>
      <c r="BC8" t="s">
        <v>98</v>
      </c>
      <c r="BD8" t="s">
        <v>98</v>
      </c>
      <c r="BE8" t="s">
        <v>98</v>
      </c>
      <c r="BF8" t="s">
        <v>99</v>
      </c>
      <c r="BG8" t="s">
        <v>185</v>
      </c>
      <c r="BH8" t="s">
        <v>98</v>
      </c>
      <c r="BI8" t="s">
        <v>102</v>
      </c>
      <c r="BJ8" t="s">
        <v>178</v>
      </c>
      <c r="BL8" t="s">
        <v>100</v>
      </c>
      <c r="BM8" t="s">
        <v>101</v>
      </c>
      <c r="BN8" t="s">
        <v>102</v>
      </c>
      <c r="BO8" t="s">
        <v>103</v>
      </c>
      <c r="BP8" t="s">
        <v>186</v>
      </c>
      <c r="BQ8" t="s">
        <v>330</v>
      </c>
      <c r="BR8" t="str">
        <f>VLOOKUP(KeHEPARDataFlowSource[[#This Row],[Item Status]],Table2[#All],2,FALSE)</f>
        <v>Normal, Active item</v>
      </c>
    </row>
    <row r="9" spans="1:70" x14ac:dyDescent="0.25">
      <c r="A9" t="s">
        <v>104</v>
      </c>
      <c r="B9" t="s">
        <v>122</v>
      </c>
      <c r="C9" t="s">
        <v>279</v>
      </c>
      <c r="D9" t="s">
        <v>124</v>
      </c>
      <c r="E9" t="s">
        <v>316</v>
      </c>
      <c r="F9" t="s">
        <v>199</v>
      </c>
      <c r="G9" t="s">
        <v>200</v>
      </c>
      <c r="H9" t="s">
        <v>87</v>
      </c>
      <c r="I9" t="s">
        <v>201</v>
      </c>
      <c r="J9" t="s">
        <v>10</v>
      </c>
      <c r="K9" t="s">
        <v>120</v>
      </c>
      <c r="L9" t="s">
        <v>88</v>
      </c>
      <c r="M9" t="s">
        <v>148</v>
      </c>
      <c r="N9" t="s">
        <v>148</v>
      </c>
      <c r="O9" t="s">
        <v>280</v>
      </c>
      <c r="P9" t="s">
        <v>118</v>
      </c>
      <c r="Q9" t="s">
        <v>89</v>
      </c>
      <c r="R9" t="s">
        <v>329</v>
      </c>
      <c r="S9" t="s">
        <v>89</v>
      </c>
      <c r="T9">
        <v>1076.4000000000001</v>
      </c>
      <c r="U9">
        <v>360</v>
      </c>
      <c r="V9" t="s">
        <v>329</v>
      </c>
      <c r="W9" t="s">
        <v>102</v>
      </c>
      <c r="X9" t="s">
        <v>89</v>
      </c>
      <c r="Y9" t="s">
        <v>102</v>
      </c>
      <c r="AF9" t="s">
        <v>160</v>
      </c>
      <c r="AG9" t="s">
        <v>233</v>
      </c>
      <c r="AI9" t="s">
        <v>212</v>
      </c>
      <c r="AJ9" t="s">
        <v>208</v>
      </c>
      <c r="AK9" t="s">
        <v>281</v>
      </c>
      <c r="AM9" t="s">
        <v>10</v>
      </c>
      <c r="AN9" t="s">
        <v>132</v>
      </c>
      <c r="AO9" t="s">
        <v>133</v>
      </c>
      <c r="AP9" t="s">
        <v>90</v>
      </c>
      <c r="AQ9" t="s">
        <v>282</v>
      </c>
      <c r="AR9" t="s">
        <v>283</v>
      </c>
      <c r="AS9" t="s">
        <v>91</v>
      </c>
      <c r="AT9" t="s">
        <v>105</v>
      </c>
      <c r="AU9" t="s">
        <v>106</v>
      </c>
      <c r="AV9" t="s">
        <v>92</v>
      </c>
      <c r="AW9" t="s">
        <v>93</v>
      </c>
      <c r="AX9" t="s">
        <v>94</v>
      </c>
      <c r="AY9" t="s">
        <v>95</v>
      </c>
      <c r="AZ9" t="s">
        <v>203</v>
      </c>
      <c r="BA9" t="s">
        <v>6</v>
      </c>
      <c r="BB9" t="s">
        <v>96</v>
      </c>
      <c r="BC9" t="s">
        <v>98</v>
      </c>
      <c r="BD9" t="s">
        <v>98</v>
      </c>
      <c r="BE9" t="s">
        <v>98</v>
      </c>
      <c r="BF9" t="s">
        <v>99</v>
      </c>
      <c r="BG9" t="s">
        <v>185</v>
      </c>
      <c r="BH9" t="s">
        <v>98</v>
      </c>
      <c r="BI9" t="s">
        <v>102</v>
      </c>
      <c r="BJ9" t="s">
        <v>178</v>
      </c>
      <c r="BL9" t="s">
        <v>100</v>
      </c>
      <c r="BM9" t="s">
        <v>101</v>
      </c>
      <c r="BN9" t="s">
        <v>102</v>
      </c>
      <c r="BO9" t="s">
        <v>103</v>
      </c>
      <c r="BP9" t="s">
        <v>186</v>
      </c>
      <c r="BQ9" t="s">
        <v>331</v>
      </c>
      <c r="BR9" t="str">
        <f>VLOOKUP(KeHEPARDataFlowSource[[#This Row],[Item Status]],Table2[#All],2,FALSE)</f>
        <v>Normal, Active item</v>
      </c>
    </row>
    <row r="10" spans="1:70" x14ac:dyDescent="0.25">
      <c r="A10" t="s">
        <v>104</v>
      </c>
      <c r="B10" t="s">
        <v>122</v>
      </c>
      <c r="C10" t="s">
        <v>279</v>
      </c>
      <c r="D10" t="s">
        <v>124</v>
      </c>
      <c r="E10" t="s">
        <v>316</v>
      </c>
      <c r="F10" t="s">
        <v>245</v>
      </c>
      <c r="G10" t="s">
        <v>238</v>
      </c>
      <c r="H10" t="s">
        <v>87</v>
      </c>
      <c r="I10" t="s">
        <v>239</v>
      </c>
      <c r="J10" t="s">
        <v>10</v>
      </c>
      <c r="K10" t="s">
        <v>120</v>
      </c>
      <c r="L10" t="s">
        <v>88</v>
      </c>
      <c r="M10" t="s">
        <v>148</v>
      </c>
      <c r="N10" t="s">
        <v>148</v>
      </c>
      <c r="O10" t="s">
        <v>280</v>
      </c>
      <c r="P10" t="s">
        <v>118</v>
      </c>
      <c r="Q10" t="s">
        <v>89</v>
      </c>
      <c r="R10" t="s">
        <v>329</v>
      </c>
      <c r="S10" t="s">
        <v>89</v>
      </c>
      <c r="T10">
        <v>1076.4000000000001</v>
      </c>
      <c r="U10">
        <v>360</v>
      </c>
      <c r="V10" t="s">
        <v>302</v>
      </c>
      <c r="W10" t="s">
        <v>102</v>
      </c>
      <c r="X10" t="s">
        <v>89</v>
      </c>
      <c r="Y10" t="s">
        <v>102</v>
      </c>
      <c r="AF10" t="s">
        <v>332</v>
      </c>
      <c r="AG10" t="s">
        <v>202</v>
      </c>
      <c r="AI10" t="s">
        <v>212</v>
      </c>
      <c r="AJ10" t="s">
        <v>208</v>
      </c>
      <c r="AK10" t="s">
        <v>281</v>
      </c>
      <c r="AM10" t="s">
        <v>10</v>
      </c>
      <c r="AN10" t="s">
        <v>132</v>
      </c>
      <c r="AO10" t="s">
        <v>133</v>
      </c>
      <c r="AP10" t="s">
        <v>90</v>
      </c>
      <c r="AQ10" t="s">
        <v>282</v>
      </c>
      <c r="AR10" t="s">
        <v>283</v>
      </c>
      <c r="AS10" t="s">
        <v>91</v>
      </c>
      <c r="AT10" t="s">
        <v>105</v>
      </c>
      <c r="AU10" t="s">
        <v>106</v>
      </c>
      <c r="AV10" t="s">
        <v>92</v>
      </c>
      <c r="AW10" t="s">
        <v>93</v>
      </c>
      <c r="AX10" t="s">
        <v>94</v>
      </c>
      <c r="AY10" t="s">
        <v>95</v>
      </c>
      <c r="AZ10" t="s">
        <v>246</v>
      </c>
      <c r="BA10" t="s">
        <v>6</v>
      </c>
      <c r="BB10" t="s">
        <v>96</v>
      </c>
      <c r="BC10" t="s">
        <v>98</v>
      </c>
      <c r="BD10" t="s">
        <v>98</v>
      </c>
      <c r="BE10" t="s">
        <v>98</v>
      </c>
      <c r="BF10" t="s">
        <v>99</v>
      </c>
      <c r="BG10" t="s">
        <v>185</v>
      </c>
      <c r="BH10" t="s">
        <v>98</v>
      </c>
      <c r="BI10" t="s">
        <v>102</v>
      </c>
      <c r="BJ10" t="s">
        <v>178</v>
      </c>
      <c r="BL10" t="s">
        <v>100</v>
      </c>
      <c r="BM10" t="s">
        <v>101</v>
      </c>
      <c r="BN10" t="s">
        <v>102</v>
      </c>
      <c r="BO10" t="s">
        <v>103</v>
      </c>
      <c r="BP10" t="s">
        <v>198</v>
      </c>
      <c r="BQ10" t="s">
        <v>333</v>
      </c>
      <c r="BR10" t="str">
        <f>VLOOKUP(KeHEPARDataFlowSource[[#This Row],[Item Status]],Table2[#All],2,FALSE)</f>
        <v>Normal, Active item</v>
      </c>
    </row>
    <row r="11" spans="1:70" x14ac:dyDescent="0.25">
      <c r="A11" t="s">
        <v>206</v>
      </c>
      <c r="B11" t="s">
        <v>122</v>
      </c>
      <c r="C11" t="s">
        <v>279</v>
      </c>
      <c r="D11" t="s">
        <v>124</v>
      </c>
      <c r="E11" t="s">
        <v>316</v>
      </c>
      <c r="F11" t="s">
        <v>247</v>
      </c>
      <c r="G11" t="s">
        <v>182</v>
      </c>
      <c r="H11" t="s">
        <v>87</v>
      </c>
      <c r="I11" t="s">
        <v>183</v>
      </c>
      <c r="J11" t="s">
        <v>10</v>
      </c>
      <c r="K11" t="s">
        <v>120</v>
      </c>
      <c r="L11" t="s">
        <v>88</v>
      </c>
      <c r="M11" t="s">
        <v>148</v>
      </c>
      <c r="N11" t="s">
        <v>148</v>
      </c>
      <c r="O11" t="s">
        <v>280</v>
      </c>
      <c r="P11" t="s">
        <v>118</v>
      </c>
      <c r="Q11" t="s">
        <v>89</v>
      </c>
      <c r="R11" t="s">
        <v>334</v>
      </c>
      <c r="S11" t="s">
        <v>89</v>
      </c>
      <c r="T11">
        <v>2726.88</v>
      </c>
      <c r="U11">
        <v>912</v>
      </c>
      <c r="V11" t="s">
        <v>334</v>
      </c>
      <c r="W11" t="s">
        <v>102</v>
      </c>
      <c r="X11" t="s">
        <v>89</v>
      </c>
      <c r="Y11" t="s">
        <v>102</v>
      </c>
      <c r="AF11" t="s">
        <v>335</v>
      </c>
      <c r="AG11" t="s">
        <v>336</v>
      </c>
      <c r="AI11" t="s">
        <v>212</v>
      </c>
      <c r="AJ11" t="s">
        <v>208</v>
      </c>
      <c r="AK11" t="s">
        <v>281</v>
      </c>
      <c r="AM11" t="s">
        <v>10</v>
      </c>
      <c r="AN11" t="s">
        <v>132</v>
      </c>
      <c r="AO11" t="s">
        <v>133</v>
      </c>
      <c r="AP11" t="s">
        <v>90</v>
      </c>
      <c r="AQ11" t="s">
        <v>282</v>
      </c>
      <c r="AR11" t="s">
        <v>283</v>
      </c>
      <c r="AS11" t="s">
        <v>91</v>
      </c>
      <c r="AT11" t="s">
        <v>105</v>
      </c>
      <c r="AU11" t="s">
        <v>106</v>
      </c>
      <c r="AV11" t="s">
        <v>92</v>
      </c>
      <c r="AW11" t="s">
        <v>93</v>
      </c>
      <c r="AX11" t="s">
        <v>94</v>
      </c>
      <c r="AY11" t="s">
        <v>95</v>
      </c>
      <c r="AZ11" t="s">
        <v>250</v>
      </c>
      <c r="BA11" t="s">
        <v>6</v>
      </c>
      <c r="BB11" t="s">
        <v>96</v>
      </c>
      <c r="BC11" t="s">
        <v>98</v>
      </c>
      <c r="BD11" t="s">
        <v>98</v>
      </c>
      <c r="BE11" t="s">
        <v>98</v>
      </c>
      <c r="BF11" t="s">
        <v>99</v>
      </c>
      <c r="BG11" t="s">
        <v>185</v>
      </c>
      <c r="BH11" t="s">
        <v>98</v>
      </c>
      <c r="BI11" t="s">
        <v>172</v>
      </c>
      <c r="BJ11" t="s">
        <v>178</v>
      </c>
      <c r="BL11" t="s">
        <v>100</v>
      </c>
      <c r="BM11" t="s">
        <v>101</v>
      </c>
      <c r="BN11" t="s">
        <v>102</v>
      </c>
      <c r="BO11" t="s">
        <v>103</v>
      </c>
      <c r="BP11" t="s">
        <v>198</v>
      </c>
      <c r="BQ11" t="s">
        <v>337</v>
      </c>
      <c r="BR11" t="str">
        <f>VLOOKUP(KeHEPARDataFlowSource[[#This Row],[Item Status]],Table2[#All],2,FALSE)</f>
        <v>Normal, Active item</v>
      </c>
    </row>
    <row r="12" spans="1:70" x14ac:dyDescent="0.25">
      <c r="A12" t="s">
        <v>206</v>
      </c>
      <c r="B12" t="s">
        <v>122</v>
      </c>
      <c r="C12" t="s">
        <v>279</v>
      </c>
      <c r="D12" t="s">
        <v>124</v>
      </c>
      <c r="E12" t="s">
        <v>316</v>
      </c>
      <c r="F12" t="s">
        <v>253</v>
      </c>
      <c r="G12" t="s">
        <v>238</v>
      </c>
      <c r="H12" t="s">
        <v>87</v>
      </c>
      <c r="I12" t="s">
        <v>239</v>
      </c>
      <c r="J12" t="s">
        <v>10</v>
      </c>
      <c r="K12" t="s">
        <v>120</v>
      </c>
      <c r="L12" t="s">
        <v>88</v>
      </c>
      <c r="M12" t="s">
        <v>148</v>
      </c>
      <c r="N12" t="s">
        <v>148</v>
      </c>
      <c r="O12" t="s">
        <v>280</v>
      </c>
      <c r="P12" t="s">
        <v>118</v>
      </c>
      <c r="Q12" t="s">
        <v>89</v>
      </c>
      <c r="R12" t="s">
        <v>334</v>
      </c>
      <c r="S12" t="s">
        <v>89</v>
      </c>
      <c r="T12">
        <v>2296.3200000000002</v>
      </c>
      <c r="U12">
        <v>768</v>
      </c>
      <c r="V12" t="s">
        <v>334</v>
      </c>
      <c r="W12" t="s">
        <v>102</v>
      </c>
      <c r="X12" t="s">
        <v>89</v>
      </c>
      <c r="Y12" t="s">
        <v>102</v>
      </c>
      <c r="AF12" t="s">
        <v>338</v>
      </c>
      <c r="AG12" t="s">
        <v>249</v>
      </c>
      <c r="AI12" t="s">
        <v>212</v>
      </c>
      <c r="AJ12" t="s">
        <v>208</v>
      </c>
      <c r="AK12" t="s">
        <v>281</v>
      </c>
      <c r="AM12" t="s">
        <v>10</v>
      </c>
      <c r="AN12" t="s">
        <v>132</v>
      </c>
      <c r="AO12" t="s">
        <v>133</v>
      </c>
      <c r="AP12" t="s">
        <v>90</v>
      </c>
      <c r="AQ12" t="s">
        <v>282</v>
      </c>
      <c r="AR12" t="s">
        <v>283</v>
      </c>
      <c r="AS12" t="s">
        <v>91</v>
      </c>
      <c r="AT12" t="s">
        <v>105</v>
      </c>
      <c r="AU12" t="s">
        <v>106</v>
      </c>
      <c r="AV12" t="s">
        <v>92</v>
      </c>
      <c r="AW12" t="s">
        <v>93</v>
      </c>
      <c r="AX12" t="s">
        <v>94</v>
      </c>
      <c r="AY12" t="s">
        <v>95</v>
      </c>
      <c r="AZ12" t="s">
        <v>254</v>
      </c>
      <c r="BA12" t="s">
        <v>6</v>
      </c>
      <c r="BB12" t="s">
        <v>96</v>
      </c>
      <c r="BC12" t="s">
        <v>98</v>
      </c>
      <c r="BD12" t="s">
        <v>98</v>
      </c>
      <c r="BE12" t="s">
        <v>98</v>
      </c>
      <c r="BF12" t="s">
        <v>99</v>
      </c>
      <c r="BG12" t="s">
        <v>185</v>
      </c>
      <c r="BH12" t="s">
        <v>98</v>
      </c>
      <c r="BI12" t="s">
        <v>172</v>
      </c>
      <c r="BJ12" t="s">
        <v>178</v>
      </c>
      <c r="BL12" t="s">
        <v>100</v>
      </c>
      <c r="BM12" t="s">
        <v>101</v>
      </c>
      <c r="BN12" t="s">
        <v>102</v>
      </c>
      <c r="BO12" t="s">
        <v>103</v>
      </c>
      <c r="BP12" t="s">
        <v>186</v>
      </c>
      <c r="BQ12" t="s">
        <v>339</v>
      </c>
      <c r="BR12" t="str">
        <f>VLOOKUP(KeHEPARDataFlowSource[[#This Row],[Item Status]],Table2[#All],2,FALSE)</f>
        <v>Normal, Active item</v>
      </c>
    </row>
    <row r="13" spans="1:70" x14ac:dyDescent="0.25">
      <c r="A13" t="s">
        <v>121</v>
      </c>
      <c r="B13" t="s">
        <v>122</v>
      </c>
      <c r="C13" t="s">
        <v>279</v>
      </c>
      <c r="D13" t="s">
        <v>124</v>
      </c>
      <c r="E13" t="s">
        <v>316</v>
      </c>
      <c r="F13" t="s">
        <v>227</v>
      </c>
      <c r="G13" t="s">
        <v>182</v>
      </c>
      <c r="H13" t="s">
        <v>87</v>
      </c>
      <c r="I13" t="s">
        <v>183</v>
      </c>
      <c r="J13" t="s">
        <v>10</v>
      </c>
      <c r="K13" t="s">
        <v>120</v>
      </c>
      <c r="L13" t="s">
        <v>88</v>
      </c>
      <c r="M13" t="s">
        <v>148</v>
      </c>
      <c r="N13" t="s">
        <v>148</v>
      </c>
      <c r="O13" t="s">
        <v>280</v>
      </c>
      <c r="P13" t="s">
        <v>118</v>
      </c>
      <c r="Q13" t="s">
        <v>89</v>
      </c>
      <c r="R13" t="s">
        <v>186</v>
      </c>
      <c r="S13" t="s">
        <v>89</v>
      </c>
      <c r="T13">
        <v>2439.84</v>
      </c>
      <c r="U13">
        <v>816</v>
      </c>
      <c r="V13" t="s">
        <v>186</v>
      </c>
      <c r="W13" t="s">
        <v>102</v>
      </c>
      <c r="X13" t="s">
        <v>89</v>
      </c>
      <c r="Y13" t="s">
        <v>102</v>
      </c>
      <c r="AF13" t="s">
        <v>340</v>
      </c>
      <c r="AG13" t="s">
        <v>167</v>
      </c>
      <c r="AI13" t="s">
        <v>212</v>
      </c>
      <c r="AJ13" t="s">
        <v>208</v>
      </c>
      <c r="AK13" t="s">
        <v>281</v>
      </c>
      <c r="AM13" t="s">
        <v>10</v>
      </c>
      <c r="AN13" t="s">
        <v>132</v>
      </c>
      <c r="AO13" t="s">
        <v>133</v>
      </c>
      <c r="AP13" t="s">
        <v>90</v>
      </c>
      <c r="AQ13" t="s">
        <v>282</v>
      </c>
      <c r="AR13" t="s">
        <v>283</v>
      </c>
      <c r="AS13" t="s">
        <v>91</v>
      </c>
      <c r="AT13" t="s">
        <v>135</v>
      </c>
      <c r="AU13" t="s">
        <v>136</v>
      </c>
      <c r="AV13" t="s">
        <v>92</v>
      </c>
      <c r="AW13" t="s">
        <v>93</v>
      </c>
      <c r="AX13" t="s">
        <v>94</v>
      </c>
      <c r="AY13" t="s">
        <v>95</v>
      </c>
      <c r="AZ13" t="s">
        <v>228</v>
      </c>
      <c r="BA13" t="s">
        <v>6</v>
      </c>
      <c r="BB13" t="s">
        <v>96</v>
      </c>
      <c r="BC13" t="s">
        <v>98</v>
      </c>
      <c r="BD13" t="s">
        <v>98</v>
      </c>
      <c r="BE13" t="s">
        <v>98</v>
      </c>
      <c r="BF13" t="s">
        <v>138</v>
      </c>
      <c r="BG13" t="s">
        <v>185</v>
      </c>
      <c r="BH13" t="s">
        <v>98</v>
      </c>
      <c r="BI13" t="s">
        <v>284</v>
      </c>
      <c r="BJ13" t="s">
        <v>172</v>
      </c>
      <c r="BL13" t="s">
        <v>100</v>
      </c>
      <c r="BM13" t="s">
        <v>101</v>
      </c>
      <c r="BN13" t="s">
        <v>102</v>
      </c>
      <c r="BO13" t="s">
        <v>103</v>
      </c>
      <c r="BP13" t="s">
        <v>198</v>
      </c>
      <c r="BQ13" t="s">
        <v>341</v>
      </c>
      <c r="BR13" t="str">
        <f>VLOOKUP(KeHEPARDataFlowSource[[#This Row],[Item Status]],Table2[#All],2,FALSE)</f>
        <v>Normal, Active item</v>
      </c>
    </row>
    <row r="14" spans="1:70" x14ac:dyDescent="0.25">
      <c r="A14" t="s">
        <v>121</v>
      </c>
      <c r="B14" t="s">
        <v>122</v>
      </c>
      <c r="C14" t="s">
        <v>279</v>
      </c>
      <c r="D14" t="s">
        <v>124</v>
      </c>
      <c r="E14" t="s">
        <v>316</v>
      </c>
      <c r="F14" t="s">
        <v>312</v>
      </c>
      <c r="G14" t="s">
        <v>238</v>
      </c>
      <c r="H14" t="s">
        <v>87</v>
      </c>
      <c r="I14" t="s">
        <v>239</v>
      </c>
      <c r="J14" t="s">
        <v>8</v>
      </c>
      <c r="K14" t="s">
        <v>120</v>
      </c>
      <c r="L14" t="s">
        <v>88</v>
      </c>
      <c r="M14" t="s">
        <v>148</v>
      </c>
      <c r="N14" t="s">
        <v>148</v>
      </c>
      <c r="O14" t="s">
        <v>280</v>
      </c>
      <c r="P14" t="s">
        <v>118</v>
      </c>
      <c r="Q14" t="s">
        <v>89</v>
      </c>
      <c r="R14" t="s">
        <v>186</v>
      </c>
      <c r="S14" t="s">
        <v>89</v>
      </c>
      <c r="T14">
        <v>2224.56</v>
      </c>
      <c r="U14">
        <v>744</v>
      </c>
      <c r="V14" t="s">
        <v>186</v>
      </c>
      <c r="W14" t="s">
        <v>102</v>
      </c>
      <c r="X14" t="s">
        <v>89</v>
      </c>
      <c r="Y14" t="s">
        <v>102</v>
      </c>
      <c r="AF14" t="s">
        <v>342</v>
      </c>
      <c r="AG14" t="s">
        <v>202</v>
      </c>
      <c r="AI14" t="s">
        <v>212</v>
      </c>
      <c r="AJ14" t="s">
        <v>208</v>
      </c>
      <c r="AK14" t="s">
        <v>281</v>
      </c>
      <c r="AM14" t="s">
        <v>10</v>
      </c>
      <c r="AN14" t="s">
        <v>132</v>
      </c>
      <c r="AO14" t="s">
        <v>133</v>
      </c>
      <c r="AP14" t="s">
        <v>90</v>
      </c>
      <c r="AQ14" t="s">
        <v>282</v>
      </c>
      <c r="AR14" t="s">
        <v>283</v>
      </c>
      <c r="AS14" t="s">
        <v>91</v>
      </c>
      <c r="AT14" t="s">
        <v>135</v>
      </c>
      <c r="AU14" t="s">
        <v>136</v>
      </c>
      <c r="AV14" t="s">
        <v>92</v>
      </c>
      <c r="AW14" t="s">
        <v>93</v>
      </c>
      <c r="AX14" t="s">
        <v>94</v>
      </c>
      <c r="AY14" t="s">
        <v>95</v>
      </c>
      <c r="AZ14" t="s">
        <v>313</v>
      </c>
      <c r="BA14" t="s">
        <v>6</v>
      </c>
      <c r="BB14" t="s">
        <v>96</v>
      </c>
      <c r="BC14" t="s">
        <v>98</v>
      </c>
      <c r="BD14" t="s">
        <v>98</v>
      </c>
      <c r="BE14" t="s">
        <v>98</v>
      </c>
      <c r="BF14" t="s">
        <v>138</v>
      </c>
      <c r="BG14" t="s">
        <v>185</v>
      </c>
      <c r="BH14" t="s">
        <v>98</v>
      </c>
      <c r="BI14" t="s">
        <v>284</v>
      </c>
      <c r="BJ14" t="s">
        <v>172</v>
      </c>
      <c r="BL14" t="s">
        <v>100</v>
      </c>
      <c r="BM14" t="s">
        <v>101</v>
      </c>
      <c r="BN14" t="s">
        <v>102</v>
      </c>
      <c r="BO14" t="s">
        <v>103</v>
      </c>
      <c r="BP14" t="s">
        <v>186</v>
      </c>
      <c r="BQ14" t="s">
        <v>343</v>
      </c>
      <c r="BR14" t="str">
        <f>VLOOKUP(KeHEPARDataFlowSource[[#This Row],[Item Status]],Table2[#All],2,FALSE)</f>
        <v>Temporarily OOS due to Manuf</v>
      </c>
    </row>
    <row r="15" spans="1:70" x14ac:dyDescent="0.25">
      <c r="A15" t="s">
        <v>139</v>
      </c>
      <c r="B15" t="s">
        <v>122</v>
      </c>
      <c r="C15" t="s">
        <v>279</v>
      </c>
      <c r="D15" t="s">
        <v>124</v>
      </c>
      <c r="E15" t="s">
        <v>316</v>
      </c>
      <c r="F15" t="s">
        <v>257</v>
      </c>
      <c r="G15" t="s">
        <v>200</v>
      </c>
      <c r="H15" t="s">
        <v>87</v>
      </c>
      <c r="I15" t="s">
        <v>201</v>
      </c>
      <c r="J15" t="s">
        <v>10</v>
      </c>
      <c r="K15" t="s">
        <v>120</v>
      </c>
      <c r="L15" t="s">
        <v>88</v>
      </c>
      <c r="M15" t="s">
        <v>148</v>
      </c>
      <c r="N15" t="s">
        <v>148</v>
      </c>
      <c r="O15" t="s">
        <v>280</v>
      </c>
      <c r="P15" t="s">
        <v>118</v>
      </c>
      <c r="Q15" t="s">
        <v>89</v>
      </c>
      <c r="R15" t="s">
        <v>344</v>
      </c>
      <c r="S15" t="s">
        <v>89</v>
      </c>
      <c r="T15">
        <v>5453.76</v>
      </c>
      <c r="U15">
        <v>1824</v>
      </c>
      <c r="V15" t="s">
        <v>344</v>
      </c>
      <c r="W15" t="s">
        <v>102</v>
      </c>
      <c r="X15" t="s">
        <v>89</v>
      </c>
      <c r="Y15" t="s">
        <v>102</v>
      </c>
      <c r="AF15" t="s">
        <v>345</v>
      </c>
      <c r="AG15" t="s">
        <v>322</v>
      </c>
      <c r="AI15" t="s">
        <v>212</v>
      </c>
      <c r="AJ15" t="s">
        <v>208</v>
      </c>
      <c r="AK15" t="s">
        <v>281</v>
      </c>
      <c r="AM15" t="s">
        <v>10</v>
      </c>
      <c r="AN15" t="s">
        <v>132</v>
      </c>
      <c r="AO15" t="s">
        <v>133</v>
      </c>
      <c r="AP15" t="s">
        <v>90</v>
      </c>
      <c r="AQ15" t="s">
        <v>282</v>
      </c>
      <c r="AR15" t="s">
        <v>283</v>
      </c>
      <c r="AS15" t="s">
        <v>91</v>
      </c>
      <c r="AT15" t="s">
        <v>135</v>
      </c>
      <c r="AU15" t="s">
        <v>136</v>
      </c>
      <c r="AV15" t="s">
        <v>92</v>
      </c>
      <c r="AW15" t="s">
        <v>93</v>
      </c>
      <c r="AX15" t="s">
        <v>94</v>
      </c>
      <c r="AY15" t="s">
        <v>95</v>
      </c>
      <c r="AZ15" t="s">
        <v>258</v>
      </c>
      <c r="BA15" t="s">
        <v>6</v>
      </c>
      <c r="BB15" t="s">
        <v>96</v>
      </c>
      <c r="BC15" t="s">
        <v>98</v>
      </c>
      <c r="BD15" t="s">
        <v>98</v>
      </c>
      <c r="BE15" t="s">
        <v>98</v>
      </c>
      <c r="BF15" t="s">
        <v>146</v>
      </c>
      <c r="BG15" t="s">
        <v>185</v>
      </c>
      <c r="BH15" t="s">
        <v>97</v>
      </c>
      <c r="BI15" t="s">
        <v>346</v>
      </c>
      <c r="BJ15" t="s">
        <v>346</v>
      </c>
      <c r="BL15" t="s">
        <v>100</v>
      </c>
      <c r="BM15" t="s">
        <v>101</v>
      </c>
      <c r="BN15" t="s">
        <v>102</v>
      </c>
      <c r="BO15" t="s">
        <v>103</v>
      </c>
      <c r="BP15" t="s">
        <v>167</v>
      </c>
      <c r="BQ15" t="s">
        <v>347</v>
      </c>
      <c r="BR15" t="str">
        <f>VLOOKUP(KeHEPARDataFlowSource[[#This Row],[Item Status]],Table2[#All],2,FALSE)</f>
        <v>Normal, Active item</v>
      </c>
    </row>
    <row r="16" spans="1:70" x14ac:dyDescent="0.25">
      <c r="A16" t="s">
        <v>175</v>
      </c>
      <c r="B16" t="s">
        <v>122</v>
      </c>
      <c r="C16" t="s">
        <v>279</v>
      </c>
      <c r="D16" t="s">
        <v>124</v>
      </c>
      <c r="E16" t="s">
        <v>316</v>
      </c>
      <c r="F16" t="s">
        <v>181</v>
      </c>
      <c r="G16" t="s">
        <v>182</v>
      </c>
      <c r="H16" t="s">
        <v>87</v>
      </c>
      <c r="I16" t="s">
        <v>183</v>
      </c>
      <c r="J16" t="s">
        <v>10</v>
      </c>
      <c r="K16" t="s">
        <v>120</v>
      </c>
      <c r="L16" t="s">
        <v>88</v>
      </c>
      <c r="M16" t="s">
        <v>148</v>
      </c>
      <c r="N16" t="s">
        <v>148</v>
      </c>
      <c r="O16" t="s">
        <v>280</v>
      </c>
      <c r="P16" t="s">
        <v>118</v>
      </c>
      <c r="Q16" t="s">
        <v>89</v>
      </c>
      <c r="R16" t="s">
        <v>348</v>
      </c>
      <c r="S16" t="s">
        <v>89</v>
      </c>
      <c r="T16">
        <v>2296.3200000000002</v>
      </c>
      <c r="U16">
        <v>768</v>
      </c>
      <c r="V16" t="s">
        <v>348</v>
      </c>
      <c r="W16" t="s">
        <v>102</v>
      </c>
      <c r="X16" t="s">
        <v>89</v>
      </c>
      <c r="Y16" t="s">
        <v>102</v>
      </c>
      <c r="AF16" t="s">
        <v>344</v>
      </c>
      <c r="AG16" t="s">
        <v>349</v>
      </c>
      <c r="AI16" t="s">
        <v>212</v>
      </c>
      <c r="AJ16" t="s">
        <v>208</v>
      </c>
      <c r="AK16" t="s">
        <v>281</v>
      </c>
      <c r="AM16" t="s">
        <v>10</v>
      </c>
      <c r="AN16" t="s">
        <v>132</v>
      </c>
      <c r="AO16" t="s">
        <v>133</v>
      </c>
      <c r="AP16" t="s">
        <v>90</v>
      </c>
      <c r="AQ16" t="s">
        <v>282</v>
      </c>
      <c r="AR16" t="s">
        <v>283</v>
      </c>
      <c r="AS16" t="s">
        <v>91</v>
      </c>
      <c r="AT16" t="s">
        <v>105</v>
      </c>
      <c r="AU16" t="s">
        <v>106</v>
      </c>
      <c r="AV16" t="s">
        <v>92</v>
      </c>
      <c r="AW16" t="s">
        <v>93</v>
      </c>
      <c r="AX16" t="s">
        <v>94</v>
      </c>
      <c r="AY16" t="s">
        <v>95</v>
      </c>
      <c r="AZ16" t="s">
        <v>184</v>
      </c>
      <c r="BA16" t="s">
        <v>6</v>
      </c>
      <c r="BB16" t="s">
        <v>96</v>
      </c>
      <c r="BC16" t="s">
        <v>98</v>
      </c>
      <c r="BD16" t="s">
        <v>98</v>
      </c>
      <c r="BE16" t="s">
        <v>98</v>
      </c>
      <c r="BF16" t="s">
        <v>171</v>
      </c>
      <c r="BG16" t="s">
        <v>185</v>
      </c>
      <c r="BH16" t="s">
        <v>98</v>
      </c>
      <c r="BI16" t="s">
        <v>350</v>
      </c>
      <c r="BJ16" t="s">
        <v>351</v>
      </c>
      <c r="BL16" t="s">
        <v>100</v>
      </c>
      <c r="BM16" t="s">
        <v>101</v>
      </c>
      <c r="BN16" t="s">
        <v>102</v>
      </c>
      <c r="BO16" t="s">
        <v>103</v>
      </c>
      <c r="BP16" t="s">
        <v>198</v>
      </c>
      <c r="BQ16" t="s">
        <v>146</v>
      </c>
      <c r="BR16" t="str">
        <f>VLOOKUP(KeHEPARDataFlowSource[[#This Row],[Item Status]],Table2[#All],2,FALSE)</f>
        <v>Normal, Active item</v>
      </c>
    </row>
    <row r="17" spans="1:70" x14ac:dyDescent="0.25">
      <c r="A17" t="s">
        <v>121</v>
      </c>
      <c r="B17" t="s">
        <v>122</v>
      </c>
      <c r="C17" t="s">
        <v>123</v>
      </c>
      <c r="D17" t="s">
        <v>124</v>
      </c>
      <c r="E17" t="s">
        <v>125</v>
      </c>
      <c r="F17" t="s">
        <v>227</v>
      </c>
      <c r="G17" t="s">
        <v>182</v>
      </c>
      <c r="H17" t="s">
        <v>87</v>
      </c>
      <c r="I17" t="s">
        <v>183</v>
      </c>
      <c r="J17" t="s">
        <v>10</v>
      </c>
      <c r="K17" t="s">
        <v>120</v>
      </c>
      <c r="L17" t="s">
        <v>88</v>
      </c>
      <c r="M17" t="s">
        <v>148</v>
      </c>
      <c r="N17" t="s">
        <v>148</v>
      </c>
      <c r="O17" t="s">
        <v>127</v>
      </c>
      <c r="P17" t="s">
        <v>118</v>
      </c>
      <c r="Q17" t="s">
        <v>89</v>
      </c>
      <c r="R17" t="s">
        <v>89</v>
      </c>
      <c r="S17" t="s">
        <v>89</v>
      </c>
      <c r="T17">
        <v>1184.04</v>
      </c>
      <c r="U17">
        <v>396</v>
      </c>
      <c r="V17" t="s">
        <v>89</v>
      </c>
      <c r="W17" t="s">
        <v>102</v>
      </c>
      <c r="X17" t="s">
        <v>89</v>
      </c>
      <c r="Y17" t="s">
        <v>102</v>
      </c>
      <c r="Z17" t="s">
        <v>291</v>
      </c>
      <c r="AA17" t="s">
        <v>169</v>
      </c>
      <c r="AB17" t="s">
        <v>169</v>
      </c>
      <c r="AE17" t="s">
        <v>116</v>
      </c>
      <c r="AF17" t="s">
        <v>340</v>
      </c>
      <c r="AG17" t="s">
        <v>167</v>
      </c>
      <c r="AH17" t="s">
        <v>352</v>
      </c>
      <c r="AI17" t="s">
        <v>128</v>
      </c>
      <c r="AJ17" t="s">
        <v>129</v>
      </c>
      <c r="AK17" t="s">
        <v>130</v>
      </c>
      <c r="AL17" t="s">
        <v>131</v>
      </c>
      <c r="AM17" t="s">
        <v>119</v>
      </c>
      <c r="AN17" t="s">
        <v>132</v>
      </c>
      <c r="AO17" t="s">
        <v>133</v>
      </c>
      <c r="AP17" t="s">
        <v>90</v>
      </c>
      <c r="AQ17" t="s">
        <v>134</v>
      </c>
      <c r="AR17" t="s">
        <v>287</v>
      </c>
      <c r="AS17" t="s">
        <v>91</v>
      </c>
      <c r="AT17" t="s">
        <v>135</v>
      </c>
      <c r="AU17" t="s">
        <v>136</v>
      </c>
      <c r="AV17" t="s">
        <v>92</v>
      </c>
      <c r="AW17" t="s">
        <v>93</v>
      </c>
      <c r="AX17" t="s">
        <v>94</v>
      </c>
      <c r="AY17" t="s">
        <v>95</v>
      </c>
      <c r="AZ17" t="s">
        <v>228</v>
      </c>
      <c r="BA17" t="s">
        <v>6</v>
      </c>
      <c r="BB17" t="s">
        <v>96</v>
      </c>
      <c r="BC17" t="s">
        <v>98</v>
      </c>
      <c r="BD17" t="s">
        <v>98</v>
      </c>
      <c r="BE17" t="s">
        <v>98</v>
      </c>
      <c r="BF17" t="s">
        <v>138</v>
      </c>
      <c r="BG17" t="s">
        <v>185</v>
      </c>
      <c r="BH17" t="s">
        <v>98</v>
      </c>
      <c r="BI17" t="s">
        <v>284</v>
      </c>
      <c r="BJ17" t="s">
        <v>172</v>
      </c>
      <c r="BL17" t="s">
        <v>100</v>
      </c>
      <c r="BM17" t="s">
        <v>101</v>
      </c>
      <c r="BN17" t="s">
        <v>102</v>
      </c>
      <c r="BO17" t="s">
        <v>103</v>
      </c>
      <c r="BP17" t="s">
        <v>198</v>
      </c>
      <c r="BQ17" t="s">
        <v>341</v>
      </c>
      <c r="BR17" t="str">
        <f>VLOOKUP(KeHEPARDataFlowSource[[#This Row],[Item Status]],Table2[#All],2,FALSE)</f>
        <v>Normal, Active item</v>
      </c>
    </row>
    <row r="18" spans="1:70" x14ac:dyDescent="0.25">
      <c r="A18" t="s">
        <v>139</v>
      </c>
      <c r="B18" t="s">
        <v>122</v>
      </c>
      <c r="C18" t="s">
        <v>123</v>
      </c>
      <c r="D18" t="s">
        <v>124</v>
      </c>
      <c r="E18" t="s">
        <v>125</v>
      </c>
      <c r="F18" t="s">
        <v>255</v>
      </c>
      <c r="G18" t="s">
        <v>182</v>
      </c>
      <c r="H18" t="s">
        <v>87</v>
      </c>
      <c r="I18" t="s">
        <v>183</v>
      </c>
      <c r="J18" t="s">
        <v>10</v>
      </c>
      <c r="K18" t="s">
        <v>120</v>
      </c>
      <c r="L18" t="s">
        <v>88</v>
      </c>
      <c r="M18" t="s">
        <v>148</v>
      </c>
      <c r="N18" t="s">
        <v>148</v>
      </c>
      <c r="O18" t="s">
        <v>143</v>
      </c>
      <c r="P18" t="s">
        <v>118</v>
      </c>
      <c r="Q18" t="s">
        <v>89</v>
      </c>
      <c r="R18" t="s">
        <v>89</v>
      </c>
      <c r="S18" t="s">
        <v>89</v>
      </c>
      <c r="T18">
        <v>2691</v>
      </c>
      <c r="U18">
        <v>900</v>
      </c>
      <c r="V18" t="s">
        <v>89</v>
      </c>
      <c r="W18" t="s">
        <v>102</v>
      </c>
      <c r="X18" t="s">
        <v>89</v>
      </c>
      <c r="Y18" t="s">
        <v>102</v>
      </c>
      <c r="Z18" t="s">
        <v>292</v>
      </c>
      <c r="AA18" t="s">
        <v>293</v>
      </c>
      <c r="AB18" t="s">
        <v>293</v>
      </c>
      <c r="AE18" t="s">
        <v>116</v>
      </c>
      <c r="AF18" t="s">
        <v>167</v>
      </c>
      <c r="AG18" t="s">
        <v>353</v>
      </c>
      <c r="AH18" t="s">
        <v>352</v>
      </c>
      <c r="AI18" t="s">
        <v>128</v>
      </c>
      <c r="AJ18" t="s">
        <v>129</v>
      </c>
      <c r="AK18" t="s">
        <v>130</v>
      </c>
      <c r="AL18" t="s">
        <v>144</v>
      </c>
      <c r="AM18" t="s">
        <v>119</v>
      </c>
      <c r="AN18" t="s">
        <v>132</v>
      </c>
      <c r="AO18" t="s">
        <v>133</v>
      </c>
      <c r="AP18" t="s">
        <v>90</v>
      </c>
      <c r="AQ18" t="s">
        <v>134</v>
      </c>
      <c r="AR18" t="s">
        <v>287</v>
      </c>
      <c r="AS18" t="s">
        <v>91</v>
      </c>
      <c r="AT18" t="s">
        <v>135</v>
      </c>
      <c r="AU18" t="s">
        <v>136</v>
      </c>
      <c r="AV18" t="s">
        <v>92</v>
      </c>
      <c r="AW18" t="s">
        <v>93</v>
      </c>
      <c r="AX18" t="s">
        <v>94</v>
      </c>
      <c r="AY18" t="s">
        <v>95</v>
      </c>
      <c r="AZ18" t="s">
        <v>256</v>
      </c>
      <c r="BA18" t="s">
        <v>6</v>
      </c>
      <c r="BB18" t="s">
        <v>96</v>
      </c>
      <c r="BC18" t="s">
        <v>98</v>
      </c>
      <c r="BD18" t="s">
        <v>98</v>
      </c>
      <c r="BE18" t="s">
        <v>98</v>
      </c>
      <c r="BF18" t="s">
        <v>146</v>
      </c>
      <c r="BG18" t="s">
        <v>185</v>
      </c>
      <c r="BH18" t="s">
        <v>97</v>
      </c>
      <c r="BI18" t="s">
        <v>346</v>
      </c>
      <c r="BJ18" t="s">
        <v>346</v>
      </c>
      <c r="BL18" t="s">
        <v>100</v>
      </c>
      <c r="BM18" t="s">
        <v>101</v>
      </c>
      <c r="BN18" t="s">
        <v>102</v>
      </c>
      <c r="BO18" t="s">
        <v>103</v>
      </c>
      <c r="BP18" t="s">
        <v>322</v>
      </c>
      <c r="BQ18" t="s">
        <v>354</v>
      </c>
      <c r="BR18" t="str">
        <f>VLOOKUP(KeHEPARDataFlowSource[[#This Row],[Item Status]],Table2[#All],2,FALSE)</f>
        <v>Normal, Active item</v>
      </c>
    </row>
    <row r="19" spans="1:70" x14ac:dyDescent="0.25">
      <c r="A19" t="s">
        <v>148</v>
      </c>
      <c r="B19" t="s">
        <v>122</v>
      </c>
      <c r="C19" t="s">
        <v>123</v>
      </c>
      <c r="D19" t="s">
        <v>124</v>
      </c>
      <c r="E19" t="s">
        <v>125</v>
      </c>
      <c r="F19" t="s">
        <v>265</v>
      </c>
      <c r="G19" t="s">
        <v>182</v>
      </c>
      <c r="H19" t="s">
        <v>87</v>
      </c>
      <c r="I19" t="s">
        <v>183</v>
      </c>
      <c r="J19" t="s">
        <v>10</v>
      </c>
      <c r="K19" t="s">
        <v>120</v>
      </c>
      <c r="L19" t="s">
        <v>88</v>
      </c>
      <c r="M19" t="s">
        <v>148</v>
      </c>
      <c r="N19" t="s">
        <v>148</v>
      </c>
      <c r="O19" t="s">
        <v>152</v>
      </c>
      <c r="P19" t="s">
        <v>118</v>
      </c>
      <c r="Q19" t="s">
        <v>89</v>
      </c>
      <c r="R19" t="s">
        <v>89</v>
      </c>
      <c r="S19" t="s">
        <v>89</v>
      </c>
      <c r="T19">
        <v>1184.04</v>
      </c>
      <c r="U19">
        <v>396</v>
      </c>
      <c r="V19" t="s">
        <v>89</v>
      </c>
      <c r="W19" t="s">
        <v>102</v>
      </c>
      <c r="X19" t="s">
        <v>89</v>
      </c>
      <c r="Y19" t="s">
        <v>102</v>
      </c>
      <c r="Z19" t="s">
        <v>355</v>
      </c>
      <c r="AA19" t="s">
        <v>356</v>
      </c>
      <c r="AB19" t="s">
        <v>356</v>
      </c>
      <c r="AE19" t="s">
        <v>116</v>
      </c>
      <c r="AF19" t="s">
        <v>317</v>
      </c>
      <c r="AG19" t="s">
        <v>202</v>
      </c>
      <c r="AH19" t="s">
        <v>352</v>
      </c>
      <c r="AI19" t="s">
        <v>128</v>
      </c>
      <c r="AJ19" t="s">
        <v>129</v>
      </c>
      <c r="AK19" t="s">
        <v>130</v>
      </c>
      <c r="AL19" t="s">
        <v>153</v>
      </c>
      <c r="AM19" t="s">
        <v>119</v>
      </c>
      <c r="AN19" t="s">
        <v>132</v>
      </c>
      <c r="AO19" t="s">
        <v>133</v>
      </c>
      <c r="AP19" t="s">
        <v>90</v>
      </c>
      <c r="AQ19" t="s">
        <v>134</v>
      </c>
      <c r="AR19" t="s">
        <v>287</v>
      </c>
      <c r="AS19" t="s">
        <v>91</v>
      </c>
      <c r="AT19" t="s">
        <v>135</v>
      </c>
      <c r="AU19" t="s">
        <v>136</v>
      </c>
      <c r="AV19" t="s">
        <v>92</v>
      </c>
      <c r="AW19" t="s">
        <v>93</v>
      </c>
      <c r="AX19" t="s">
        <v>94</v>
      </c>
      <c r="AY19" t="s">
        <v>95</v>
      </c>
      <c r="AZ19" t="s">
        <v>266</v>
      </c>
      <c r="BA19" t="s">
        <v>6</v>
      </c>
      <c r="BB19" t="s">
        <v>96</v>
      </c>
      <c r="BC19" t="s">
        <v>98</v>
      </c>
      <c r="BD19" t="s">
        <v>98</v>
      </c>
      <c r="BE19" t="s">
        <v>98</v>
      </c>
      <c r="BF19" t="s">
        <v>155</v>
      </c>
      <c r="BG19" t="s">
        <v>185</v>
      </c>
      <c r="BH19" t="s">
        <v>97</v>
      </c>
      <c r="BI19" t="s">
        <v>318</v>
      </c>
      <c r="BJ19" t="s">
        <v>102</v>
      </c>
      <c r="BL19" t="s">
        <v>100</v>
      </c>
      <c r="BM19" t="s">
        <v>101</v>
      </c>
      <c r="BN19" t="s">
        <v>102</v>
      </c>
      <c r="BO19" t="s">
        <v>103</v>
      </c>
      <c r="BP19" t="s">
        <v>186</v>
      </c>
      <c r="BQ19" t="s">
        <v>319</v>
      </c>
      <c r="BR19" t="str">
        <f>VLOOKUP(KeHEPARDataFlowSource[[#This Row],[Item Status]],Table2[#All],2,FALSE)</f>
        <v>Normal, Active item</v>
      </c>
    </row>
    <row r="20" spans="1:70" x14ac:dyDescent="0.25">
      <c r="A20" t="s">
        <v>146</v>
      </c>
      <c r="B20" t="s">
        <v>122</v>
      </c>
      <c r="C20" t="s">
        <v>123</v>
      </c>
      <c r="D20" t="s">
        <v>124</v>
      </c>
      <c r="E20" t="s">
        <v>125</v>
      </c>
      <c r="F20" t="s">
        <v>232</v>
      </c>
      <c r="G20" t="s">
        <v>182</v>
      </c>
      <c r="H20" t="s">
        <v>87</v>
      </c>
      <c r="I20" t="s">
        <v>183</v>
      </c>
      <c r="J20" t="s">
        <v>10</v>
      </c>
      <c r="K20" t="s">
        <v>120</v>
      </c>
      <c r="L20" t="s">
        <v>88</v>
      </c>
      <c r="M20" t="s">
        <v>148</v>
      </c>
      <c r="N20" t="s">
        <v>148</v>
      </c>
      <c r="O20" t="s">
        <v>165</v>
      </c>
      <c r="P20" t="s">
        <v>118</v>
      </c>
      <c r="Q20" t="s">
        <v>89</v>
      </c>
      <c r="R20" t="s">
        <v>89</v>
      </c>
      <c r="S20" t="s">
        <v>89</v>
      </c>
      <c r="T20">
        <v>1865.76</v>
      </c>
      <c r="U20">
        <v>624</v>
      </c>
      <c r="V20" t="s">
        <v>89</v>
      </c>
      <c r="W20" t="s">
        <v>102</v>
      </c>
      <c r="X20" t="s">
        <v>89</v>
      </c>
      <c r="Y20" t="s">
        <v>102</v>
      </c>
      <c r="Z20" t="s">
        <v>357</v>
      </c>
      <c r="AA20" t="s">
        <v>169</v>
      </c>
      <c r="AB20" t="s">
        <v>169</v>
      </c>
      <c r="AE20" t="s">
        <v>116</v>
      </c>
      <c r="AF20" t="s">
        <v>327</v>
      </c>
      <c r="AG20" t="s">
        <v>310</v>
      </c>
      <c r="AH20" t="s">
        <v>352</v>
      </c>
      <c r="AI20" t="s">
        <v>128</v>
      </c>
      <c r="AJ20" t="s">
        <v>129</v>
      </c>
      <c r="AK20" t="s">
        <v>130</v>
      </c>
      <c r="AL20" t="s">
        <v>169</v>
      </c>
      <c r="AM20" t="s">
        <v>119</v>
      </c>
      <c r="AN20" t="s">
        <v>132</v>
      </c>
      <c r="AO20" t="s">
        <v>133</v>
      </c>
      <c r="AP20" t="s">
        <v>90</v>
      </c>
      <c r="AQ20" t="s">
        <v>134</v>
      </c>
      <c r="AR20" t="s">
        <v>287</v>
      </c>
      <c r="AS20" t="s">
        <v>91</v>
      </c>
      <c r="AT20" t="s">
        <v>135</v>
      </c>
      <c r="AU20" t="s">
        <v>136</v>
      </c>
      <c r="AV20" t="s">
        <v>92</v>
      </c>
      <c r="AW20" t="s">
        <v>93</v>
      </c>
      <c r="AX20" t="s">
        <v>94</v>
      </c>
      <c r="AY20" t="s">
        <v>95</v>
      </c>
      <c r="AZ20" t="s">
        <v>234</v>
      </c>
      <c r="BA20" t="s">
        <v>6</v>
      </c>
      <c r="BB20" t="s">
        <v>96</v>
      </c>
      <c r="BC20" t="s">
        <v>98</v>
      </c>
      <c r="BD20" t="s">
        <v>98</v>
      </c>
      <c r="BE20" t="s">
        <v>98</v>
      </c>
      <c r="BF20" t="s">
        <v>171</v>
      </c>
      <c r="BG20" t="s">
        <v>185</v>
      </c>
      <c r="BH20" t="s">
        <v>98</v>
      </c>
      <c r="BI20" t="s">
        <v>284</v>
      </c>
      <c r="BJ20" t="s">
        <v>284</v>
      </c>
      <c r="BL20" t="s">
        <v>100</v>
      </c>
      <c r="BM20" t="s">
        <v>101</v>
      </c>
      <c r="BN20" t="s">
        <v>102</v>
      </c>
      <c r="BO20" t="s">
        <v>103</v>
      </c>
      <c r="BP20" t="s">
        <v>186</v>
      </c>
      <c r="BQ20" t="s">
        <v>319</v>
      </c>
      <c r="BR20" t="str">
        <f>VLOOKUP(KeHEPARDataFlowSource[[#This Row],[Item Status]],Table2[#All],2,FALSE)</f>
        <v>Normal, Active item</v>
      </c>
    </row>
    <row r="21" spans="1:70" x14ac:dyDescent="0.25">
      <c r="A21" t="s">
        <v>175</v>
      </c>
      <c r="B21" t="s">
        <v>122</v>
      </c>
      <c r="C21" t="s">
        <v>123</v>
      </c>
      <c r="D21" t="s">
        <v>124</v>
      </c>
      <c r="E21" t="s">
        <v>125</v>
      </c>
      <c r="F21" t="s">
        <v>181</v>
      </c>
      <c r="G21" t="s">
        <v>182</v>
      </c>
      <c r="H21" t="s">
        <v>87</v>
      </c>
      <c r="I21" t="s">
        <v>183</v>
      </c>
      <c r="J21" t="s">
        <v>10</v>
      </c>
      <c r="K21" t="s">
        <v>120</v>
      </c>
      <c r="L21" t="s">
        <v>88</v>
      </c>
      <c r="M21" t="s">
        <v>148</v>
      </c>
      <c r="N21" t="s">
        <v>148</v>
      </c>
      <c r="O21" t="s">
        <v>165</v>
      </c>
      <c r="P21" t="s">
        <v>118</v>
      </c>
      <c r="Q21" t="s">
        <v>89</v>
      </c>
      <c r="R21" t="s">
        <v>89</v>
      </c>
      <c r="S21" t="s">
        <v>89</v>
      </c>
      <c r="T21">
        <v>897</v>
      </c>
      <c r="U21">
        <v>300</v>
      </c>
      <c r="V21" t="s">
        <v>89</v>
      </c>
      <c r="W21" t="s">
        <v>102</v>
      </c>
      <c r="X21" t="s">
        <v>89</v>
      </c>
      <c r="Y21" t="s">
        <v>102</v>
      </c>
      <c r="Z21" t="s">
        <v>306</v>
      </c>
      <c r="AA21" t="s">
        <v>159</v>
      </c>
      <c r="AB21" t="s">
        <v>290</v>
      </c>
      <c r="AD21" t="s">
        <v>159</v>
      </c>
      <c r="AE21" t="s">
        <v>116</v>
      </c>
      <c r="AF21" t="s">
        <v>344</v>
      </c>
      <c r="AG21" t="s">
        <v>349</v>
      </c>
      <c r="AH21" t="s">
        <v>352</v>
      </c>
      <c r="AI21" t="s">
        <v>128</v>
      </c>
      <c r="AJ21" t="s">
        <v>129</v>
      </c>
      <c r="AK21" t="s">
        <v>130</v>
      </c>
      <c r="AL21" t="s">
        <v>169</v>
      </c>
      <c r="AM21" t="s">
        <v>119</v>
      </c>
      <c r="AN21" t="s">
        <v>132</v>
      </c>
      <c r="AO21" t="s">
        <v>133</v>
      </c>
      <c r="AP21" t="s">
        <v>90</v>
      </c>
      <c r="AQ21" t="s">
        <v>134</v>
      </c>
      <c r="AR21" t="s">
        <v>287</v>
      </c>
      <c r="AS21" t="s">
        <v>91</v>
      </c>
      <c r="AT21" t="s">
        <v>105</v>
      </c>
      <c r="AU21" t="s">
        <v>106</v>
      </c>
      <c r="AV21" t="s">
        <v>92</v>
      </c>
      <c r="AW21" t="s">
        <v>93</v>
      </c>
      <c r="AX21" t="s">
        <v>94</v>
      </c>
      <c r="AY21" t="s">
        <v>95</v>
      </c>
      <c r="AZ21" t="s">
        <v>184</v>
      </c>
      <c r="BA21" t="s">
        <v>6</v>
      </c>
      <c r="BB21" t="s">
        <v>96</v>
      </c>
      <c r="BC21" t="s">
        <v>98</v>
      </c>
      <c r="BD21" t="s">
        <v>98</v>
      </c>
      <c r="BE21" t="s">
        <v>98</v>
      </c>
      <c r="BF21" t="s">
        <v>171</v>
      </c>
      <c r="BG21" t="s">
        <v>185</v>
      </c>
      <c r="BH21" t="s">
        <v>98</v>
      </c>
      <c r="BI21" t="s">
        <v>350</v>
      </c>
      <c r="BJ21" t="s">
        <v>351</v>
      </c>
      <c r="BL21" t="s">
        <v>100</v>
      </c>
      <c r="BM21" t="s">
        <v>101</v>
      </c>
      <c r="BN21" t="s">
        <v>102</v>
      </c>
      <c r="BO21" t="s">
        <v>103</v>
      </c>
      <c r="BP21" t="s">
        <v>198</v>
      </c>
      <c r="BQ21" t="s">
        <v>146</v>
      </c>
      <c r="BR21" t="str">
        <f>VLOOKUP(KeHEPARDataFlowSource[[#This Row],[Item Status]],Table2[#All],2,FALSE)</f>
        <v>Normal, Active item</v>
      </c>
    </row>
    <row r="22" spans="1:70" x14ac:dyDescent="0.25">
      <c r="A22" t="s">
        <v>104</v>
      </c>
      <c r="B22" t="s">
        <v>122</v>
      </c>
      <c r="C22" t="s">
        <v>123</v>
      </c>
      <c r="D22" t="s">
        <v>124</v>
      </c>
      <c r="E22" t="s">
        <v>125</v>
      </c>
      <c r="F22" t="s">
        <v>194</v>
      </c>
      <c r="G22" t="s">
        <v>182</v>
      </c>
      <c r="H22" t="s">
        <v>87</v>
      </c>
      <c r="I22" t="s">
        <v>183</v>
      </c>
      <c r="J22" t="s">
        <v>10</v>
      </c>
      <c r="K22" t="s">
        <v>120</v>
      </c>
      <c r="L22" t="s">
        <v>88</v>
      </c>
      <c r="M22" t="s">
        <v>148</v>
      </c>
      <c r="N22" t="s">
        <v>148</v>
      </c>
      <c r="O22" t="s">
        <v>190</v>
      </c>
      <c r="P22" t="s">
        <v>118</v>
      </c>
      <c r="Q22" t="s">
        <v>89</v>
      </c>
      <c r="R22" t="s">
        <v>89</v>
      </c>
      <c r="S22" t="s">
        <v>89</v>
      </c>
      <c r="T22">
        <v>717.6</v>
      </c>
      <c r="U22">
        <v>240</v>
      </c>
      <c r="V22" t="s">
        <v>89</v>
      </c>
      <c r="W22" t="s">
        <v>102</v>
      </c>
      <c r="X22" t="s">
        <v>89</v>
      </c>
      <c r="Y22" t="s">
        <v>102</v>
      </c>
      <c r="Z22" t="s">
        <v>358</v>
      </c>
      <c r="AA22" t="s">
        <v>297</v>
      </c>
      <c r="AB22" t="s">
        <v>297</v>
      </c>
      <c r="AE22" t="s">
        <v>116</v>
      </c>
      <c r="AF22" t="s">
        <v>309</v>
      </c>
      <c r="AG22" t="s">
        <v>196</v>
      </c>
      <c r="AH22" t="s">
        <v>352</v>
      </c>
      <c r="AI22" t="s">
        <v>128</v>
      </c>
      <c r="AJ22" t="s">
        <v>129</v>
      </c>
      <c r="AK22" t="s">
        <v>130</v>
      </c>
      <c r="AL22" t="s">
        <v>191</v>
      </c>
      <c r="AM22" t="s">
        <v>119</v>
      </c>
      <c r="AN22" t="s">
        <v>132</v>
      </c>
      <c r="AO22" t="s">
        <v>133</v>
      </c>
      <c r="AP22" t="s">
        <v>90</v>
      </c>
      <c r="AQ22" t="s">
        <v>134</v>
      </c>
      <c r="AR22" t="s">
        <v>287</v>
      </c>
      <c r="AS22" t="s">
        <v>91</v>
      </c>
      <c r="AT22" t="s">
        <v>105</v>
      </c>
      <c r="AU22" t="s">
        <v>106</v>
      </c>
      <c r="AV22" t="s">
        <v>92</v>
      </c>
      <c r="AW22" t="s">
        <v>93</v>
      </c>
      <c r="AX22" t="s">
        <v>94</v>
      </c>
      <c r="AY22" t="s">
        <v>95</v>
      </c>
      <c r="AZ22" t="s">
        <v>197</v>
      </c>
      <c r="BA22" t="s">
        <v>6</v>
      </c>
      <c r="BB22" t="s">
        <v>96</v>
      </c>
      <c r="BC22" t="s">
        <v>98</v>
      </c>
      <c r="BD22" t="s">
        <v>98</v>
      </c>
      <c r="BE22" t="s">
        <v>98</v>
      </c>
      <c r="BF22" t="s">
        <v>99</v>
      </c>
      <c r="BG22" t="s">
        <v>185</v>
      </c>
      <c r="BH22" t="s">
        <v>98</v>
      </c>
      <c r="BI22" t="s">
        <v>102</v>
      </c>
      <c r="BJ22" t="s">
        <v>178</v>
      </c>
      <c r="BL22" t="s">
        <v>100</v>
      </c>
      <c r="BM22" t="s">
        <v>101</v>
      </c>
      <c r="BN22" t="s">
        <v>102</v>
      </c>
      <c r="BO22" t="s">
        <v>103</v>
      </c>
      <c r="BP22" t="s">
        <v>186</v>
      </c>
      <c r="BQ22" t="s">
        <v>330</v>
      </c>
      <c r="BR22" t="str">
        <f>VLOOKUP(KeHEPARDataFlowSource[[#This Row],[Item Status]],Table2[#All],2,FALSE)</f>
        <v>Normal, Active item</v>
      </c>
    </row>
    <row r="23" spans="1:70" x14ac:dyDescent="0.25">
      <c r="A23" t="s">
        <v>206</v>
      </c>
      <c r="B23" t="s">
        <v>122</v>
      </c>
      <c r="C23" t="s">
        <v>123</v>
      </c>
      <c r="D23" t="s">
        <v>124</v>
      </c>
      <c r="E23" t="s">
        <v>125</v>
      </c>
      <c r="F23" t="s">
        <v>247</v>
      </c>
      <c r="G23" t="s">
        <v>182</v>
      </c>
      <c r="H23" t="s">
        <v>87</v>
      </c>
      <c r="I23" t="s">
        <v>183</v>
      </c>
      <c r="J23" t="s">
        <v>10</v>
      </c>
      <c r="K23" t="s">
        <v>120</v>
      </c>
      <c r="L23" t="s">
        <v>88</v>
      </c>
      <c r="M23" t="s">
        <v>148</v>
      </c>
      <c r="N23" t="s">
        <v>148</v>
      </c>
      <c r="O23" t="s">
        <v>190</v>
      </c>
      <c r="P23" t="s">
        <v>118</v>
      </c>
      <c r="Q23" t="s">
        <v>89</v>
      </c>
      <c r="R23" t="s">
        <v>89</v>
      </c>
      <c r="S23" t="s">
        <v>89</v>
      </c>
      <c r="T23">
        <v>1435.2</v>
      </c>
      <c r="U23">
        <v>480</v>
      </c>
      <c r="V23" t="s">
        <v>89</v>
      </c>
      <c r="W23" t="s">
        <v>102</v>
      </c>
      <c r="X23" t="s">
        <v>89</v>
      </c>
      <c r="Y23" t="s">
        <v>102</v>
      </c>
      <c r="Z23" t="s">
        <v>359</v>
      </c>
      <c r="AA23" t="s">
        <v>169</v>
      </c>
      <c r="AB23" t="s">
        <v>169</v>
      </c>
      <c r="AE23" t="s">
        <v>116</v>
      </c>
      <c r="AF23" t="s">
        <v>335</v>
      </c>
      <c r="AG23" t="s">
        <v>336</v>
      </c>
      <c r="AH23" t="s">
        <v>352</v>
      </c>
      <c r="AI23" t="s">
        <v>128</v>
      </c>
      <c r="AJ23" t="s">
        <v>129</v>
      </c>
      <c r="AK23" t="s">
        <v>130</v>
      </c>
      <c r="AL23" t="s">
        <v>191</v>
      </c>
      <c r="AM23" t="s">
        <v>119</v>
      </c>
      <c r="AN23" t="s">
        <v>132</v>
      </c>
      <c r="AO23" t="s">
        <v>133</v>
      </c>
      <c r="AP23" t="s">
        <v>90</v>
      </c>
      <c r="AQ23" t="s">
        <v>134</v>
      </c>
      <c r="AR23" t="s">
        <v>287</v>
      </c>
      <c r="AS23" t="s">
        <v>91</v>
      </c>
      <c r="AT23" t="s">
        <v>105</v>
      </c>
      <c r="AU23" t="s">
        <v>106</v>
      </c>
      <c r="AV23" t="s">
        <v>92</v>
      </c>
      <c r="AW23" t="s">
        <v>93</v>
      </c>
      <c r="AX23" t="s">
        <v>94</v>
      </c>
      <c r="AY23" t="s">
        <v>95</v>
      </c>
      <c r="AZ23" t="s">
        <v>250</v>
      </c>
      <c r="BA23" t="s">
        <v>6</v>
      </c>
      <c r="BB23" t="s">
        <v>96</v>
      </c>
      <c r="BC23" t="s">
        <v>98</v>
      </c>
      <c r="BD23" t="s">
        <v>98</v>
      </c>
      <c r="BE23" t="s">
        <v>98</v>
      </c>
      <c r="BF23" t="s">
        <v>99</v>
      </c>
      <c r="BG23" t="s">
        <v>185</v>
      </c>
      <c r="BH23" t="s">
        <v>98</v>
      </c>
      <c r="BI23" t="s">
        <v>172</v>
      </c>
      <c r="BJ23" t="s">
        <v>178</v>
      </c>
      <c r="BL23" t="s">
        <v>100</v>
      </c>
      <c r="BM23" t="s">
        <v>101</v>
      </c>
      <c r="BN23" t="s">
        <v>102</v>
      </c>
      <c r="BO23" t="s">
        <v>103</v>
      </c>
      <c r="BP23" t="s">
        <v>198</v>
      </c>
      <c r="BQ23" t="s">
        <v>337</v>
      </c>
      <c r="BR23" t="str">
        <f>VLOOKUP(KeHEPARDataFlowSource[[#This Row],[Item Status]],Table2[#All],2,FALSE)</f>
        <v>Normal, Active item</v>
      </c>
    </row>
    <row r="24" spans="1:70" x14ac:dyDescent="0.25">
      <c r="A24" t="s">
        <v>214</v>
      </c>
      <c r="B24" t="s">
        <v>122</v>
      </c>
      <c r="C24" t="s">
        <v>123</v>
      </c>
      <c r="D24" t="s">
        <v>124</v>
      </c>
      <c r="E24" t="s">
        <v>125</v>
      </c>
      <c r="F24" t="s">
        <v>271</v>
      </c>
      <c r="G24" t="s">
        <v>182</v>
      </c>
      <c r="H24" t="s">
        <v>87</v>
      </c>
      <c r="I24" t="s">
        <v>183</v>
      </c>
      <c r="J24" t="s">
        <v>10</v>
      </c>
      <c r="K24" t="s">
        <v>120</v>
      </c>
      <c r="L24" t="s">
        <v>88</v>
      </c>
      <c r="M24" t="s">
        <v>148</v>
      </c>
      <c r="N24" t="s">
        <v>148</v>
      </c>
      <c r="O24" t="s">
        <v>289</v>
      </c>
      <c r="P24" t="s">
        <v>118</v>
      </c>
      <c r="Q24" t="s">
        <v>89</v>
      </c>
      <c r="R24" t="s">
        <v>89</v>
      </c>
      <c r="S24" t="s">
        <v>89</v>
      </c>
      <c r="T24">
        <v>1578.72</v>
      </c>
      <c r="U24">
        <v>528</v>
      </c>
      <c r="V24" t="s">
        <v>89</v>
      </c>
      <c r="W24" t="s">
        <v>102</v>
      </c>
      <c r="X24" t="s">
        <v>89</v>
      </c>
      <c r="Y24" t="s">
        <v>102</v>
      </c>
      <c r="Z24" t="s">
        <v>296</v>
      </c>
      <c r="AA24" t="s">
        <v>297</v>
      </c>
      <c r="AB24" t="s">
        <v>297</v>
      </c>
      <c r="AE24" t="s">
        <v>116</v>
      </c>
      <c r="AF24" t="s">
        <v>321</v>
      </c>
      <c r="AG24" t="s">
        <v>322</v>
      </c>
      <c r="AH24" t="s">
        <v>352</v>
      </c>
      <c r="AI24" t="s">
        <v>128</v>
      </c>
      <c r="AJ24" t="s">
        <v>129</v>
      </c>
      <c r="AK24" t="s">
        <v>130</v>
      </c>
      <c r="AL24" t="s">
        <v>290</v>
      </c>
      <c r="AM24" t="s">
        <v>119</v>
      </c>
      <c r="AN24" t="s">
        <v>132</v>
      </c>
      <c r="AO24" t="s">
        <v>133</v>
      </c>
      <c r="AP24" t="s">
        <v>90</v>
      </c>
      <c r="AQ24" t="s">
        <v>134</v>
      </c>
      <c r="AR24" t="s">
        <v>287</v>
      </c>
      <c r="AS24" t="s">
        <v>91</v>
      </c>
      <c r="AT24" t="s">
        <v>135</v>
      </c>
      <c r="AU24" t="s">
        <v>136</v>
      </c>
      <c r="AV24" t="s">
        <v>92</v>
      </c>
      <c r="AW24" t="s">
        <v>93</v>
      </c>
      <c r="AX24" t="s">
        <v>94</v>
      </c>
      <c r="AY24" t="s">
        <v>95</v>
      </c>
      <c r="AZ24" t="s">
        <v>272</v>
      </c>
      <c r="BA24" t="s">
        <v>6</v>
      </c>
      <c r="BB24" t="s">
        <v>96</v>
      </c>
      <c r="BC24" t="s">
        <v>98</v>
      </c>
      <c r="BD24" t="s">
        <v>98</v>
      </c>
      <c r="BE24" t="s">
        <v>98</v>
      </c>
      <c r="BF24" t="s">
        <v>286</v>
      </c>
      <c r="BG24" t="s">
        <v>185</v>
      </c>
      <c r="BH24" t="s">
        <v>97</v>
      </c>
      <c r="BI24" t="s">
        <v>89</v>
      </c>
      <c r="BJ24" t="s">
        <v>102</v>
      </c>
      <c r="BL24" t="s">
        <v>100</v>
      </c>
      <c r="BM24" t="s">
        <v>101</v>
      </c>
      <c r="BN24" t="s">
        <v>102</v>
      </c>
      <c r="BO24" t="s">
        <v>103</v>
      </c>
      <c r="BP24" t="s">
        <v>186</v>
      </c>
      <c r="BQ24" t="s">
        <v>323</v>
      </c>
      <c r="BR24" t="str">
        <f>VLOOKUP(KeHEPARDataFlowSource[[#This Row],[Item Status]],Table2[#All],2,FALSE)</f>
        <v>Normal, Active item</v>
      </c>
    </row>
    <row r="25" spans="1:70" x14ac:dyDescent="0.25">
      <c r="A25" t="s">
        <v>121</v>
      </c>
      <c r="B25" t="s">
        <v>122</v>
      </c>
      <c r="C25" t="s">
        <v>123</v>
      </c>
      <c r="D25" t="s">
        <v>124</v>
      </c>
      <c r="E25" t="s">
        <v>125</v>
      </c>
      <c r="F25" t="s">
        <v>229</v>
      </c>
      <c r="G25" t="s">
        <v>200</v>
      </c>
      <c r="H25" t="s">
        <v>87</v>
      </c>
      <c r="I25" t="s">
        <v>201</v>
      </c>
      <c r="J25" t="s">
        <v>10</v>
      </c>
      <c r="K25" t="s">
        <v>120</v>
      </c>
      <c r="L25" t="s">
        <v>88</v>
      </c>
      <c r="M25" t="s">
        <v>148</v>
      </c>
      <c r="N25" t="s">
        <v>148</v>
      </c>
      <c r="O25" t="s">
        <v>127</v>
      </c>
      <c r="P25" t="s">
        <v>118</v>
      </c>
      <c r="Q25" t="s">
        <v>89</v>
      </c>
      <c r="R25" t="s">
        <v>89</v>
      </c>
      <c r="S25" t="s">
        <v>89</v>
      </c>
      <c r="T25">
        <v>968.76</v>
      </c>
      <c r="U25">
        <v>324</v>
      </c>
      <c r="V25" t="s">
        <v>89</v>
      </c>
      <c r="W25" t="s">
        <v>102</v>
      </c>
      <c r="X25" t="s">
        <v>89</v>
      </c>
      <c r="Y25" t="s">
        <v>102</v>
      </c>
      <c r="Z25" t="s">
        <v>291</v>
      </c>
      <c r="AA25" t="s">
        <v>169</v>
      </c>
      <c r="AB25" t="s">
        <v>169</v>
      </c>
      <c r="AE25" t="s">
        <v>116</v>
      </c>
      <c r="AF25" t="s">
        <v>360</v>
      </c>
      <c r="AG25" t="s">
        <v>196</v>
      </c>
      <c r="AH25" t="s">
        <v>352</v>
      </c>
      <c r="AI25" t="s">
        <v>128</v>
      </c>
      <c r="AJ25" t="s">
        <v>129</v>
      </c>
      <c r="AK25" t="s">
        <v>130</v>
      </c>
      <c r="AL25" t="s">
        <v>131</v>
      </c>
      <c r="AM25" t="s">
        <v>119</v>
      </c>
      <c r="AN25" t="s">
        <v>132</v>
      </c>
      <c r="AO25" t="s">
        <v>133</v>
      </c>
      <c r="AP25" t="s">
        <v>90</v>
      </c>
      <c r="AQ25" t="s">
        <v>134</v>
      </c>
      <c r="AR25" t="s">
        <v>287</v>
      </c>
      <c r="AS25" t="s">
        <v>91</v>
      </c>
      <c r="AT25" t="s">
        <v>135</v>
      </c>
      <c r="AU25" t="s">
        <v>136</v>
      </c>
      <c r="AV25" t="s">
        <v>92</v>
      </c>
      <c r="AW25" t="s">
        <v>93</v>
      </c>
      <c r="AX25" t="s">
        <v>94</v>
      </c>
      <c r="AY25" t="s">
        <v>95</v>
      </c>
      <c r="AZ25" t="s">
        <v>231</v>
      </c>
      <c r="BA25" t="s">
        <v>6</v>
      </c>
      <c r="BB25" t="s">
        <v>96</v>
      </c>
      <c r="BC25" t="s">
        <v>98</v>
      </c>
      <c r="BD25" t="s">
        <v>98</v>
      </c>
      <c r="BE25" t="s">
        <v>98</v>
      </c>
      <c r="BF25" t="s">
        <v>138</v>
      </c>
      <c r="BG25" t="s">
        <v>185</v>
      </c>
      <c r="BH25" t="s">
        <v>98</v>
      </c>
      <c r="BI25" t="s">
        <v>284</v>
      </c>
      <c r="BJ25" t="s">
        <v>172</v>
      </c>
      <c r="BL25" t="s">
        <v>100</v>
      </c>
      <c r="BM25" t="s">
        <v>101</v>
      </c>
      <c r="BN25" t="s">
        <v>102</v>
      </c>
      <c r="BO25" t="s">
        <v>103</v>
      </c>
      <c r="BP25" t="s">
        <v>186</v>
      </c>
      <c r="BQ25" t="s">
        <v>361</v>
      </c>
      <c r="BR25" t="str">
        <f>VLOOKUP(KeHEPARDataFlowSource[[#This Row],[Item Status]],Table2[#All],2,FALSE)</f>
        <v>Normal, Active item</v>
      </c>
    </row>
    <row r="26" spans="1:70" x14ac:dyDescent="0.25">
      <c r="A26" t="s">
        <v>139</v>
      </c>
      <c r="B26" t="s">
        <v>122</v>
      </c>
      <c r="C26" t="s">
        <v>123</v>
      </c>
      <c r="D26" t="s">
        <v>124</v>
      </c>
      <c r="E26" t="s">
        <v>125</v>
      </c>
      <c r="F26" t="s">
        <v>257</v>
      </c>
      <c r="G26" t="s">
        <v>200</v>
      </c>
      <c r="H26" t="s">
        <v>87</v>
      </c>
      <c r="I26" t="s">
        <v>201</v>
      </c>
      <c r="J26" t="s">
        <v>10</v>
      </c>
      <c r="K26" t="s">
        <v>120</v>
      </c>
      <c r="L26" t="s">
        <v>88</v>
      </c>
      <c r="M26" t="s">
        <v>148</v>
      </c>
      <c r="N26" t="s">
        <v>148</v>
      </c>
      <c r="O26" t="s">
        <v>143</v>
      </c>
      <c r="P26" t="s">
        <v>118</v>
      </c>
      <c r="Q26" t="s">
        <v>89</v>
      </c>
      <c r="R26" t="s">
        <v>89</v>
      </c>
      <c r="S26" t="s">
        <v>89</v>
      </c>
      <c r="T26">
        <v>2152.8000000000002</v>
      </c>
      <c r="U26">
        <v>720</v>
      </c>
      <c r="V26" t="s">
        <v>89</v>
      </c>
      <c r="W26" t="s">
        <v>102</v>
      </c>
      <c r="X26" t="s">
        <v>89</v>
      </c>
      <c r="Y26" t="s">
        <v>102</v>
      </c>
      <c r="Z26" t="s">
        <v>292</v>
      </c>
      <c r="AA26" t="s">
        <v>293</v>
      </c>
      <c r="AB26" t="s">
        <v>293</v>
      </c>
      <c r="AE26" t="s">
        <v>116</v>
      </c>
      <c r="AF26" t="s">
        <v>345</v>
      </c>
      <c r="AG26" t="s">
        <v>322</v>
      </c>
      <c r="AH26" t="s">
        <v>352</v>
      </c>
      <c r="AI26" t="s">
        <v>128</v>
      </c>
      <c r="AJ26" t="s">
        <v>129</v>
      </c>
      <c r="AK26" t="s">
        <v>130</v>
      </c>
      <c r="AL26" t="s">
        <v>144</v>
      </c>
      <c r="AM26" t="s">
        <v>119</v>
      </c>
      <c r="AN26" t="s">
        <v>132</v>
      </c>
      <c r="AO26" t="s">
        <v>133</v>
      </c>
      <c r="AP26" t="s">
        <v>90</v>
      </c>
      <c r="AQ26" t="s">
        <v>134</v>
      </c>
      <c r="AR26" t="s">
        <v>287</v>
      </c>
      <c r="AS26" t="s">
        <v>91</v>
      </c>
      <c r="AT26" t="s">
        <v>135</v>
      </c>
      <c r="AU26" t="s">
        <v>136</v>
      </c>
      <c r="AV26" t="s">
        <v>92</v>
      </c>
      <c r="AW26" t="s">
        <v>93</v>
      </c>
      <c r="AX26" t="s">
        <v>94</v>
      </c>
      <c r="AY26" t="s">
        <v>95</v>
      </c>
      <c r="AZ26" t="s">
        <v>258</v>
      </c>
      <c r="BA26" t="s">
        <v>6</v>
      </c>
      <c r="BB26" t="s">
        <v>96</v>
      </c>
      <c r="BC26" t="s">
        <v>98</v>
      </c>
      <c r="BD26" t="s">
        <v>98</v>
      </c>
      <c r="BE26" t="s">
        <v>98</v>
      </c>
      <c r="BF26" t="s">
        <v>146</v>
      </c>
      <c r="BG26" t="s">
        <v>185</v>
      </c>
      <c r="BH26" t="s">
        <v>97</v>
      </c>
      <c r="BI26" t="s">
        <v>346</v>
      </c>
      <c r="BJ26" t="s">
        <v>346</v>
      </c>
      <c r="BL26" t="s">
        <v>100</v>
      </c>
      <c r="BM26" t="s">
        <v>101</v>
      </c>
      <c r="BN26" t="s">
        <v>102</v>
      </c>
      <c r="BO26" t="s">
        <v>103</v>
      </c>
      <c r="BP26" t="s">
        <v>167</v>
      </c>
      <c r="BQ26" t="s">
        <v>347</v>
      </c>
      <c r="BR26" t="str">
        <f>VLOOKUP(KeHEPARDataFlowSource[[#This Row],[Item Status]],Table2[#All],2,FALSE)</f>
        <v>Normal, Active item</v>
      </c>
    </row>
    <row r="27" spans="1:70" x14ac:dyDescent="0.25">
      <c r="A27" t="s">
        <v>139</v>
      </c>
      <c r="B27" t="s">
        <v>122</v>
      </c>
      <c r="C27" t="s">
        <v>123</v>
      </c>
      <c r="D27" t="s">
        <v>124</v>
      </c>
      <c r="E27" t="s">
        <v>125</v>
      </c>
      <c r="F27" t="s">
        <v>259</v>
      </c>
      <c r="G27" t="s">
        <v>238</v>
      </c>
      <c r="H27" t="s">
        <v>87</v>
      </c>
      <c r="I27" t="s">
        <v>239</v>
      </c>
      <c r="J27" t="s">
        <v>10</v>
      </c>
      <c r="K27" t="s">
        <v>120</v>
      </c>
      <c r="L27" t="s">
        <v>88</v>
      </c>
      <c r="M27" t="s">
        <v>148</v>
      </c>
      <c r="N27" t="s">
        <v>148</v>
      </c>
      <c r="O27" t="s">
        <v>143</v>
      </c>
      <c r="P27" t="s">
        <v>118</v>
      </c>
      <c r="Q27" t="s">
        <v>89</v>
      </c>
      <c r="R27" t="s">
        <v>89</v>
      </c>
      <c r="S27" t="s">
        <v>89</v>
      </c>
      <c r="T27">
        <v>2152.8000000000002</v>
      </c>
      <c r="U27">
        <v>720</v>
      </c>
      <c r="V27" t="s">
        <v>89</v>
      </c>
      <c r="W27" t="s">
        <v>102</v>
      </c>
      <c r="X27" t="s">
        <v>89</v>
      </c>
      <c r="Y27" t="s">
        <v>102</v>
      </c>
      <c r="Z27" t="s">
        <v>294</v>
      </c>
      <c r="AA27" t="s">
        <v>293</v>
      </c>
      <c r="AB27" t="s">
        <v>293</v>
      </c>
      <c r="AE27" t="s">
        <v>116</v>
      </c>
      <c r="AF27" t="s">
        <v>362</v>
      </c>
      <c r="AG27" t="s">
        <v>363</v>
      </c>
      <c r="AH27" t="s">
        <v>352</v>
      </c>
      <c r="AI27" t="s">
        <v>128</v>
      </c>
      <c r="AJ27" t="s">
        <v>129</v>
      </c>
      <c r="AK27" t="s">
        <v>130</v>
      </c>
      <c r="AL27" t="s">
        <v>144</v>
      </c>
      <c r="AM27" t="s">
        <v>119</v>
      </c>
      <c r="AN27" t="s">
        <v>132</v>
      </c>
      <c r="AO27" t="s">
        <v>133</v>
      </c>
      <c r="AP27" t="s">
        <v>90</v>
      </c>
      <c r="AQ27" t="s">
        <v>134</v>
      </c>
      <c r="AR27" t="s">
        <v>287</v>
      </c>
      <c r="AS27" t="s">
        <v>91</v>
      </c>
      <c r="AT27" t="s">
        <v>135</v>
      </c>
      <c r="AU27" t="s">
        <v>136</v>
      </c>
      <c r="AV27" t="s">
        <v>92</v>
      </c>
      <c r="AW27" t="s">
        <v>93</v>
      </c>
      <c r="AX27" t="s">
        <v>94</v>
      </c>
      <c r="AY27" t="s">
        <v>95</v>
      </c>
      <c r="AZ27" t="s">
        <v>260</v>
      </c>
      <c r="BA27" t="s">
        <v>6</v>
      </c>
      <c r="BB27" t="s">
        <v>96</v>
      </c>
      <c r="BC27" t="s">
        <v>98</v>
      </c>
      <c r="BD27" t="s">
        <v>98</v>
      </c>
      <c r="BE27" t="s">
        <v>98</v>
      </c>
      <c r="BF27" t="s">
        <v>146</v>
      </c>
      <c r="BG27" t="s">
        <v>185</v>
      </c>
      <c r="BH27" t="s">
        <v>97</v>
      </c>
      <c r="BI27" t="s">
        <v>346</v>
      </c>
      <c r="BJ27" t="s">
        <v>346</v>
      </c>
      <c r="BL27" t="s">
        <v>100</v>
      </c>
      <c r="BM27" t="s">
        <v>101</v>
      </c>
      <c r="BN27" t="s">
        <v>102</v>
      </c>
      <c r="BO27" t="s">
        <v>103</v>
      </c>
      <c r="BP27" t="s">
        <v>198</v>
      </c>
      <c r="BQ27" t="s">
        <v>178</v>
      </c>
      <c r="BR27" t="str">
        <f>VLOOKUP(KeHEPARDataFlowSource[[#This Row],[Item Status]],Table2[#All],2,FALSE)</f>
        <v>Normal, Active item</v>
      </c>
    </row>
    <row r="28" spans="1:70" x14ac:dyDescent="0.25">
      <c r="A28" t="s">
        <v>148</v>
      </c>
      <c r="B28" t="s">
        <v>122</v>
      </c>
      <c r="C28" t="s">
        <v>123</v>
      </c>
      <c r="D28" t="s">
        <v>124</v>
      </c>
      <c r="E28" t="s">
        <v>125</v>
      </c>
      <c r="F28" t="s">
        <v>267</v>
      </c>
      <c r="G28" t="s">
        <v>200</v>
      </c>
      <c r="H28" t="s">
        <v>87</v>
      </c>
      <c r="I28" t="s">
        <v>201</v>
      </c>
      <c r="J28" t="s">
        <v>10</v>
      </c>
      <c r="K28" t="s">
        <v>120</v>
      </c>
      <c r="L28" t="s">
        <v>88</v>
      </c>
      <c r="M28" t="s">
        <v>148</v>
      </c>
      <c r="N28" t="s">
        <v>148</v>
      </c>
      <c r="O28" t="s">
        <v>152</v>
      </c>
      <c r="P28" t="s">
        <v>118</v>
      </c>
      <c r="Q28" t="s">
        <v>89</v>
      </c>
      <c r="R28" t="s">
        <v>89</v>
      </c>
      <c r="S28" t="s">
        <v>89</v>
      </c>
      <c r="T28">
        <v>968.76</v>
      </c>
      <c r="U28">
        <v>324</v>
      </c>
      <c r="V28" t="s">
        <v>89</v>
      </c>
      <c r="W28" t="s">
        <v>102</v>
      </c>
      <c r="X28" t="s">
        <v>89</v>
      </c>
      <c r="Y28" t="s">
        <v>102</v>
      </c>
      <c r="Z28" t="s">
        <v>355</v>
      </c>
      <c r="AA28" t="s">
        <v>356</v>
      </c>
      <c r="AB28" t="s">
        <v>356</v>
      </c>
      <c r="AE28" t="s">
        <v>116</v>
      </c>
      <c r="AF28" t="s">
        <v>117</v>
      </c>
      <c r="AG28" t="s">
        <v>186</v>
      </c>
      <c r="AH28" t="s">
        <v>352</v>
      </c>
      <c r="AI28" t="s">
        <v>128</v>
      </c>
      <c r="AJ28" t="s">
        <v>129</v>
      </c>
      <c r="AK28" t="s">
        <v>130</v>
      </c>
      <c r="AL28" t="s">
        <v>153</v>
      </c>
      <c r="AM28" t="s">
        <v>119</v>
      </c>
      <c r="AN28" t="s">
        <v>132</v>
      </c>
      <c r="AO28" t="s">
        <v>133</v>
      </c>
      <c r="AP28" t="s">
        <v>90</v>
      </c>
      <c r="AQ28" t="s">
        <v>134</v>
      </c>
      <c r="AR28" t="s">
        <v>287</v>
      </c>
      <c r="AS28" t="s">
        <v>91</v>
      </c>
      <c r="AT28" t="s">
        <v>135</v>
      </c>
      <c r="AU28" t="s">
        <v>136</v>
      </c>
      <c r="AV28" t="s">
        <v>92</v>
      </c>
      <c r="AW28" t="s">
        <v>93</v>
      </c>
      <c r="AX28" t="s">
        <v>94</v>
      </c>
      <c r="AY28" t="s">
        <v>95</v>
      </c>
      <c r="AZ28" t="s">
        <v>268</v>
      </c>
      <c r="BA28" t="s">
        <v>6</v>
      </c>
      <c r="BB28" t="s">
        <v>96</v>
      </c>
      <c r="BC28" t="s">
        <v>98</v>
      </c>
      <c r="BD28" t="s">
        <v>98</v>
      </c>
      <c r="BE28" t="s">
        <v>98</v>
      </c>
      <c r="BF28" t="s">
        <v>155</v>
      </c>
      <c r="BG28" t="s">
        <v>185</v>
      </c>
      <c r="BH28" t="s">
        <v>97</v>
      </c>
      <c r="BI28" t="s">
        <v>318</v>
      </c>
      <c r="BJ28" t="s">
        <v>102</v>
      </c>
      <c r="BL28" t="s">
        <v>100</v>
      </c>
      <c r="BM28" t="s">
        <v>101</v>
      </c>
      <c r="BN28" t="s">
        <v>102</v>
      </c>
      <c r="BO28" t="s">
        <v>103</v>
      </c>
      <c r="BP28" t="s">
        <v>186</v>
      </c>
      <c r="BQ28" t="s">
        <v>320</v>
      </c>
      <c r="BR28" t="str">
        <f>VLOOKUP(KeHEPARDataFlowSource[[#This Row],[Item Status]],Table2[#All],2,FALSE)</f>
        <v>Normal, Active item</v>
      </c>
    </row>
    <row r="29" spans="1:70" x14ac:dyDescent="0.25">
      <c r="A29" t="s">
        <v>146</v>
      </c>
      <c r="B29" t="s">
        <v>122</v>
      </c>
      <c r="C29" t="s">
        <v>123</v>
      </c>
      <c r="D29" t="s">
        <v>124</v>
      </c>
      <c r="E29" t="s">
        <v>125</v>
      </c>
      <c r="F29" t="s">
        <v>235</v>
      </c>
      <c r="G29" t="s">
        <v>200</v>
      </c>
      <c r="H29" t="s">
        <v>87</v>
      </c>
      <c r="I29" t="s">
        <v>201</v>
      </c>
      <c r="J29" t="s">
        <v>10</v>
      </c>
      <c r="K29" t="s">
        <v>120</v>
      </c>
      <c r="L29" t="s">
        <v>88</v>
      </c>
      <c r="M29" t="s">
        <v>148</v>
      </c>
      <c r="N29" t="s">
        <v>148</v>
      </c>
      <c r="O29" t="s">
        <v>165</v>
      </c>
      <c r="P29" t="s">
        <v>118</v>
      </c>
      <c r="Q29" t="s">
        <v>89</v>
      </c>
      <c r="R29" t="s">
        <v>89</v>
      </c>
      <c r="S29" t="s">
        <v>89</v>
      </c>
      <c r="T29">
        <v>1722.24</v>
      </c>
      <c r="U29">
        <v>576</v>
      </c>
      <c r="V29" t="s">
        <v>89</v>
      </c>
      <c r="W29" t="s">
        <v>102</v>
      </c>
      <c r="X29" t="s">
        <v>89</v>
      </c>
      <c r="Y29" t="s">
        <v>102</v>
      </c>
      <c r="Z29" t="s">
        <v>304</v>
      </c>
      <c r="AA29" t="s">
        <v>305</v>
      </c>
      <c r="AB29" t="s">
        <v>305</v>
      </c>
      <c r="AE29" t="s">
        <v>116</v>
      </c>
      <c r="AF29" t="s">
        <v>225</v>
      </c>
      <c r="AG29" t="s">
        <v>233</v>
      </c>
      <c r="AH29" t="s">
        <v>352</v>
      </c>
      <c r="AI29" t="s">
        <v>128</v>
      </c>
      <c r="AJ29" t="s">
        <v>129</v>
      </c>
      <c r="AK29" t="s">
        <v>130</v>
      </c>
      <c r="AL29" t="s">
        <v>169</v>
      </c>
      <c r="AM29" t="s">
        <v>119</v>
      </c>
      <c r="AN29" t="s">
        <v>132</v>
      </c>
      <c r="AO29" t="s">
        <v>133</v>
      </c>
      <c r="AP29" t="s">
        <v>90</v>
      </c>
      <c r="AQ29" t="s">
        <v>134</v>
      </c>
      <c r="AR29" t="s">
        <v>287</v>
      </c>
      <c r="AS29" t="s">
        <v>91</v>
      </c>
      <c r="AT29" t="s">
        <v>135</v>
      </c>
      <c r="AU29" t="s">
        <v>136</v>
      </c>
      <c r="AV29" t="s">
        <v>92</v>
      </c>
      <c r="AW29" t="s">
        <v>93</v>
      </c>
      <c r="AX29" t="s">
        <v>94</v>
      </c>
      <c r="AY29" t="s">
        <v>95</v>
      </c>
      <c r="AZ29" t="s">
        <v>236</v>
      </c>
      <c r="BA29" t="s">
        <v>6</v>
      </c>
      <c r="BB29" t="s">
        <v>96</v>
      </c>
      <c r="BC29" t="s">
        <v>98</v>
      </c>
      <c r="BD29" t="s">
        <v>98</v>
      </c>
      <c r="BE29" t="s">
        <v>98</v>
      </c>
      <c r="BF29" t="s">
        <v>171</v>
      </c>
      <c r="BG29" t="s">
        <v>185</v>
      </c>
      <c r="BH29" t="s">
        <v>98</v>
      </c>
      <c r="BI29" t="s">
        <v>284</v>
      </c>
      <c r="BJ29" t="s">
        <v>284</v>
      </c>
      <c r="BL29" t="s">
        <v>100</v>
      </c>
      <c r="BM29" t="s">
        <v>101</v>
      </c>
      <c r="BN29" t="s">
        <v>102</v>
      </c>
      <c r="BO29" t="s">
        <v>103</v>
      </c>
      <c r="BP29" t="s">
        <v>198</v>
      </c>
      <c r="BQ29" t="s">
        <v>328</v>
      </c>
      <c r="BR29" t="str">
        <f>VLOOKUP(KeHEPARDataFlowSource[[#This Row],[Item Status]],Table2[#All],2,FALSE)</f>
        <v>Normal, Active item</v>
      </c>
    </row>
    <row r="30" spans="1:70" x14ac:dyDescent="0.25">
      <c r="A30" t="s">
        <v>104</v>
      </c>
      <c r="B30" t="s">
        <v>122</v>
      </c>
      <c r="C30" t="s">
        <v>123</v>
      </c>
      <c r="D30" t="s">
        <v>124</v>
      </c>
      <c r="E30" t="s">
        <v>125</v>
      </c>
      <c r="F30" t="s">
        <v>199</v>
      </c>
      <c r="G30" t="s">
        <v>200</v>
      </c>
      <c r="H30" t="s">
        <v>87</v>
      </c>
      <c r="I30" t="s">
        <v>201</v>
      </c>
      <c r="J30" t="s">
        <v>10</v>
      </c>
      <c r="K30" t="s">
        <v>120</v>
      </c>
      <c r="L30" t="s">
        <v>88</v>
      </c>
      <c r="M30" t="s">
        <v>148</v>
      </c>
      <c r="N30" t="s">
        <v>148</v>
      </c>
      <c r="O30" t="s">
        <v>190</v>
      </c>
      <c r="P30" t="s">
        <v>118</v>
      </c>
      <c r="Q30" t="s">
        <v>89</v>
      </c>
      <c r="R30" t="s">
        <v>89</v>
      </c>
      <c r="S30" t="s">
        <v>89</v>
      </c>
      <c r="T30">
        <v>574.08000000000004</v>
      </c>
      <c r="U30">
        <v>192</v>
      </c>
      <c r="V30" t="s">
        <v>89</v>
      </c>
      <c r="W30" t="s">
        <v>102</v>
      </c>
      <c r="X30" t="s">
        <v>89</v>
      </c>
      <c r="Y30" t="s">
        <v>102</v>
      </c>
      <c r="Z30" t="s">
        <v>358</v>
      </c>
      <c r="AA30" t="s">
        <v>297</v>
      </c>
      <c r="AB30" t="s">
        <v>297</v>
      </c>
      <c r="AE30" t="s">
        <v>116</v>
      </c>
      <c r="AF30" t="s">
        <v>160</v>
      </c>
      <c r="AG30" t="s">
        <v>233</v>
      </c>
      <c r="AH30" t="s">
        <v>352</v>
      </c>
      <c r="AI30" t="s">
        <v>128</v>
      </c>
      <c r="AJ30" t="s">
        <v>129</v>
      </c>
      <c r="AK30" t="s">
        <v>130</v>
      </c>
      <c r="AL30" t="s">
        <v>191</v>
      </c>
      <c r="AM30" t="s">
        <v>119</v>
      </c>
      <c r="AN30" t="s">
        <v>132</v>
      </c>
      <c r="AO30" t="s">
        <v>133</v>
      </c>
      <c r="AP30" t="s">
        <v>90</v>
      </c>
      <c r="AQ30" t="s">
        <v>134</v>
      </c>
      <c r="AR30" t="s">
        <v>287</v>
      </c>
      <c r="AS30" t="s">
        <v>91</v>
      </c>
      <c r="AT30" t="s">
        <v>105</v>
      </c>
      <c r="AU30" t="s">
        <v>106</v>
      </c>
      <c r="AV30" t="s">
        <v>92</v>
      </c>
      <c r="AW30" t="s">
        <v>93</v>
      </c>
      <c r="AX30" t="s">
        <v>94</v>
      </c>
      <c r="AY30" t="s">
        <v>95</v>
      </c>
      <c r="AZ30" t="s">
        <v>203</v>
      </c>
      <c r="BA30" t="s">
        <v>6</v>
      </c>
      <c r="BB30" t="s">
        <v>96</v>
      </c>
      <c r="BC30" t="s">
        <v>98</v>
      </c>
      <c r="BD30" t="s">
        <v>98</v>
      </c>
      <c r="BE30" t="s">
        <v>98</v>
      </c>
      <c r="BF30" t="s">
        <v>99</v>
      </c>
      <c r="BG30" t="s">
        <v>185</v>
      </c>
      <c r="BH30" t="s">
        <v>98</v>
      </c>
      <c r="BI30" t="s">
        <v>102</v>
      </c>
      <c r="BJ30" t="s">
        <v>178</v>
      </c>
      <c r="BL30" t="s">
        <v>100</v>
      </c>
      <c r="BM30" t="s">
        <v>101</v>
      </c>
      <c r="BN30" t="s">
        <v>102</v>
      </c>
      <c r="BO30" t="s">
        <v>103</v>
      </c>
      <c r="BP30" t="s">
        <v>186</v>
      </c>
      <c r="BQ30" t="s">
        <v>331</v>
      </c>
      <c r="BR30" t="str">
        <f>VLOOKUP(KeHEPARDataFlowSource[[#This Row],[Item Status]],Table2[#All],2,FALSE)</f>
        <v>Normal, Active item</v>
      </c>
    </row>
    <row r="31" spans="1:70" x14ac:dyDescent="0.25">
      <c r="A31" t="s">
        <v>104</v>
      </c>
      <c r="B31" t="s">
        <v>122</v>
      </c>
      <c r="C31" t="s">
        <v>123</v>
      </c>
      <c r="D31" t="s">
        <v>124</v>
      </c>
      <c r="E31" t="s">
        <v>125</v>
      </c>
      <c r="F31" t="s">
        <v>245</v>
      </c>
      <c r="G31" t="s">
        <v>238</v>
      </c>
      <c r="H31" t="s">
        <v>87</v>
      </c>
      <c r="I31" t="s">
        <v>239</v>
      </c>
      <c r="J31" t="s">
        <v>10</v>
      </c>
      <c r="K31" t="s">
        <v>120</v>
      </c>
      <c r="L31" t="s">
        <v>88</v>
      </c>
      <c r="M31" t="s">
        <v>148</v>
      </c>
      <c r="N31" t="s">
        <v>148</v>
      </c>
      <c r="O31" t="s">
        <v>190</v>
      </c>
      <c r="P31" t="s">
        <v>118</v>
      </c>
      <c r="Q31" t="s">
        <v>89</v>
      </c>
      <c r="R31" t="s">
        <v>89</v>
      </c>
      <c r="S31" t="s">
        <v>89</v>
      </c>
      <c r="T31">
        <v>574.08000000000004</v>
      </c>
      <c r="U31">
        <v>192</v>
      </c>
      <c r="V31" t="s">
        <v>89</v>
      </c>
      <c r="W31" t="s">
        <v>102</v>
      </c>
      <c r="X31" t="s">
        <v>89</v>
      </c>
      <c r="Y31" t="s">
        <v>102</v>
      </c>
      <c r="Z31" t="s">
        <v>358</v>
      </c>
      <c r="AA31" t="s">
        <v>297</v>
      </c>
      <c r="AB31" t="s">
        <v>297</v>
      </c>
      <c r="AE31" t="s">
        <v>116</v>
      </c>
      <c r="AF31" t="s">
        <v>332</v>
      </c>
      <c r="AG31" t="s">
        <v>202</v>
      </c>
      <c r="AH31" t="s">
        <v>352</v>
      </c>
      <c r="AI31" t="s">
        <v>128</v>
      </c>
      <c r="AJ31" t="s">
        <v>129</v>
      </c>
      <c r="AK31" t="s">
        <v>130</v>
      </c>
      <c r="AL31" t="s">
        <v>191</v>
      </c>
      <c r="AM31" t="s">
        <v>119</v>
      </c>
      <c r="AN31" t="s">
        <v>132</v>
      </c>
      <c r="AO31" t="s">
        <v>133</v>
      </c>
      <c r="AP31" t="s">
        <v>90</v>
      </c>
      <c r="AQ31" t="s">
        <v>134</v>
      </c>
      <c r="AR31" t="s">
        <v>287</v>
      </c>
      <c r="AS31" t="s">
        <v>91</v>
      </c>
      <c r="AT31" t="s">
        <v>105</v>
      </c>
      <c r="AU31" t="s">
        <v>106</v>
      </c>
      <c r="AV31" t="s">
        <v>92</v>
      </c>
      <c r="AW31" t="s">
        <v>93</v>
      </c>
      <c r="AX31" t="s">
        <v>94</v>
      </c>
      <c r="AY31" t="s">
        <v>95</v>
      </c>
      <c r="AZ31" t="s">
        <v>246</v>
      </c>
      <c r="BA31" t="s">
        <v>6</v>
      </c>
      <c r="BB31" t="s">
        <v>96</v>
      </c>
      <c r="BC31" t="s">
        <v>98</v>
      </c>
      <c r="BD31" t="s">
        <v>98</v>
      </c>
      <c r="BE31" t="s">
        <v>98</v>
      </c>
      <c r="BF31" t="s">
        <v>99</v>
      </c>
      <c r="BG31" t="s">
        <v>185</v>
      </c>
      <c r="BH31" t="s">
        <v>98</v>
      </c>
      <c r="BI31" t="s">
        <v>102</v>
      </c>
      <c r="BJ31" t="s">
        <v>178</v>
      </c>
      <c r="BL31" t="s">
        <v>100</v>
      </c>
      <c r="BM31" t="s">
        <v>101</v>
      </c>
      <c r="BN31" t="s">
        <v>102</v>
      </c>
      <c r="BO31" t="s">
        <v>103</v>
      </c>
      <c r="BP31" t="s">
        <v>198</v>
      </c>
      <c r="BQ31" t="s">
        <v>333</v>
      </c>
      <c r="BR31" t="str">
        <f>VLOOKUP(KeHEPARDataFlowSource[[#This Row],[Item Status]],Table2[#All],2,FALSE)</f>
        <v>Normal, Active item</v>
      </c>
    </row>
    <row r="32" spans="1:70" x14ac:dyDescent="0.25">
      <c r="A32" t="s">
        <v>206</v>
      </c>
      <c r="B32" t="s">
        <v>122</v>
      </c>
      <c r="C32" t="s">
        <v>123</v>
      </c>
      <c r="D32" t="s">
        <v>124</v>
      </c>
      <c r="E32" t="s">
        <v>125</v>
      </c>
      <c r="F32" t="s">
        <v>253</v>
      </c>
      <c r="G32" t="s">
        <v>238</v>
      </c>
      <c r="H32" t="s">
        <v>87</v>
      </c>
      <c r="I32" t="s">
        <v>239</v>
      </c>
      <c r="J32" t="s">
        <v>10</v>
      </c>
      <c r="K32" t="s">
        <v>120</v>
      </c>
      <c r="L32" t="s">
        <v>88</v>
      </c>
      <c r="M32" t="s">
        <v>148</v>
      </c>
      <c r="N32" t="s">
        <v>148</v>
      </c>
      <c r="O32" t="s">
        <v>190</v>
      </c>
      <c r="P32" t="s">
        <v>118</v>
      </c>
      <c r="Q32" t="s">
        <v>89</v>
      </c>
      <c r="R32" t="s">
        <v>89</v>
      </c>
      <c r="S32" t="s">
        <v>89</v>
      </c>
      <c r="T32">
        <v>1148.1600000000001</v>
      </c>
      <c r="U32">
        <v>384</v>
      </c>
      <c r="V32" t="s">
        <v>89</v>
      </c>
      <c r="W32" t="s">
        <v>102</v>
      </c>
      <c r="X32" t="s">
        <v>89</v>
      </c>
      <c r="Y32" t="s">
        <v>102</v>
      </c>
      <c r="Z32" t="s">
        <v>364</v>
      </c>
      <c r="AA32" t="s">
        <v>305</v>
      </c>
      <c r="AB32" t="s">
        <v>305</v>
      </c>
      <c r="AE32" t="s">
        <v>116</v>
      </c>
      <c r="AF32" t="s">
        <v>338</v>
      </c>
      <c r="AG32" t="s">
        <v>249</v>
      </c>
      <c r="AH32" t="s">
        <v>352</v>
      </c>
      <c r="AI32" t="s">
        <v>128</v>
      </c>
      <c r="AJ32" t="s">
        <v>129</v>
      </c>
      <c r="AK32" t="s">
        <v>130</v>
      </c>
      <c r="AL32" t="s">
        <v>191</v>
      </c>
      <c r="AM32" t="s">
        <v>119</v>
      </c>
      <c r="AN32" t="s">
        <v>132</v>
      </c>
      <c r="AO32" t="s">
        <v>133</v>
      </c>
      <c r="AP32" t="s">
        <v>90</v>
      </c>
      <c r="AQ32" t="s">
        <v>134</v>
      </c>
      <c r="AR32" t="s">
        <v>287</v>
      </c>
      <c r="AS32" t="s">
        <v>91</v>
      </c>
      <c r="AT32" t="s">
        <v>105</v>
      </c>
      <c r="AU32" t="s">
        <v>106</v>
      </c>
      <c r="AV32" t="s">
        <v>92</v>
      </c>
      <c r="AW32" t="s">
        <v>93</v>
      </c>
      <c r="AX32" t="s">
        <v>94</v>
      </c>
      <c r="AY32" t="s">
        <v>95</v>
      </c>
      <c r="AZ32" t="s">
        <v>254</v>
      </c>
      <c r="BA32" t="s">
        <v>6</v>
      </c>
      <c r="BB32" t="s">
        <v>96</v>
      </c>
      <c r="BC32" t="s">
        <v>98</v>
      </c>
      <c r="BD32" t="s">
        <v>98</v>
      </c>
      <c r="BE32" t="s">
        <v>98</v>
      </c>
      <c r="BF32" t="s">
        <v>99</v>
      </c>
      <c r="BG32" t="s">
        <v>185</v>
      </c>
      <c r="BH32" t="s">
        <v>98</v>
      </c>
      <c r="BI32" t="s">
        <v>172</v>
      </c>
      <c r="BJ32" t="s">
        <v>178</v>
      </c>
      <c r="BL32" t="s">
        <v>100</v>
      </c>
      <c r="BM32" t="s">
        <v>101</v>
      </c>
      <c r="BN32" t="s">
        <v>102</v>
      </c>
      <c r="BO32" t="s">
        <v>103</v>
      </c>
      <c r="BP32" t="s">
        <v>186</v>
      </c>
      <c r="BQ32" t="s">
        <v>339</v>
      </c>
      <c r="BR32" t="str">
        <f>VLOOKUP(KeHEPARDataFlowSource[[#This Row],[Item Status]],Table2[#All],2,FALSE)</f>
        <v>Normal, Active item</v>
      </c>
    </row>
    <row r="33" spans="1:70" x14ac:dyDescent="0.25">
      <c r="A33" t="s">
        <v>214</v>
      </c>
      <c r="B33" t="s">
        <v>122</v>
      </c>
      <c r="C33" t="s">
        <v>123</v>
      </c>
      <c r="D33" t="s">
        <v>124</v>
      </c>
      <c r="E33" t="s">
        <v>125</v>
      </c>
      <c r="F33" t="s">
        <v>273</v>
      </c>
      <c r="G33" t="s">
        <v>200</v>
      </c>
      <c r="H33" t="s">
        <v>87</v>
      </c>
      <c r="I33" t="s">
        <v>201</v>
      </c>
      <c r="J33" t="s">
        <v>10</v>
      </c>
      <c r="K33" t="s">
        <v>120</v>
      </c>
      <c r="L33" t="s">
        <v>88</v>
      </c>
      <c r="M33" t="s">
        <v>148</v>
      </c>
      <c r="N33" t="s">
        <v>148</v>
      </c>
      <c r="O33" t="s">
        <v>289</v>
      </c>
      <c r="P33" t="s">
        <v>118</v>
      </c>
      <c r="Q33" t="s">
        <v>89</v>
      </c>
      <c r="R33" t="s">
        <v>89</v>
      </c>
      <c r="S33" t="s">
        <v>89</v>
      </c>
      <c r="T33">
        <v>1363.44</v>
      </c>
      <c r="U33">
        <v>456</v>
      </c>
      <c r="V33" t="s">
        <v>89</v>
      </c>
      <c r="W33" t="s">
        <v>102</v>
      </c>
      <c r="X33" t="s">
        <v>89</v>
      </c>
      <c r="Y33" t="s">
        <v>102</v>
      </c>
      <c r="Z33" t="s">
        <v>296</v>
      </c>
      <c r="AA33" t="s">
        <v>297</v>
      </c>
      <c r="AB33" t="s">
        <v>297</v>
      </c>
      <c r="AE33" t="s">
        <v>116</v>
      </c>
      <c r="AF33" t="s">
        <v>324</v>
      </c>
      <c r="AG33" t="s">
        <v>233</v>
      </c>
      <c r="AH33" t="s">
        <v>352</v>
      </c>
      <c r="AI33" t="s">
        <v>128</v>
      </c>
      <c r="AJ33" t="s">
        <v>129</v>
      </c>
      <c r="AK33" t="s">
        <v>130</v>
      </c>
      <c r="AL33" t="s">
        <v>290</v>
      </c>
      <c r="AM33" t="s">
        <v>119</v>
      </c>
      <c r="AN33" t="s">
        <v>132</v>
      </c>
      <c r="AO33" t="s">
        <v>133</v>
      </c>
      <c r="AP33" t="s">
        <v>90</v>
      </c>
      <c r="AQ33" t="s">
        <v>134</v>
      </c>
      <c r="AR33" t="s">
        <v>287</v>
      </c>
      <c r="AS33" t="s">
        <v>91</v>
      </c>
      <c r="AT33" t="s">
        <v>135</v>
      </c>
      <c r="AU33" t="s">
        <v>136</v>
      </c>
      <c r="AV33" t="s">
        <v>92</v>
      </c>
      <c r="AW33" t="s">
        <v>93</v>
      </c>
      <c r="AX33" t="s">
        <v>94</v>
      </c>
      <c r="AY33" t="s">
        <v>95</v>
      </c>
      <c r="AZ33" t="s">
        <v>274</v>
      </c>
      <c r="BA33" t="s">
        <v>6</v>
      </c>
      <c r="BB33" t="s">
        <v>96</v>
      </c>
      <c r="BC33" t="s">
        <v>98</v>
      </c>
      <c r="BD33" t="s">
        <v>98</v>
      </c>
      <c r="BE33" t="s">
        <v>98</v>
      </c>
      <c r="BF33" t="s">
        <v>286</v>
      </c>
      <c r="BG33" t="s">
        <v>185</v>
      </c>
      <c r="BH33" t="s">
        <v>97</v>
      </c>
      <c r="BI33" t="s">
        <v>89</v>
      </c>
      <c r="BJ33" t="s">
        <v>102</v>
      </c>
      <c r="BL33" t="s">
        <v>100</v>
      </c>
      <c r="BM33" t="s">
        <v>101</v>
      </c>
      <c r="BN33" t="s">
        <v>102</v>
      </c>
      <c r="BO33" t="s">
        <v>103</v>
      </c>
      <c r="BP33" t="s">
        <v>186</v>
      </c>
      <c r="BQ33" t="s">
        <v>325</v>
      </c>
      <c r="BR33" t="str">
        <f>VLOOKUP(KeHEPARDataFlowSource[[#This Row],[Item Status]],Table2[#All],2,FALSE)</f>
        <v>Normal, Active item</v>
      </c>
    </row>
    <row r="34" spans="1:70" x14ac:dyDescent="0.25">
      <c r="A34" t="s">
        <v>214</v>
      </c>
      <c r="B34" t="s">
        <v>122</v>
      </c>
      <c r="C34" t="s">
        <v>123</v>
      </c>
      <c r="D34" t="s">
        <v>124</v>
      </c>
      <c r="E34" t="s">
        <v>125</v>
      </c>
      <c r="F34" t="s">
        <v>277</v>
      </c>
      <c r="G34" t="s">
        <v>238</v>
      </c>
      <c r="H34" t="s">
        <v>87</v>
      </c>
      <c r="I34" t="s">
        <v>239</v>
      </c>
      <c r="J34" t="s">
        <v>8</v>
      </c>
      <c r="K34" t="s">
        <v>120</v>
      </c>
      <c r="L34" t="s">
        <v>88</v>
      </c>
      <c r="M34" t="s">
        <v>148</v>
      </c>
      <c r="N34" t="s">
        <v>148</v>
      </c>
      <c r="O34" t="s">
        <v>289</v>
      </c>
      <c r="P34" t="s">
        <v>118</v>
      </c>
      <c r="Q34" t="s">
        <v>89</v>
      </c>
      <c r="R34" t="s">
        <v>89</v>
      </c>
      <c r="S34" t="s">
        <v>89</v>
      </c>
      <c r="T34">
        <v>1363.44</v>
      </c>
      <c r="U34">
        <v>456</v>
      </c>
      <c r="V34" t="s">
        <v>89</v>
      </c>
      <c r="W34" t="s">
        <v>102</v>
      </c>
      <c r="X34" t="s">
        <v>89</v>
      </c>
      <c r="Y34" t="s">
        <v>102</v>
      </c>
      <c r="Z34" t="s">
        <v>298</v>
      </c>
      <c r="AA34" t="s">
        <v>131</v>
      </c>
      <c r="AB34" t="s">
        <v>131</v>
      </c>
      <c r="AE34" t="s">
        <v>116</v>
      </c>
      <c r="AF34" t="s">
        <v>362</v>
      </c>
      <c r="AG34" t="s">
        <v>307</v>
      </c>
      <c r="AH34" t="s">
        <v>352</v>
      </c>
      <c r="AI34" t="s">
        <v>128</v>
      </c>
      <c r="AJ34" t="s">
        <v>129</v>
      </c>
      <c r="AK34" t="s">
        <v>130</v>
      </c>
      <c r="AL34" t="s">
        <v>290</v>
      </c>
      <c r="AM34" t="s">
        <v>119</v>
      </c>
      <c r="AN34" t="s">
        <v>132</v>
      </c>
      <c r="AO34" t="s">
        <v>133</v>
      </c>
      <c r="AP34" t="s">
        <v>90</v>
      </c>
      <c r="AQ34" t="s">
        <v>134</v>
      </c>
      <c r="AR34" t="s">
        <v>287</v>
      </c>
      <c r="AS34" t="s">
        <v>91</v>
      </c>
      <c r="AT34" t="s">
        <v>135</v>
      </c>
      <c r="AU34" t="s">
        <v>136</v>
      </c>
      <c r="AV34" t="s">
        <v>92</v>
      </c>
      <c r="AW34" t="s">
        <v>93</v>
      </c>
      <c r="AX34" t="s">
        <v>94</v>
      </c>
      <c r="AY34" t="s">
        <v>95</v>
      </c>
      <c r="AZ34" t="s">
        <v>278</v>
      </c>
      <c r="BA34" t="s">
        <v>6</v>
      </c>
      <c r="BB34" t="s">
        <v>96</v>
      </c>
      <c r="BC34" t="s">
        <v>98</v>
      </c>
      <c r="BD34" t="s">
        <v>98</v>
      </c>
      <c r="BE34" t="s">
        <v>98</v>
      </c>
      <c r="BF34" t="s">
        <v>286</v>
      </c>
      <c r="BG34" t="s">
        <v>185</v>
      </c>
      <c r="BH34" t="s">
        <v>97</v>
      </c>
      <c r="BI34" t="s">
        <v>89</v>
      </c>
      <c r="BJ34" t="s">
        <v>102</v>
      </c>
      <c r="BL34" t="s">
        <v>100</v>
      </c>
      <c r="BM34" t="s">
        <v>101</v>
      </c>
      <c r="BN34" t="s">
        <v>102</v>
      </c>
      <c r="BO34" t="s">
        <v>103</v>
      </c>
      <c r="BP34" t="s">
        <v>186</v>
      </c>
      <c r="BQ34" t="s">
        <v>365</v>
      </c>
      <c r="BR34" t="str">
        <f>VLOOKUP(KeHEPARDataFlowSource[[#This Row],[Item Status]],Table2[#All],2,FALSE)</f>
        <v>Temporarily OOS due to Manuf</v>
      </c>
    </row>
    <row r="35" spans="1:70" x14ac:dyDescent="0.25">
      <c r="A35" t="s">
        <v>139</v>
      </c>
      <c r="B35" t="s">
        <v>122</v>
      </c>
      <c r="C35" t="s">
        <v>279</v>
      </c>
      <c r="D35" t="s">
        <v>124</v>
      </c>
      <c r="E35" t="s">
        <v>316</v>
      </c>
      <c r="F35" t="s">
        <v>259</v>
      </c>
      <c r="G35" t="s">
        <v>238</v>
      </c>
      <c r="H35" t="s">
        <v>87</v>
      </c>
      <c r="I35" t="s">
        <v>239</v>
      </c>
      <c r="J35" t="s">
        <v>10</v>
      </c>
      <c r="K35" t="s">
        <v>120</v>
      </c>
      <c r="L35" t="s">
        <v>88</v>
      </c>
      <c r="M35" t="s">
        <v>148</v>
      </c>
      <c r="N35" t="s">
        <v>148</v>
      </c>
      <c r="O35" t="s">
        <v>366</v>
      </c>
      <c r="P35" t="s">
        <v>303</v>
      </c>
      <c r="Q35" t="s">
        <v>89</v>
      </c>
      <c r="R35" t="s">
        <v>89</v>
      </c>
      <c r="S35" t="s">
        <v>89</v>
      </c>
      <c r="T35">
        <v>5884.32</v>
      </c>
      <c r="U35">
        <v>1968</v>
      </c>
      <c r="V35" t="s">
        <v>89</v>
      </c>
      <c r="W35" t="s">
        <v>102</v>
      </c>
      <c r="X35" t="s">
        <v>89</v>
      </c>
      <c r="Y35" t="s">
        <v>102</v>
      </c>
      <c r="Z35" t="s">
        <v>292</v>
      </c>
      <c r="AA35" t="s">
        <v>293</v>
      </c>
      <c r="AB35" t="s">
        <v>293</v>
      </c>
      <c r="AE35" t="s">
        <v>116</v>
      </c>
      <c r="AF35" t="s">
        <v>362</v>
      </c>
      <c r="AG35" t="s">
        <v>363</v>
      </c>
      <c r="AI35" t="s">
        <v>212</v>
      </c>
      <c r="AJ35" t="s">
        <v>208</v>
      </c>
      <c r="AK35" t="s">
        <v>281</v>
      </c>
      <c r="AM35" t="s">
        <v>10</v>
      </c>
      <c r="AN35" t="s">
        <v>132</v>
      </c>
      <c r="AO35" t="s">
        <v>133</v>
      </c>
      <c r="AP35" t="s">
        <v>90</v>
      </c>
      <c r="AQ35" t="s">
        <v>282</v>
      </c>
      <c r="AR35" t="s">
        <v>283</v>
      </c>
      <c r="AS35" t="s">
        <v>91</v>
      </c>
      <c r="AT35" t="s">
        <v>135</v>
      </c>
      <c r="AU35" t="s">
        <v>136</v>
      </c>
      <c r="AV35" t="s">
        <v>92</v>
      </c>
      <c r="AW35" t="s">
        <v>93</v>
      </c>
      <c r="AX35" t="s">
        <v>94</v>
      </c>
      <c r="AY35" t="s">
        <v>95</v>
      </c>
      <c r="AZ35" t="s">
        <v>260</v>
      </c>
      <c r="BA35" t="s">
        <v>6</v>
      </c>
      <c r="BB35" t="s">
        <v>96</v>
      </c>
      <c r="BC35" t="s">
        <v>98</v>
      </c>
      <c r="BD35" t="s">
        <v>98</v>
      </c>
      <c r="BE35" t="s">
        <v>98</v>
      </c>
      <c r="BF35" t="s">
        <v>146</v>
      </c>
      <c r="BG35" t="s">
        <v>185</v>
      </c>
      <c r="BH35" t="s">
        <v>97</v>
      </c>
      <c r="BI35" t="s">
        <v>346</v>
      </c>
      <c r="BJ35" t="s">
        <v>346</v>
      </c>
      <c r="BL35" t="s">
        <v>100</v>
      </c>
      <c r="BM35" t="s">
        <v>101</v>
      </c>
      <c r="BN35" t="s">
        <v>102</v>
      </c>
      <c r="BO35" t="s">
        <v>103</v>
      </c>
      <c r="BP35" t="s">
        <v>198</v>
      </c>
      <c r="BQ35" t="s">
        <v>178</v>
      </c>
      <c r="BR35" t="str">
        <f>VLOOKUP(KeHEPARDataFlowSource[[#This Row],[Item Status]],Table2[#All],2,FALSE)</f>
        <v>Normal, Active item</v>
      </c>
    </row>
    <row r="36" spans="1:70" x14ac:dyDescent="0.25">
      <c r="A36" t="s">
        <v>121</v>
      </c>
      <c r="B36" t="s">
        <v>122</v>
      </c>
      <c r="C36" t="s">
        <v>123</v>
      </c>
      <c r="D36" t="s">
        <v>124</v>
      </c>
      <c r="E36" t="s">
        <v>125</v>
      </c>
      <c r="F36" t="s">
        <v>126</v>
      </c>
      <c r="G36" t="s">
        <v>107</v>
      </c>
      <c r="H36" t="s">
        <v>87</v>
      </c>
      <c r="I36" t="s">
        <v>108</v>
      </c>
      <c r="J36" t="s">
        <v>8</v>
      </c>
      <c r="K36" t="s">
        <v>120</v>
      </c>
      <c r="L36" t="s">
        <v>88</v>
      </c>
      <c r="M36" t="s">
        <v>109</v>
      </c>
      <c r="N36" t="s">
        <v>110</v>
      </c>
      <c r="O36" t="s">
        <v>127</v>
      </c>
      <c r="P36" t="s">
        <v>118</v>
      </c>
      <c r="Q36" t="s">
        <v>89</v>
      </c>
      <c r="R36" t="s">
        <v>89</v>
      </c>
      <c r="S36" t="s">
        <v>89</v>
      </c>
      <c r="T36">
        <v>3837.6</v>
      </c>
      <c r="U36">
        <v>240</v>
      </c>
      <c r="V36" t="s">
        <v>89</v>
      </c>
      <c r="W36" t="s">
        <v>102</v>
      </c>
      <c r="X36" t="s">
        <v>89</v>
      </c>
      <c r="Y36" t="s">
        <v>102</v>
      </c>
      <c r="Z36" t="s">
        <v>291</v>
      </c>
      <c r="AA36" t="s">
        <v>169</v>
      </c>
      <c r="AB36" t="s">
        <v>169</v>
      </c>
      <c r="AE36" t="s">
        <v>116</v>
      </c>
      <c r="AF36" t="s">
        <v>367</v>
      </c>
      <c r="AG36" t="s">
        <v>117</v>
      </c>
      <c r="AH36" t="s">
        <v>352</v>
      </c>
      <c r="AI36" t="s">
        <v>128</v>
      </c>
      <c r="AJ36" t="s">
        <v>129</v>
      </c>
      <c r="AK36" t="s">
        <v>130</v>
      </c>
      <c r="AL36" t="s">
        <v>131</v>
      </c>
      <c r="AM36" t="s">
        <v>119</v>
      </c>
      <c r="AN36" t="s">
        <v>132</v>
      </c>
      <c r="AO36" t="s">
        <v>133</v>
      </c>
      <c r="AP36" t="s">
        <v>90</v>
      </c>
      <c r="AQ36" t="s">
        <v>134</v>
      </c>
      <c r="AR36" t="s">
        <v>287</v>
      </c>
      <c r="AS36" t="s">
        <v>91</v>
      </c>
      <c r="AT36" t="s">
        <v>135</v>
      </c>
      <c r="AU36" t="s">
        <v>136</v>
      </c>
      <c r="AV36" t="s">
        <v>92</v>
      </c>
      <c r="AW36" t="s">
        <v>93</v>
      </c>
      <c r="AX36" t="s">
        <v>111</v>
      </c>
      <c r="AY36" t="s">
        <v>95</v>
      </c>
      <c r="AZ36" t="s">
        <v>137</v>
      </c>
      <c r="BA36" t="s">
        <v>6</v>
      </c>
      <c r="BB36" t="s">
        <v>96</v>
      </c>
      <c r="BC36" t="s">
        <v>98</v>
      </c>
      <c r="BD36" t="s">
        <v>98</v>
      </c>
      <c r="BE36" t="s">
        <v>98</v>
      </c>
      <c r="BF36" t="s">
        <v>138</v>
      </c>
      <c r="BG36" t="s">
        <v>112</v>
      </c>
      <c r="BH36" t="s">
        <v>98</v>
      </c>
      <c r="BI36" t="s">
        <v>284</v>
      </c>
      <c r="BJ36" t="s">
        <v>172</v>
      </c>
      <c r="BL36" t="s">
        <v>100</v>
      </c>
      <c r="BM36" t="s">
        <v>101</v>
      </c>
      <c r="BN36" t="s">
        <v>102</v>
      </c>
      <c r="BO36" t="s">
        <v>103</v>
      </c>
      <c r="BP36" t="s">
        <v>114</v>
      </c>
      <c r="BQ36" t="s">
        <v>148</v>
      </c>
      <c r="BR36" t="str">
        <f>VLOOKUP(KeHEPARDataFlowSource[[#This Row],[Item Status]],Table2[#All],2,FALSE)</f>
        <v>Temporarily OOS due to Manuf</v>
      </c>
    </row>
    <row r="37" spans="1:70" x14ac:dyDescent="0.25">
      <c r="A37" t="s">
        <v>139</v>
      </c>
      <c r="B37" t="s">
        <v>122</v>
      </c>
      <c r="C37" t="s">
        <v>123</v>
      </c>
      <c r="D37" t="s">
        <v>124</v>
      </c>
      <c r="E37" t="s">
        <v>125</v>
      </c>
      <c r="F37" t="s">
        <v>157</v>
      </c>
      <c r="G37" t="s">
        <v>107</v>
      </c>
      <c r="H37" t="s">
        <v>87</v>
      </c>
      <c r="I37" t="s">
        <v>108</v>
      </c>
      <c r="J37" t="s">
        <v>10</v>
      </c>
      <c r="K37" t="s">
        <v>120</v>
      </c>
      <c r="L37" t="s">
        <v>88</v>
      </c>
      <c r="M37" t="s">
        <v>109</v>
      </c>
      <c r="N37" t="s">
        <v>110</v>
      </c>
      <c r="O37" t="s">
        <v>143</v>
      </c>
      <c r="P37" t="s">
        <v>118</v>
      </c>
      <c r="Q37" t="s">
        <v>89</v>
      </c>
      <c r="R37" t="s">
        <v>89</v>
      </c>
      <c r="S37" t="s">
        <v>89</v>
      </c>
      <c r="T37">
        <v>8634.6</v>
      </c>
      <c r="U37">
        <v>540</v>
      </c>
      <c r="V37" t="s">
        <v>89</v>
      </c>
      <c r="W37" t="s">
        <v>102</v>
      </c>
      <c r="X37" t="s">
        <v>89</v>
      </c>
      <c r="Y37" t="s">
        <v>102</v>
      </c>
      <c r="Z37" t="s">
        <v>158</v>
      </c>
      <c r="AA37" t="s">
        <v>131</v>
      </c>
      <c r="AB37" t="s">
        <v>159</v>
      </c>
      <c r="AD37" t="s">
        <v>166</v>
      </c>
      <c r="AE37" t="s">
        <v>116</v>
      </c>
      <c r="AF37" t="s">
        <v>89</v>
      </c>
      <c r="AG37" t="s">
        <v>368</v>
      </c>
      <c r="AH37" t="s">
        <v>352</v>
      </c>
      <c r="AI37" t="s">
        <v>128</v>
      </c>
      <c r="AJ37" t="s">
        <v>129</v>
      </c>
      <c r="AK37" t="s">
        <v>130</v>
      </c>
      <c r="AL37" t="s">
        <v>144</v>
      </c>
      <c r="AM37" t="s">
        <v>119</v>
      </c>
      <c r="AN37" t="s">
        <v>132</v>
      </c>
      <c r="AO37" t="s">
        <v>133</v>
      </c>
      <c r="AP37" t="s">
        <v>90</v>
      </c>
      <c r="AQ37" t="s">
        <v>134</v>
      </c>
      <c r="AR37" t="s">
        <v>287</v>
      </c>
      <c r="AS37" t="s">
        <v>91</v>
      </c>
      <c r="AT37" t="s">
        <v>135</v>
      </c>
      <c r="AU37" t="s">
        <v>136</v>
      </c>
      <c r="AV37" t="s">
        <v>92</v>
      </c>
      <c r="AW37" t="s">
        <v>93</v>
      </c>
      <c r="AX37" t="s">
        <v>111</v>
      </c>
      <c r="AY37" t="s">
        <v>95</v>
      </c>
      <c r="AZ37" t="s">
        <v>161</v>
      </c>
      <c r="BA37" t="s">
        <v>6</v>
      </c>
      <c r="BB37" t="s">
        <v>96</v>
      </c>
      <c r="BC37" t="s">
        <v>98</v>
      </c>
      <c r="BD37" t="s">
        <v>98</v>
      </c>
      <c r="BE37" t="s">
        <v>98</v>
      </c>
      <c r="BF37" t="s">
        <v>146</v>
      </c>
      <c r="BG37" t="s">
        <v>112</v>
      </c>
      <c r="BH37" t="s">
        <v>97</v>
      </c>
      <c r="BI37" t="s">
        <v>346</v>
      </c>
      <c r="BJ37" t="s">
        <v>346</v>
      </c>
      <c r="BL37" t="s">
        <v>100</v>
      </c>
      <c r="BM37" t="s">
        <v>101</v>
      </c>
      <c r="BN37" t="s">
        <v>102</v>
      </c>
      <c r="BO37" t="s">
        <v>103</v>
      </c>
      <c r="BP37" t="s">
        <v>160</v>
      </c>
      <c r="BQ37" t="s">
        <v>369</v>
      </c>
      <c r="BR37" t="str">
        <f>VLOOKUP(KeHEPARDataFlowSource[[#This Row],[Item Status]],Table2[#All],2,FALSE)</f>
        <v>Normal, Active item</v>
      </c>
    </row>
    <row r="38" spans="1:70" x14ac:dyDescent="0.25">
      <c r="A38" t="s">
        <v>139</v>
      </c>
      <c r="B38" t="s">
        <v>122</v>
      </c>
      <c r="C38" t="s">
        <v>123</v>
      </c>
      <c r="D38" t="s">
        <v>124</v>
      </c>
      <c r="E38" t="s">
        <v>125</v>
      </c>
      <c r="F38" t="s">
        <v>140</v>
      </c>
      <c r="G38" t="s">
        <v>141</v>
      </c>
      <c r="H38" t="s">
        <v>87</v>
      </c>
      <c r="I38" t="s">
        <v>142</v>
      </c>
      <c r="J38" t="s">
        <v>10</v>
      </c>
      <c r="K38" t="s">
        <v>120</v>
      </c>
      <c r="L38" t="s">
        <v>88</v>
      </c>
      <c r="M38" t="s">
        <v>109</v>
      </c>
      <c r="N38" t="s">
        <v>110</v>
      </c>
      <c r="O38" t="s">
        <v>143</v>
      </c>
      <c r="P38" t="s">
        <v>118</v>
      </c>
      <c r="Q38" t="s">
        <v>89</v>
      </c>
      <c r="R38" t="s">
        <v>89</v>
      </c>
      <c r="S38" t="s">
        <v>89</v>
      </c>
      <c r="T38">
        <v>7195.5</v>
      </c>
      <c r="U38">
        <v>450</v>
      </c>
      <c r="V38" t="s">
        <v>89</v>
      </c>
      <c r="W38" t="s">
        <v>102</v>
      </c>
      <c r="X38" t="s">
        <v>89</v>
      </c>
      <c r="Y38" t="s">
        <v>102</v>
      </c>
      <c r="Z38" t="s">
        <v>294</v>
      </c>
      <c r="AA38" t="s">
        <v>293</v>
      </c>
      <c r="AB38" t="s">
        <v>293</v>
      </c>
      <c r="AE38" t="s">
        <v>116</v>
      </c>
      <c r="AF38" t="s">
        <v>370</v>
      </c>
      <c r="AG38" t="s">
        <v>168</v>
      </c>
      <c r="AH38" t="s">
        <v>352</v>
      </c>
      <c r="AI38" t="s">
        <v>128</v>
      </c>
      <c r="AJ38" t="s">
        <v>129</v>
      </c>
      <c r="AK38" t="s">
        <v>130</v>
      </c>
      <c r="AL38" t="s">
        <v>144</v>
      </c>
      <c r="AM38" t="s">
        <v>119</v>
      </c>
      <c r="AN38" t="s">
        <v>132</v>
      </c>
      <c r="AO38" t="s">
        <v>133</v>
      </c>
      <c r="AP38" t="s">
        <v>90</v>
      </c>
      <c r="AQ38" t="s">
        <v>134</v>
      </c>
      <c r="AR38" t="s">
        <v>287</v>
      </c>
      <c r="AS38" t="s">
        <v>91</v>
      </c>
      <c r="AT38" t="s">
        <v>135</v>
      </c>
      <c r="AU38" t="s">
        <v>136</v>
      </c>
      <c r="AV38" t="s">
        <v>92</v>
      </c>
      <c r="AW38" t="s">
        <v>93</v>
      </c>
      <c r="AX38" t="s">
        <v>111</v>
      </c>
      <c r="AY38" t="s">
        <v>95</v>
      </c>
      <c r="AZ38" t="s">
        <v>145</v>
      </c>
      <c r="BA38" t="s">
        <v>6</v>
      </c>
      <c r="BB38" t="s">
        <v>96</v>
      </c>
      <c r="BC38" t="s">
        <v>98</v>
      </c>
      <c r="BD38" t="s">
        <v>98</v>
      </c>
      <c r="BE38" t="s">
        <v>98</v>
      </c>
      <c r="BF38" t="s">
        <v>146</v>
      </c>
      <c r="BG38" t="s">
        <v>112</v>
      </c>
      <c r="BH38" t="s">
        <v>97</v>
      </c>
      <c r="BI38" t="s">
        <v>346</v>
      </c>
      <c r="BJ38" t="s">
        <v>346</v>
      </c>
      <c r="BL38" t="s">
        <v>100</v>
      </c>
      <c r="BM38" t="s">
        <v>101</v>
      </c>
      <c r="BN38" t="s">
        <v>102</v>
      </c>
      <c r="BO38" t="s">
        <v>103</v>
      </c>
      <c r="BP38" t="s">
        <v>114</v>
      </c>
      <c r="BQ38" t="s">
        <v>371</v>
      </c>
      <c r="BR38" t="str">
        <f>VLOOKUP(KeHEPARDataFlowSource[[#This Row],[Item Status]],Table2[#All],2,FALSE)</f>
        <v>Normal, Active item</v>
      </c>
    </row>
    <row r="39" spans="1:70" x14ac:dyDescent="0.25">
      <c r="A39" t="s">
        <v>139</v>
      </c>
      <c r="B39" t="s">
        <v>122</v>
      </c>
      <c r="C39" t="s">
        <v>123</v>
      </c>
      <c r="D39" t="s">
        <v>124</v>
      </c>
      <c r="E39" t="s">
        <v>125</v>
      </c>
      <c r="F39" t="s">
        <v>162</v>
      </c>
      <c r="G39" t="s">
        <v>150</v>
      </c>
      <c r="H39" t="s">
        <v>87</v>
      </c>
      <c r="I39" t="s">
        <v>151</v>
      </c>
      <c r="J39" t="s">
        <v>10</v>
      </c>
      <c r="K39" t="s">
        <v>120</v>
      </c>
      <c r="L39" t="s">
        <v>88</v>
      </c>
      <c r="M39" t="s">
        <v>109</v>
      </c>
      <c r="N39" t="s">
        <v>110</v>
      </c>
      <c r="O39" t="s">
        <v>143</v>
      </c>
      <c r="P39" t="s">
        <v>118</v>
      </c>
      <c r="Q39" t="s">
        <v>89</v>
      </c>
      <c r="R39" t="s">
        <v>89</v>
      </c>
      <c r="S39" t="s">
        <v>89</v>
      </c>
      <c r="T39">
        <v>10745.28</v>
      </c>
      <c r="U39">
        <v>672</v>
      </c>
      <c r="V39" t="s">
        <v>89</v>
      </c>
      <c r="W39" t="s">
        <v>102</v>
      </c>
      <c r="X39" t="s">
        <v>89</v>
      </c>
      <c r="Y39" t="s">
        <v>102</v>
      </c>
      <c r="Z39" t="s">
        <v>158</v>
      </c>
      <c r="AA39" t="s">
        <v>131</v>
      </c>
      <c r="AB39" t="s">
        <v>159</v>
      </c>
      <c r="AD39" t="s">
        <v>166</v>
      </c>
      <c r="AE39" t="s">
        <v>116</v>
      </c>
      <c r="AF39" t="s">
        <v>311</v>
      </c>
      <c r="AG39" t="s">
        <v>225</v>
      </c>
      <c r="AH39" t="s">
        <v>352</v>
      </c>
      <c r="AI39" t="s">
        <v>128</v>
      </c>
      <c r="AJ39" t="s">
        <v>129</v>
      </c>
      <c r="AK39" t="s">
        <v>130</v>
      </c>
      <c r="AL39" t="s">
        <v>144</v>
      </c>
      <c r="AM39" t="s">
        <v>119</v>
      </c>
      <c r="AN39" t="s">
        <v>132</v>
      </c>
      <c r="AO39" t="s">
        <v>133</v>
      </c>
      <c r="AP39" t="s">
        <v>90</v>
      </c>
      <c r="AQ39" t="s">
        <v>134</v>
      </c>
      <c r="AR39" t="s">
        <v>287</v>
      </c>
      <c r="AS39" t="s">
        <v>91</v>
      </c>
      <c r="AT39" t="s">
        <v>135</v>
      </c>
      <c r="AU39" t="s">
        <v>136</v>
      </c>
      <c r="AV39" t="s">
        <v>92</v>
      </c>
      <c r="AW39" t="s">
        <v>93</v>
      </c>
      <c r="AX39" t="s">
        <v>111</v>
      </c>
      <c r="AY39" t="s">
        <v>95</v>
      </c>
      <c r="AZ39" t="s">
        <v>163</v>
      </c>
      <c r="BA39" t="s">
        <v>6</v>
      </c>
      <c r="BB39" t="s">
        <v>96</v>
      </c>
      <c r="BC39" t="s">
        <v>98</v>
      </c>
      <c r="BD39" t="s">
        <v>98</v>
      </c>
      <c r="BE39" t="s">
        <v>98</v>
      </c>
      <c r="BF39" t="s">
        <v>146</v>
      </c>
      <c r="BG39" t="s">
        <v>156</v>
      </c>
      <c r="BH39" t="s">
        <v>97</v>
      </c>
      <c r="BI39" t="s">
        <v>346</v>
      </c>
      <c r="BJ39" t="s">
        <v>346</v>
      </c>
      <c r="BL39" t="s">
        <v>100</v>
      </c>
      <c r="BM39" t="s">
        <v>101</v>
      </c>
      <c r="BN39" t="s">
        <v>102</v>
      </c>
      <c r="BO39" t="s">
        <v>103</v>
      </c>
      <c r="BP39" t="s">
        <v>147</v>
      </c>
      <c r="BQ39" t="s">
        <v>372</v>
      </c>
      <c r="BR39" t="str">
        <f>VLOOKUP(KeHEPARDataFlowSource[[#This Row],[Item Status]],Table2[#All],2,FALSE)</f>
        <v>Normal, Active item</v>
      </c>
    </row>
    <row r="40" spans="1:70" x14ac:dyDescent="0.25">
      <c r="A40" t="s">
        <v>148</v>
      </c>
      <c r="B40" t="s">
        <v>122</v>
      </c>
      <c r="C40" t="s">
        <v>123</v>
      </c>
      <c r="D40" t="s">
        <v>124</v>
      </c>
      <c r="E40" t="s">
        <v>125</v>
      </c>
      <c r="F40" t="s">
        <v>149</v>
      </c>
      <c r="G40" t="s">
        <v>150</v>
      </c>
      <c r="H40" t="s">
        <v>87</v>
      </c>
      <c r="I40" t="s">
        <v>151</v>
      </c>
      <c r="J40" t="s">
        <v>10</v>
      </c>
      <c r="K40" t="s">
        <v>120</v>
      </c>
      <c r="L40" t="s">
        <v>88</v>
      </c>
      <c r="M40" t="s">
        <v>109</v>
      </c>
      <c r="N40" t="s">
        <v>110</v>
      </c>
      <c r="O40" t="s">
        <v>152</v>
      </c>
      <c r="P40" t="s">
        <v>118</v>
      </c>
      <c r="Q40" t="s">
        <v>89</v>
      </c>
      <c r="R40" t="s">
        <v>89</v>
      </c>
      <c r="S40" t="s">
        <v>89</v>
      </c>
      <c r="T40">
        <v>3837.6</v>
      </c>
      <c r="U40">
        <v>240</v>
      </c>
      <c r="V40" t="s">
        <v>89</v>
      </c>
      <c r="W40" t="s">
        <v>102</v>
      </c>
      <c r="X40" t="s">
        <v>89</v>
      </c>
      <c r="Y40" t="s">
        <v>102</v>
      </c>
      <c r="Z40" t="s">
        <v>355</v>
      </c>
      <c r="AA40" t="s">
        <v>356</v>
      </c>
      <c r="AB40" t="s">
        <v>356</v>
      </c>
      <c r="AE40" t="s">
        <v>116</v>
      </c>
      <c r="AF40" t="s">
        <v>195</v>
      </c>
      <c r="AG40" t="s">
        <v>147</v>
      </c>
      <c r="AH40" t="s">
        <v>352</v>
      </c>
      <c r="AI40" t="s">
        <v>128</v>
      </c>
      <c r="AJ40" t="s">
        <v>129</v>
      </c>
      <c r="AK40" t="s">
        <v>130</v>
      </c>
      <c r="AL40" t="s">
        <v>153</v>
      </c>
      <c r="AM40" t="s">
        <v>119</v>
      </c>
      <c r="AN40" t="s">
        <v>132</v>
      </c>
      <c r="AO40" t="s">
        <v>133</v>
      </c>
      <c r="AP40" t="s">
        <v>90</v>
      </c>
      <c r="AQ40" t="s">
        <v>134</v>
      </c>
      <c r="AR40" t="s">
        <v>287</v>
      </c>
      <c r="AS40" t="s">
        <v>91</v>
      </c>
      <c r="AT40" t="s">
        <v>135</v>
      </c>
      <c r="AU40" t="s">
        <v>136</v>
      </c>
      <c r="AV40" t="s">
        <v>92</v>
      </c>
      <c r="AW40" t="s">
        <v>93</v>
      </c>
      <c r="AX40" t="s">
        <v>111</v>
      </c>
      <c r="AY40" t="s">
        <v>95</v>
      </c>
      <c r="AZ40" t="s">
        <v>154</v>
      </c>
      <c r="BA40" t="s">
        <v>6</v>
      </c>
      <c r="BB40" t="s">
        <v>96</v>
      </c>
      <c r="BC40" t="s">
        <v>98</v>
      </c>
      <c r="BD40" t="s">
        <v>98</v>
      </c>
      <c r="BE40" t="s">
        <v>98</v>
      </c>
      <c r="BF40" t="s">
        <v>155</v>
      </c>
      <c r="BG40" t="s">
        <v>156</v>
      </c>
      <c r="BH40" t="s">
        <v>97</v>
      </c>
      <c r="BI40" t="s">
        <v>318</v>
      </c>
      <c r="BJ40" t="s">
        <v>102</v>
      </c>
      <c r="BL40" t="s">
        <v>100</v>
      </c>
      <c r="BM40" t="s">
        <v>101</v>
      </c>
      <c r="BN40" t="s">
        <v>102</v>
      </c>
      <c r="BO40" t="s">
        <v>103</v>
      </c>
      <c r="BP40" t="s">
        <v>114</v>
      </c>
      <c r="BQ40" t="s">
        <v>373</v>
      </c>
      <c r="BR40" t="str">
        <f>VLOOKUP(KeHEPARDataFlowSource[[#This Row],[Item Status]],Table2[#All],2,FALSE)</f>
        <v>Normal, Active item</v>
      </c>
    </row>
    <row r="41" spans="1:70" x14ac:dyDescent="0.25">
      <c r="A41" t="s">
        <v>146</v>
      </c>
      <c r="B41" t="s">
        <v>122</v>
      </c>
      <c r="C41" t="s">
        <v>123</v>
      </c>
      <c r="D41" t="s">
        <v>124</v>
      </c>
      <c r="E41" t="s">
        <v>125</v>
      </c>
      <c r="F41" t="s">
        <v>164</v>
      </c>
      <c r="G41" t="s">
        <v>107</v>
      </c>
      <c r="H41" t="s">
        <v>87</v>
      </c>
      <c r="I41" t="s">
        <v>108</v>
      </c>
      <c r="J41" t="s">
        <v>10</v>
      </c>
      <c r="K41" t="s">
        <v>120</v>
      </c>
      <c r="L41" t="s">
        <v>88</v>
      </c>
      <c r="M41" t="s">
        <v>109</v>
      </c>
      <c r="N41" t="s">
        <v>110</v>
      </c>
      <c r="O41" t="s">
        <v>165</v>
      </c>
      <c r="P41" t="s">
        <v>118</v>
      </c>
      <c r="Q41" t="s">
        <v>89</v>
      </c>
      <c r="R41" t="s">
        <v>89</v>
      </c>
      <c r="S41" t="s">
        <v>89</v>
      </c>
      <c r="T41">
        <v>5948.28</v>
      </c>
      <c r="U41">
        <v>372</v>
      </c>
      <c r="V41" t="s">
        <v>89</v>
      </c>
      <c r="W41" t="s">
        <v>102</v>
      </c>
      <c r="X41" t="s">
        <v>89</v>
      </c>
      <c r="Y41" t="s">
        <v>102</v>
      </c>
      <c r="Z41" t="s">
        <v>357</v>
      </c>
      <c r="AA41" t="s">
        <v>169</v>
      </c>
      <c r="AB41" t="s">
        <v>169</v>
      </c>
      <c r="AE41" t="s">
        <v>116</v>
      </c>
      <c r="AF41" t="s">
        <v>374</v>
      </c>
      <c r="AG41" t="s">
        <v>375</v>
      </c>
      <c r="AH41" t="s">
        <v>352</v>
      </c>
      <c r="AI41" t="s">
        <v>128</v>
      </c>
      <c r="AJ41" t="s">
        <v>129</v>
      </c>
      <c r="AK41" t="s">
        <v>130</v>
      </c>
      <c r="AL41" t="s">
        <v>169</v>
      </c>
      <c r="AM41" t="s">
        <v>119</v>
      </c>
      <c r="AN41" t="s">
        <v>132</v>
      </c>
      <c r="AO41" t="s">
        <v>133</v>
      </c>
      <c r="AP41" t="s">
        <v>90</v>
      </c>
      <c r="AQ41" t="s">
        <v>134</v>
      </c>
      <c r="AR41" t="s">
        <v>287</v>
      </c>
      <c r="AS41" t="s">
        <v>91</v>
      </c>
      <c r="AT41" t="s">
        <v>135</v>
      </c>
      <c r="AU41" t="s">
        <v>136</v>
      </c>
      <c r="AV41" t="s">
        <v>92</v>
      </c>
      <c r="AW41" t="s">
        <v>93</v>
      </c>
      <c r="AX41" t="s">
        <v>111</v>
      </c>
      <c r="AY41" t="s">
        <v>95</v>
      </c>
      <c r="AZ41" t="s">
        <v>170</v>
      </c>
      <c r="BA41" t="s">
        <v>6</v>
      </c>
      <c r="BB41" t="s">
        <v>96</v>
      </c>
      <c r="BC41" t="s">
        <v>98</v>
      </c>
      <c r="BD41" t="s">
        <v>98</v>
      </c>
      <c r="BE41" t="s">
        <v>98</v>
      </c>
      <c r="BF41" t="s">
        <v>171</v>
      </c>
      <c r="BG41" t="s">
        <v>112</v>
      </c>
      <c r="BH41" t="s">
        <v>98</v>
      </c>
      <c r="BI41" t="s">
        <v>284</v>
      </c>
      <c r="BJ41" t="s">
        <v>284</v>
      </c>
      <c r="BL41" t="s">
        <v>100</v>
      </c>
      <c r="BM41" t="s">
        <v>101</v>
      </c>
      <c r="BN41" t="s">
        <v>102</v>
      </c>
      <c r="BO41" t="s">
        <v>103</v>
      </c>
      <c r="BP41" t="s">
        <v>114</v>
      </c>
      <c r="BQ41" t="s">
        <v>376</v>
      </c>
      <c r="BR41" t="str">
        <f>VLOOKUP(KeHEPARDataFlowSource[[#This Row],[Item Status]],Table2[#All],2,FALSE)</f>
        <v>Normal, Active item</v>
      </c>
    </row>
    <row r="42" spans="1:70" x14ac:dyDescent="0.25">
      <c r="A42" t="s">
        <v>146</v>
      </c>
      <c r="B42" t="s">
        <v>122</v>
      </c>
      <c r="C42" t="s">
        <v>123</v>
      </c>
      <c r="D42" t="s">
        <v>124</v>
      </c>
      <c r="E42" t="s">
        <v>125</v>
      </c>
      <c r="F42" t="s">
        <v>220</v>
      </c>
      <c r="G42" t="s">
        <v>141</v>
      </c>
      <c r="H42" t="s">
        <v>87</v>
      </c>
      <c r="I42" t="s">
        <v>142</v>
      </c>
      <c r="J42" t="s">
        <v>10</v>
      </c>
      <c r="K42" t="s">
        <v>120</v>
      </c>
      <c r="L42" t="s">
        <v>88</v>
      </c>
      <c r="M42" t="s">
        <v>109</v>
      </c>
      <c r="N42" t="s">
        <v>110</v>
      </c>
      <c r="O42" t="s">
        <v>165</v>
      </c>
      <c r="P42" t="s">
        <v>118</v>
      </c>
      <c r="Q42" t="s">
        <v>89</v>
      </c>
      <c r="R42" t="s">
        <v>89</v>
      </c>
      <c r="S42" t="s">
        <v>89</v>
      </c>
      <c r="T42">
        <v>4988.88</v>
      </c>
      <c r="U42">
        <v>312</v>
      </c>
      <c r="V42" t="s">
        <v>89</v>
      </c>
      <c r="W42" t="s">
        <v>102</v>
      </c>
      <c r="X42" t="s">
        <v>89</v>
      </c>
      <c r="Y42" t="s">
        <v>102</v>
      </c>
      <c r="Z42" t="s">
        <v>357</v>
      </c>
      <c r="AA42" t="s">
        <v>169</v>
      </c>
      <c r="AB42" t="s">
        <v>169</v>
      </c>
      <c r="AE42" t="s">
        <v>116</v>
      </c>
      <c r="AF42" t="s">
        <v>377</v>
      </c>
      <c r="AG42" t="s">
        <v>160</v>
      </c>
      <c r="AH42" t="s">
        <v>352</v>
      </c>
      <c r="AI42" t="s">
        <v>128</v>
      </c>
      <c r="AJ42" t="s">
        <v>129</v>
      </c>
      <c r="AK42" t="s">
        <v>130</v>
      </c>
      <c r="AL42" t="s">
        <v>169</v>
      </c>
      <c r="AM42" t="s">
        <v>119</v>
      </c>
      <c r="AN42" t="s">
        <v>132</v>
      </c>
      <c r="AO42" t="s">
        <v>133</v>
      </c>
      <c r="AP42" t="s">
        <v>90</v>
      </c>
      <c r="AQ42" t="s">
        <v>134</v>
      </c>
      <c r="AR42" t="s">
        <v>287</v>
      </c>
      <c r="AS42" t="s">
        <v>91</v>
      </c>
      <c r="AT42" t="s">
        <v>135</v>
      </c>
      <c r="AU42" t="s">
        <v>136</v>
      </c>
      <c r="AV42" t="s">
        <v>92</v>
      </c>
      <c r="AW42" t="s">
        <v>93</v>
      </c>
      <c r="AX42" t="s">
        <v>111</v>
      </c>
      <c r="AY42" t="s">
        <v>95</v>
      </c>
      <c r="AZ42" t="s">
        <v>221</v>
      </c>
      <c r="BA42" t="s">
        <v>6</v>
      </c>
      <c r="BB42" t="s">
        <v>96</v>
      </c>
      <c r="BC42" t="s">
        <v>98</v>
      </c>
      <c r="BD42" t="s">
        <v>98</v>
      </c>
      <c r="BE42" t="s">
        <v>98</v>
      </c>
      <c r="BF42" t="s">
        <v>171</v>
      </c>
      <c r="BG42" t="s">
        <v>112</v>
      </c>
      <c r="BH42" t="s">
        <v>98</v>
      </c>
      <c r="BI42" t="s">
        <v>284</v>
      </c>
      <c r="BJ42" t="s">
        <v>284</v>
      </c>
      <c r="BL42" t="s">
        <v>100</v>
      </c>
      <c r="BM42" t="s">
        <v>101</v>
      </c>
      <c r="BN42" t="s">
        <v>102</v>
      </c>
      <c r="BO42" t="s">
        <v>103</v>
      </c>
      <c r="BP42" t="s">
        <v>147</v>
      </c>
      <c r="BQ42" t="s">
        <v>378</v>
      </c>
      <c r="BR42" t="str">
        <f>VLOOKUP(KeHEPARDataFlowSource[[#This Row],[Item Status]],Table2[#All],2,FALSE)</f>
        <v>Normal, Active item</v>
      </c>
    </row>
    <row r="43" spans="1:70" x14ac:dyDescent="0.25">
      <c r="A43" t="s">
        <v>146</v>
      </c>
      <c r="B43" t="s">
        <v>122</v>
      </c>
      <c r="C43" t="s">
        <v>123</v>
      </c>
      <c r="D43" t="s">
        <v>124</v>
      </c>
      <c r="E43" t="s">
        <v>125</v>
      </c>
      <c r="F43" t="s">
        <v>173</v>
      </c>
      <c r="G43" t="s">
        <v>150</v>
      </c>
      <c r="H43" t="s">
        <v>87</v>
      </c>
      <c r="I43" t="s">
        <v>151</v>
      </c>
      <c r="J43" t="s">
        <v>8</v>
      </c>
      <c r="K43" t="s">
        <v>120</v>
      </c>
      <c r="L43" t="s">
        <v>88</v>
      </c>
      <c r="M43" t="s">
        <v>109</v>
      </c>
      <c r="N43" t="s">
        <v>110</v>
      </c>
      <c r="O43" t="s">
        <v>165</v>
      </c>
      <c r="P43" t="s">
        <v>118</v>
      </c>
      <c r="Q43" t="s">
        <v>89</v>
      </c>
      <c r="R43" t="s">
        <v>89</v>
      </c>
      <c r="S43" t="s">
        <v>89</v>
      </c>
      <c r="T43">
        <v>9210.24</v>
      </c>
      <c r="U43">
        <v>576</v>
      </c>
      <c r="V43" t="s">
        <v>89</v>
      </c>
      <c r="W43" t="s">
        <v>102</v>
      </c>
      <c r="X43" t="s">
        <v>89</v>
      </c>
      <c r="Y43" t="s">
        <v>102</v>
      </c>
      <c r="Z43" t="s">
        <v>304</v>
      </c>
      <c r="AA43" t="s">
        <v>305</v>
      </c>
      <c r="AB43" t="s">
        <v>305</v>
      </c>
      <c r="AE43" t="s">
        <v>116</v>
      </c>
      <c r="AF43" t="s">
        <v>379</v>
      </c>
      <c r="AG43" t="s">
        <v>94</v>
      </c>
      <c r="AH43" t="s">
        <v>352</v>
      </c>
      <c r="AI43" t="s">
        <v>128</v>
      </c>
      <c r="AJ43" t="s">
        <v>129</v>
      </c>
      <c r="AK43" t="s">
        <v>130</v>
      </c>
      <c r="AL43" t="s">
        <v>169</v>
      </c>
      <c r="AM43" t="s">
        <v>119</v>
      </c>
      <c r="AN43" t="s">
        <v>132</v>
      </c>
      <c r="AO43" t="s">
        <v>133</v>
      </c>
      <c r="AP43" t="s">
        <v>90</v>
      </c>
      <c r="AQ43" t="s">
        <v>134</v>
      </c>
      <c r="AR43" t="s">
        <v>287</v>
      </c>
      <c r="AS43" t="s">
        <v>91</v>
      </c>
      <c r="AT43" t="s">
        <v>135</v>
      </c>
      <c r="AU43" t="s">
        <v>136</v>
      </c>
      <c r="AV43" t="s">
        <v>92</v>
      </c>
      <c r="AW43" t="s">
        <v>93</v>
      </c>
      <c r="AX43" t="s">
        <v>111</v>
      </c>
      <c r="AY43" t="s">
        <v>95</v>
      </c>
      <c r="AZ43" t="s">
        <v>174</v>
      </c>
      <c r="BA43" t="s">
        <v>6</v>
      </c>
      <c r="BB43" t="s">
        <v>96</v>
      </c>
      <c r="BC43" t="s">
        <v>98</v>
      </c>
      <c r="BD43" t="s">
        <v>98</v>
      </c>
      <c r="BE43" t="s">
        <v>98</v>
      </c>
      <c r="BF43" t="s">
        <v>171</v>
      </c>
      <c r="BG43" t="s">
        <v>156</v>
      </c>
      <c r="BH43" t="s">
        <v>98</v>
      </c>
      <c r="BI43" t="s">
        <v>284</v>
      </c>
      <c r="BJ43" t="s">
        <v>284</v>
      </c>
      <c r="BL43" t="s">
        <v>100</v>
      </c>
      <c r="BM43" t="s">
        <v>101</v>
      </c>
      <c r="BN43" t="s">
        <v>102</v>
      </c>
      <c r="BO43" t="s">
        <v>103</v>
      </c>
      <c r="BP43" t="s">
        <v>147</v>
      </c>
      <c r="BQ43" t="s">
        <v>380</v>
      </c>
      <c r="BR43" t="str">
        <f>VLOOKUP(KeHEPARDataFlowSource[[#This Row],[Item Status]],Table2[#All],2,FALSE)</f>
        <v>Temporarily OOS due to Manuf</v>
      </c>
    </row>
    <row r="44" spans="1:70" x14ac:dyDescent="0.25">
      <c r="A44" t="s">
        <v>104</v>
      </c>
      <c r="B44" t="s">
        <v>122</v>
      </c>
      <c r="C44" t="s">
        <v>123</v>
      </c>
      <c r="D44" t="s">
        <v>124</v>
      </c>
      <c r="E44" t="s">
        <v>125</v>
      </c>
      <c r="F44" t="s">
        <v>113</v>
      </c>
      <c r="G44" t="s">
        <v>107</v>
      </c>
      <c r="H44" t="s">
        <v>87</v>
      </c>
      <c r="I44" t="s">
        <v>108</v>
      </c>
      <c r="J44" t="s">
        <v>10</v>
      </c>
      <c r="K44" t="s">
        <v>120</v>
      </c>
      <c r="L44" t="s">
        <v>88</v>
      </c>
      <c r="M44" t="s">
        <v>109</v>
      </c>
      <c r="N44" t="s">
        <v>110</v>
      </c>
      <c r="O44" t="s">
        <v>190</v>
      </c>
      <c r="P44" t="s">
        <v>118</v>
      </c>
      <c r="Q44" t="s">
        <v>89</v>
      </c>
      <c r="R44" t="s">
        <v>89</v>
      </c>
      <c r="S44" t="s">
        <v>89</v>
      </c>
      <c r="T44">
        <v>2302.56</v>
      </c>
      <c r="U44">
        <v>144</v>
      </c>
      <c r="V44" t="s">
        <v>89</v>
      </c>
      <c r="W44" t="s">
        <v>102</v>
      </c>
      <c r="X44" t="s">
        <v>89</v>
      </c>
      <c r="Y44" t="s">
        <v>102</v>
      </c>
      <c r="Z44" t="s">
        <v>358</v>
      </c>
      <c r="AA44" t="s">
        <v>297</v>
      </c>
      <c r="AB44" t="s">
        <v>297</v>
      </c>
      <c r="AE44" t="s">
        <v>116</v>
      </c>
      <c r="AF44" t="s">
        <v>381</v>
      </c>
      <c r="AG44" t="s">
        <v>188</v>
      </c>
      <c r="AH44" t="s">
        <v>352</v>
      </c>
      <c r="AI44" t="s">
        <v>128</v>
      </c>
      <c r="AJ44" t="s">
        <v>129</v>
      </c>
      <c r="AK44" t="s">
        <v>130</v>
      </c>
      <c r="AL44" t="s">
        <v>191</v>
      </c>
      <c r="AM44" t="s">
        <v>119</v>
      </c>
      <c r="AN44" t="s">
        <v>132</v>
      </c>
      <c r="AO44" t="s">
        <v>133</v>
      </c>
      <c r="AP44" t="s">
        <v>90</v>
      </c>
      <c r="AQ44" t="s">
        <v>134</v>
      </c>
      <c r="AR44" t="s">
        <v>287</v>
      </c>
      <c r="AS44" t="s">
        <v>91</v>
      </c>
      <c r="AT44" t="s">
        <v>105</v>
      </c>
      <c r="AU44" t="s">
        <v>106</v>
      </c>
      <c r="AV44" t="s">
        <v>92</v>
      </c>
      <c r="AW44" t="s">
        <v>93</v>
      </c>
      <c r="AX44" t="s">
        <v>111</v>
      </c>
      <c r="AY44" t="s">
        <v>95</v>
      </c>
      <c r="AZ44" t="s">
        <v>115</v>
      </c>
      <c r="BA44" t="s">
        <v>6</v>
      </c>
      <c r="BB44" t="s">
        <v>96</v>
      </c>
      <c r="BC44" t="s">
        <v>98</v>
      </c>
      <c r="BD44" t="s">
        <v>98</v>
      </c>
      <c r="BE44" t="s">
        <v>98</v>
      </c>
      <c r="BF44" t="s">
        <v>99</v>
      </c>
      <c r="BG44" t="s">
        <v>112</v>
      </c>
      <c r="BH44" t="s">
        <v>98</v>
      </c>
      <c r="BI44" t="s">
        <v>102</v>
      </c>
      <c r="BJ44" t="s">
        <v>178</v>
      </c>
      <c r="BL44" t="s">
        <v>100</v>
      </c>
      <c r="BM44" t="s">
        <v>101</v>
      </c>
      <c r="BN44" t="s">
        <v>102</v>
      </c>
      <c r="BO44" t="s">
        <v>103</v>
      </c>
      <c r="BP44" t="s">
        <v>114</v>
      </c>
      <c r="BQ44" t="s">
        <v>351</v>
      </c>
      <c r="BR44" t="str">
        <f>VLOOKUP(KeHEPARDataFlowSource[[#This Row],[Item Status]],Table2[#All],2,FALSE)</f>
        <v>Normal, Active item</v>
      </c>
    </row>
    <row r="45" spans="1:70" x14ac:dyDescent="0.25">
      <c r="A45" t="s">
        <v>104</v>
      </c>
      <c r="B45" t="s">
        <v>122</v>
      </c>
      <c r="C45" t="s">
        <v>123</v>
      </c>
      <c r="D45" t="s">
        <v>124</v>
      </c>
      <c r="E45" t="s">
        <v>125</v>
      </c>
      <c r="F45" t="s">
        <v>192</v>
      </c>
      <c r="G45" t="s">
        <v>141</v>
      </c>
      <c r="H45" t="s">
        <v>87</v>
      </c>
      <c r="I45" t="s">
        <v>142</v>
      </c>
      <c r="J45" t="s">
        <v>10</v>
      </c>
      <c r="K45" t="s">
        <v>120</v>
      </c>
      <c r="L45" t="s">
        <v>88</v>
      </c>
      <c r="M45" t="s">
        <v>109</v>
      </c>
      <c r="N45" t="s">
        <v>110</v>
      </c>
      <c r="O45" t="s">
        <v>190</v>
      </c>
      <c r="P45" t="s">
        <v>118</v>
      </c>
      <c r="Q45" t="s">
        <v>89</v>
      </c>
      <c r="R45" t="s">
        <v>89</v>
      </c>
      <c r="S45" t="s">
        <v>89</v>
      </c>
      <c r="T45">
        <v>1918.8</v>
      </c>
      <c r="U45">
        <v>120</v>
      </c>
      <c r="V45" t="s">
        <v>89</v>
      </c>
      <c r="W45" t="s">
        <v>102</v>
      </c>
      <c r="X45" t="s">
        <v>89</v>
      </c>
      <c r="Y45" t="s">
        <v>102</v>
      </c>
      <c r="Z45" t="s">
        <v>358</v>
      </c>
      <c r="AA45" t="s">
        <v>297</v>
      </c>
      <c r="AB45" t="s">
        <v>297</v>
      </c>
      <c r="AE45" t="s">
        <v>116</v>
      </c>
      <c r="AF45" t="s">
        <v>301</v>
      </c>
      <c r="AG45" t="s">
        <v>94</v>
      </c>
      <c r="AH45" t="s">
        <v>352</v>
      </c>
      <c r="AI45" t="s">
        <v>128</v>
      </c>
      <c r="AJ45" t="s">
        <v>129</v>
      </c>
      <c r="AK45" t="s">
        <v>130</v>
      </c>
      <c r="AL45" t="s">
        <v>191</v>
      </c>
      <c r="AM45" t="s">
        <v>119</v>
      </c>
      <c r="AN45" t="s">
        <v>132</v>
      </c>
      <c r="AO45" t="s">
        <v>133</v>
      </c>
      <c r="AP45" t="s">
        <v>90</v>
      </c>
      <c r="AQ45" t="s">
        <v>134</v>
      </c>
      <c r="AR45" t="s">
        <v>287</v>
      </c>
      <c r="AS45" t="s">
        <v>91</v>
      </c>
      <c r="AT45" t="s">
        <v>105</v>
      </c>
      <c r="AU45" t="s">
        <v>106</v>
      </c>
      <c r="AV45" t="s">
        <v>92</v>
      </c>
      <c r="AW45" t="s">
        <v>93</v>
      </c>
      <c r="AX45" t="s">
        <v>111</v>
      </c>
      <c r="AY45" t="s">
        <v>95</v>
      </c>
      <c r="AZ45" t="s">
        <v>193</v>
      </c>
      <c r="BA45" t="s">
        <v>6</v>
      </c>
      <c r="BB45" t="s">
        <v>96</v>
      </c>
      <c r="BC45" t="s">
        <v>98</v>
      </c>
      <c r="BD45" t="s">
        <v>98</v>
      </c>
      <c r="BE45" t="s">
        <v>98</v>
      </c>
      <c r="BF45" t="s">
        <v>99</v>
      </c>
      <c r="BG45" t="s">
        <v>112</v>
      </c>
      <c r="BH45" t="s">
        <v>98</v>
      </c>
      <c r="BI45" t="s">
        <v>102</v>
      </c>
      <c r="BJ45" t="s">
        <v>178</v>
      </c>
      <c r="BL45" t="s">
        <v>100</v>
      </c>
      <c r="BM45" t="s">
        <v>101</v>
      </c>
      <c r="BN45" t="s">
        <v>102</v>
      </c>
      <c r="BO45" t="s">
        <v>103</v>
      </c>
      <c r="BP45" t="s">
        <v>114</v>
      </c>
      <c r="BQ45" t="s">
        <v>135</v>
      </c>
      <c r="BR45" t="str">
        <f>VLOOKUP(KeHEPARDataFlowSource[[#This Row],[Item Status]],Table2[#All],2,FALSE)</f>
        <v>Normal, Active item</v>
      </c>
    </row>
    <row r="46" spans="1:70" x14ac:dyDescent="0.25">
      <c r="A46" t="s">
        <v>104</v>
      </c>
      <c r="B46" t="s">
        <v>122</v>
      </c>
      <c r="C46" t="s">
        <v>123</v>
      </c>
      <c r="D46" t="s">
        <v>124</v>
      </c>
      <c r="E46" t="s">
        <v>125</v>
      </c>
      <c r="F46" t="s">
        <v>204</v>
      </c>
      <c r="G46" t="s">
        <v>150</v>
      </c>
      <c r="H46" t="s">
        <v>87</v>
      </c>
      <c r="I46" t="s">
        <v>151</v>
      </c>
      <c r="J46" t="s">
        <v>10</v>
      </c>
      <c r="K46" t="s">
        <v>120</v>
      </c>
      <c r="L46" t="s">
        <v>88</v>
      </c>
      <c r="M46" t="s">
        <v>109</v>
      </c>
      <c r="N46" t="s">
        <v>110</v>
      </c>
      <c r="O46" t="s">
        <v>190</v>
      </c>
      <c r="P46" t="s">
        <v>118</v>
      </c>
      <c r="Q46" t="s">
        <v>89</v>
      </c>
      <c r="R46" t="s">
        <v>89</v>
      </c>
      <c r="S46" t="s">
        <v>89</v>
      </c>
      <c r="T46">
        <v>1535.04</v>
      </c>
      <c r="U46">
        <v>96</v>
      </c>
      <c r="V46" t="s">
        <v>89</v>
      </c>
      <c r="W46" t="s">
        <v>102</v>
      </c>
      <c r="X46" t="s">
        <v>89</v>
      </c>
      <c r="Y46" t="s">
        <v>102</v>
      </c>
      <c r="Z46" t="s">
        <v>358</v>
      </c>
      <c r="AA46" t="s">
        <v>297</v>
      </c>
      <c r="AB46" t="s">
        <v>297</v>
      </c>
      <c r="AE46" t="s">
        <v>116</v>
      </c>
      <c r="AF46" t="s">
        <v>382</v>
      </c>
      <c r="AG46" t="s">
        <v>147</v>
      </c>
      <c r="AH46" t="s">
        <v>352</v>
      </c>
      <c r="AI46" t="s">
        <v>128</v>
      </c>
      <c r="AJ46" t="s">
        <v>129</v>
      </c>
      <c r="AK46" t="s">
        <v>130</v>
      </c>
      <c r="AL46" t="s">
        <v>191</v>
      </c>
      <c r="AM46" t="s">
        <v>119</v>
      </c>
      <c r="AN46" t="s">
        <v>132</v>
      </c>
      <c r="AO46" t="s">
        <v>133</v>
      </c>
      <c r="AP46" t="s">
        <v>90</v>
      </c>
      <c r="AQ46" t="s">
        <v>134</v>
      </c>
      <c r="AR46" t="s">
        <v>287</v>
      </c>
      <c r="AS46" t="s">
        <v>91</v>
      </c>
      <c r="AT46" t="s">
        <v>105</v>
      </c>
      <c r="AU46" t="s">
        <v>106</v>
      </c>
      <c r="AV46" t="s">
        <v>92</v>
      </c>
      <c r="AW46" t="s">
        <v>93</v>
      </c>
      <c r="AX46" t="s">
        <v>111</v>
      </c>
      <c r="AY46" t="s">
        <v>95</v>
      </c>
      <c r="AZ46" t="s">
        <v>205</v>
      </c>
      <c r="BA46" t="s">
        <v>6</v>
      </c>
      <c r="BB46" t="s">
        <v>96</v>
      </c>
      <c r="BC46" t="s">
        <v>98</v>
      </c>
      <c r="BD46" t="s">
        <v>98</v>
      </c>
      <c r="BE46" t="s">
        <v>98</v>
      </c>
      <c r="BF46" t="s">
        <v>99</v>
      </c>
      <c r="BG46" t="s">
        <v>156</v>
      </c>
      <c r="BH46" t="s">
        <v>98</v>
      </c>
      <c r="BI46" t="s">
        <v>102</v>
      </c>
      <c r="BJ46" t="s">
        <v>178</v>
      </c>
      <c r="BL46" t="s">
        <v>100</v>
      </c>
      <c r="BM46" t="s">
        <v>101</v>
      </c>
      <c r="BN46" t="s">
        <v>102</v>
      </c>
      <c r="BO46" t="s">
        <v>103</v>
      </c>
      <c r="BP46" t="s">
        <v>383</v>
      </c>
      <c r="BQ46" t="s">
        <v>285</v>
      </c>
      <c r="BR46" t="str">
        <f>VLOOKUP(KeHEPARDataFlowSource[[#This Row],[Item Status]],Table2[#All],2,FALSE)</f>
        <v>Normal, Active item</v>
      </c>
    </row>
    <row r="47" spans="1:70" x14ac:dyDescent="0.25">
      <c r="A47" t="s">
        <v>206</v>
      </c>
      <c r="B47" t="s">
        <v>122</v>
      </c>
      <c r="C47" t="s">
        <v>123</v>
      </c>
      <c r="D47" t="s">
        <v>124</v>
      </c>
      <c r="E47" t="s">
        <v>125</v>
      </c>
      <c r="F47" t="s">
        <v>222</v>
      </c>
      <c r="G47" t="s">
        <v>107</v>
      </c>
      <c r="H47" t="s">
        <v>87</v>
      </c>
      <c r="I47" t="s">
        <v>108</v>
      </c>
      <c r="J47" t="s">
        <v>10</v>
      </c>
      <c r="K47" t="s">
        <v>120</v>
      </c>
      <c r="L47" t="s">
        <v>88</v>
      </c>
      <c r="M47" t="s">
        <v>109</v>
      </c>
      <c r="N47" t="s">
        <v>110</v>
      </c>
      <c r="O47" t="s">
        <v>190</v>
      </c>
      <c r="P47" t="s">
        <v>118</v>
      </c>
      <c r="Q47" t="s">
        <v>89</v>
      </c>
      <c r="R47" t="s">
        <v>89</v>
      </c>
      <c r="S47" t="s">
        <v>89</v>
      </c>
      <c r="T47">
        <v>4605.12</v>
      </c>
      <c r="U47">
        <v>288</v>
      </c>
      <c r="V47" t="s">
        <v>89</v>
      </c>
      <c r="W47" t="s">
        <v>102</v>
      </c>
      <c r="X47" t="s">
        <v>89</v>
      </c>
      <c r="Y47" t="s">
        <v>102</v>
      </c>
      <c r="Z47" t="s">
        <v>359</v>
      </c>
      <c r="AA47" t="s">
        <v>169</v>
      </c>
      <c r="AB47" t="s">
        <v>169</v>
      </c>
      <c r="AE47" t="s">
        <v>116</v>
      </c>
      <c r="AF47" t="s">
        <v>384</v>
      </c>
      <c r="AG47" t="s">
        <v>117</v>
      </c>
      <c r="AH47" t="s">
        <v>352</v>
      </c>
      <c r="AI47" t="s">
        <v>128</v>
      </c>
      <c r="AJ47" t="s">
        <v>129</v>
      </c>
      <c r="AK47" t="s">
        <v>130</v>
      </c>
      <c r="AL47" t="s">
        <v>191</v>
      </c>
      <c r="AM47" t="s">
        <v>119</v>
      </c>
      <c r="AN47" t="s">
        <v>132</v>
      </c>
      <c r="AO47" t="s">
        <v>133</v>
      </c>
      <c r="AP47" t="s">
        <v>90</v>
      </c>
      <c r="AQ47" t="s">
        <v>134</v>
      </c>
      <c r="AR47" t="s">
        <v>287</v>
      </c>
      <c r="AS47" t="s">
        <v>91</v>
      </c>
      <c r="AT47" t="s">
        <v>105</v>
      </c>
      <c r="AU47" t="s">
        <v>106</v>
      </c>
      <c r="AV47" t="s">
        <v>92</v>
      </c>
      <c r="AW47" t="s">
        <v>93</v>
      </c>
      <c r="AX47" t="s">
        <v>111</v>
      </c>
      <c r="AY47" t="s">
        <v>95</v>
      </c>
      <c r="AZ47" t="s">
        <v>223</v>
      </c>
      <c r="BA47" t="s">
        <v>6</v>
      </c>
      <c r="BB47" t="s">
        <v>96</v>
      </c>
      <c r="BC47" t="s">
        <v>98</v>
      </c>
      <c r="BD47" t="s">
        <v>98</v>
      </c>
      <c r="BE47" t="s">
        <v>98</v>
      </c>
      <c r="BF47" t="s">
        <v>99</v>
      </c>
      <c r="BG47" t="s">
        <v>112</v>
      </c>
      <c r="BH47" t="s">
        <v>98</v>
      </c>
      <c r="BI47" t="s">
        <v>172</v>
      </c>
      <c r="BJ47" t="s">
        <v>178</v>
      </c>
      <c r="BL47" t="s">
        <v>100</v>
      </c>
      <c r="BM47" t="s">
        <v>101</v>
      </c>
      <c r="BN47" t="s">
        <v>102</v>
      </c>
      <c r="BO47" t="s">
        <v>103</v>
      </c>
      <c r="BP47" t="s">
        <v>114</v>
      </c>
      <c r="BQ47" t="s">
        <v>385</v>
      </c>
      <c r="BR47" t="str">
        <f>VLOOKUP(KeHEPARDataFlowSource[[#This Row],[Item Status]],Table2[#All],2,FALSE)</f>
        <v>Normal, Active item</v>
      </c>
    </row>
    <row r="48" spans="1:70" x14ac:dyDescent="0.25">
      <c r="A48" t="s">
        <v>214</v>
      </c>
      <c r="B48" t="s">
        <v>122</v>
      </c>
      <c r="C48" t="s">
        <v>123</v>
      </c>
      <c r="D48" t="s">
        <v>124</v>
      </c>
      <c r="E48" t="s">
        <v>125</v>
      </c>
      <c r="F48" t="s">
        <v>269</v>
      </c>
      <c r="G48" t="s">
        <v>141</v>
      </c>
      <c r="H48" t="s">
        <v>87</v>
      </c>
      <c r="I48" t="s">
        <v>142</v>
      </c>
      <c r="J48" t="s">
        <v>10</v>
      </c>
      <c r="K48" t="s">
        <v>120</v>
      </c>
      <c r="L48" t="s">
        <v>88</v>
      </c>
      <c r="M48" t="s">
        <v>109</v>
      </c>
      <c r="N48" t="s">
        <v>110</v>
      </c>
      <c r="O48" t="s">
        <v>289</v>
      </c>
      <c r="P48" t="s">
        <v>118</v>
      </c>
      <c r="Q48" t="s">
        <v>89</v>
      </c>
      <c r="R48" t="s">
        <v>89</v>
      </c>
      <c r="S48" t="s">
        <v>89</v>
      </c>
      <c r="T48">
        <v>4221.3599999999997</v>
      </c>
      <c r="U48">
        <v>264</v>
      </c>
      <c r="V48" t="s">
        <v>89</v>
      </c>
      <c r="W48" t="s">
        <v>102</v>
      </c>
      <c r="X48" t="s">
        <v>89</v>
      </c>
      <c r="Y48" t="s">
        <v>102</v>
      </c>
      <c r="Z48" t="s">
        <v>386</v>
      </c>
      <c r="AA48" t="s">
        <v>387</v>
      </c>
      <c r="AB48" t="s">
        <v>387</v>
      </c>
      <c r="AE48" t="s">
        <v>116</v>
      </c>
      <c r="AF48" t="s">
        <v>377</v>
      </c>
      <c r="AG48" t="s">
        <v>114</v>
      </c>
      <c r="AH48" t="s">
        <v>352</v>
      </c>
      <c r="AI48" t="s">
        <v>128</v>
      </c>
      <c r="AJ48" t="s">
        <v>129</v>
      </c>
      <c r="AK48" t="s">
        <v>130</v>
      </c>
      <c r="AL48" t="s">
        <v>290</v>
      </c>
      <c r="AM48" t="s">
        <v>119</v>
      </c>
      <c r="AN48" t="s">
        <v>132</v>
      </c>
      <c r="AO48" t="s">
        <v>133</v>
      </c>
      <c r="AP48" t="s">
        <v>90</v>
      </c>
      <c r="AQ48" t="s">
        <v>134</v>
      </c>
      <c r="AR48" t="s">
        <v>287</v>
      </c>
      <c r="AS48" t="s">
        <v>91</v>
      </c>
      <c r="AT48" t="s">
        <v>135</v>
      </c>
      <c r="AU48" t="s">
        <v>136</v>
      </c>
      <c r="AV48" t="s">
        <v>92</v>
      </c>
      <c r="AW48" t="s">
        <v>93</v>
      </c>
      <c r="AX48" t="s">
        <v>111</v>
      </c>
      <c r="AY48" t="s">
        <v>95</v>
      </c>
      <c r="AZ48" t="s">
        <v>270</v>
      </c>
      <c r="BA48" t="s">
        <v>6</v>
      </c>
      <c r="BB48" t="s">
        <v>96</v>
      </c>
      <c r="BC48" t="s">
        <v>98</v>
      </c>
      <c r="BD48" t="s">
        <v>98</v>
      </c>
      <c r="BE48" t="s">
        <v>98</v>
      </c>
      <c r="BF48" t="s">
        <v>286</v>
      </c>
      <c r="BG48" t="s">
        <v>112</v>
      </c>
      <c r="BH48" t="s">
        <v>97</v>
      </c>
      <c r="BI48" t="s">
        <v>89</v>
      </c>
      <c r="BJ48" t="s">
        <v>102</v>
      </c>
      <c r="BL48" t="s">
        <v>100</v>
      </c>
      <c r="BM48" t="s">
        <v>101</v>
      </c>
      <c r="BN48" t="s">
        <v>102</v>
      </c>
      <c r="BO48" t="s">
        <v>103</v>
      </c>
      <c r="BP48" t="s">
        <v>114</v>
      </c>
      <c r="BQ48" t="s">
        <v>388</v>
      </c>
      <c r="BR48" t="str">
        <f>VLOOKUP(KeHEPARDataFlowSource[[#This Row],[Item Status]],Table2[#All],2,FALSE)</f>
        <v>Normal, Active item</v>
      </c>
    </row>
    <row r="49" spans="1:70" x14ac:dyDescent="0.25">
      <c r="A49" t="s">
        <v>214</v>
      </c>
      <c r="B49" t="s">
        <v>122</v>
      </c>
      <c r="C49" t="s">
        <v>123</v>
      </c>
      <c r="D49" t="s">
        <v>124</v>
      </c>
      <c r="E49" t="s">
        <v>125</v>
      </c>
      <c r="F49" t="s">
        <v>218</v>
      </c>
      <c r="G49" t="s">
        <v>150</v>
      </c>
      <c r="H49" t="s">
        <v>87</v>
      </c>
      <c r="I49" t="s">
        <v>151</v>
      </c>
      <c r="J49" t="s">
        <v>10</v>
      </c>
      <c r="K49" t="s">
        <v>120</v>
      </c>
      <c r="L49" t="s">
        <v>88</v>
      </c>
      <c r="M49" t="s">
        <v>109</v>
      </c>
      <c r="N49" t="s">
        <v>110</v>
      </c>
      <c r="O49" t="s">
        <v>289</v>
      </c>
      <c r="P49" t="s">
        <v>118</v>
      </c>
      <c r="Q49" t="s">
        <v>89</v>
      </c>
      <c r="R49" t="s">
        <v>89</v>
      </c>
      <c r="S49" t="s">
        <v>89</v>
      </c>
      <c r="T49">
        <v>7291.44</v>
      </c>
      <c r="U49">
        <v>456</v>
      </c>
      <c r="V49" t="s">
        <v>89</v>
      </c>
      <c r="W49" t="s">
        <v>102</v>
      </c>
      <c r="X49" t="s">
        <v>89</v>
      </c>
      <c r="Y49" t="s">
        <v>102</v>
      </c>
      <c r="Z49" t="s">
        <v>216</v>
      </c>
      <c r="AA49" t="s">
        <v>191</v>
      </c>
      <c r="AB49" t="s">
        <v>191</v>
      </c>
      <c r="AE49" t="s">
        <v>116</v>
      </c>
      <c r="AF49" t="s">
        <v>295</v>
      </c>
      <c r="AG49" t="s">
        <v>160</v>
      </c>
      <c r="AH49" t="s">
        <v>352</v>
      </c>
      <c r="AI49" t="s">
        <v>128</v>
      </c>
      <c r="AJ49" t="s">
        <v>129</v>
      </c>
      <c r="AK49" t="s">
        <v>130</v>
      </c>
      <c r="AL49" t="s">
        <v>290</v>
      </c>
      <c r="AM49" t="s">
        <v>119</v>
      </c>
      <c r="AN49" t="s">
        <v>132</v>
      </c>
      <c r="AO49" t="s">
        <v>133</v>
      </c>
      <c r="AP49" t="s">
        <v>90</v>
      </c>
      <c r="AQ49" t="s">
        <v>134</v>
      </c>
      <c r="AR49" t="s">
        <v>287</v>
      </c>
      <c r="AS49" t="s">
        <v>91</v>
      </c>
      <c r="AT49" t="s">
        <v>135</v>
      </c>
      <c r="AU49" t="s">
        <v>136</v>
      </c>
      <c r="AV49" t="s">
        <v>92</v>
      </c>
      <c r="AW49" t="s">
        <v>93</v>
      </c>
      <c r="AX49" t="s">
        <v>111</v>
      </c>
      <c r="AY49" t="s">
        <v>95</v>
      </c>
      <c r="AZ49" t="s">
        <v>219</v>
      </c>
      <c r="BA49" t="s">
        <v>6</v>
      </c>
      <c r="BB49" t="s">
        <v>96</v>
      </c>
      <c r="BC49" t="s">
        <v>98</v>
      </c>
      <c r="BD49" t="s">
        <v>98</v>
      </c>
      <c r="BE49" t="s">
        <v>98</v>
      </c>
      <c r="BF49" t="s">
        <v>286</v>
      </c>
      <c r="BG49" t="s">
        <v>156</v>
      </c>
      <c r="BH49" t="s">
        <v>97</v>
      </c>
      <c r="BI49" t="s">
        <v>89</v>
      </c>
      <c r="BJ49" t="s">
        <v>102</v>
      </c>
      <c r="BL49" t="s">
        <v>100</v>
      </c>
      <c r="BM49" t="s">
        <v>101</v>
      </c>
      <c r="BN49" t="s">
        <v>102</v>
      </c>
      <c r="BO49" t="s">
        <v>103</v>
      </c>
      <c r="BP49" t="s">
        <v>114</v>
      </c>
      <c r="BQ49" t="s">
        <v>105</v>
      </c>
      <c r="BR49" t="str">
        <f>VLOOKUP(KeHEPARDataFlowSource[[#This Row],[Item Status]],Table2[#All],2,FALSE)</f>
        <v>Normal, Active item</v>
      </c>
    </row>
    <row r="50" spans="1:70" x14ac:dyDescent="0.25">
      <c r="A50" t="s">
        <v>214</v>
      </c>
      <c r="B50" t="s">
        <v>122</v>
      </c>
      <c r="C50" t="s">
        <v>279</v>
      </c>
      <c r="D50" t="s">
        <v>124</v>
      </c>
      <c r="E50" t="s">
        <v>316</v>
      </c>
      <c r="F50" t="s">
        <v>277</v>
      </c>
      <c r="G50" t="s">
        <v>238</v>
      </c>
      <c r="H50" t="s">
        <v>87</v>
      </c>
      <c r="I50" t="s">
        <v>239</v>
      </c>
      <c r="J50" t="s">
        <v>8</v>
      </c>
      <c r="K50" t="s">
        <v>120</v>
      </c>
      <c r="L50" t="s">
        <v>88</v>
      </c>
      <c r="M50" t="s">
        <v>148</v>
      </c>
      <c r="N50" t="s">
        <v>148</v>
      </c>
      <c r="O50" t="s">
        <v>366</v>
      </c>
      <c r="P50" t="s">
        <v>303</v>
      </c>
      <c r="Q50" t="s">
        <v>89</v>
      </c>
      <c r="R50" t="s">
        <v>299</v>
      </c>
      <c r="S50" t="s">
        <v>89</v>
      </c>
      <c r="T50">
        <v>3336.84</v>
      </c>
      <c r="U50">
        <v>1116</v>
      </c>
      <c r="V50" t="s">
        <v>299</v>
      </c>
      <c r="W50" t="s">
        <v>102</v>
      </c>
      <c r="X50" t="s">
        <v>89</v>
      </c>
      <c r="Y50" t="s">
        <v>102</v>
      </c>
      <c r="Z50" t="s">
        <v>298</v>
      </c>
      <c r="AA50" t="s">
        <v>131</v>
      </c>
      <c r="AB50" t="s">
        <v>131</v>
      </c>
      <c r="AE50" t="s">
        <v>116</v>
      </c>
      <c r="AF50" t="s">
        <v>362</v>
      </c>
      <c r="AG50" t="s">
        <v>307</v>
      </c>
      <c r="AI50" t="s">
        <v>212</v>
      </c>
      <c r="AJ50" t="s">
        <v>208</v>
      </c>
      <c r="AK50" t="s">
        <v>281</v>
      </c>
      <c r="AM50" t="s">
        <v>10</v>
      </c>
      <c r="AN50" t="s">
        <v>132</v>
      </c>
      <c r="AO50" t="s">
        <v>133</v>
      </c>
      <c r="AP50" t="s">
        <v>90</v>
      </c>
      <c r="AQ50" t="s">
        <v>282</v>
      </c>
      <c r="AR50" t="s">
        <v>283</v>
      </c>
      <c r="AS50" t="s">
        <v>91</v>
      </c>
      <c r="AT50" t="s">
        <v>135</v>
      </c>
      <c r="AU50" t="s">
        <v>136</v>
      </c>
      <c r="AV50" t="s">
        <v>92</v>
      </c>
      <c r="AW50" t="s">
        <v>93</v>
      </c>
      <c r="AX50" t="s">
        <v>94</v>
      </c>
      <c r="AY50" t="s">
        <v>95</v>
      </c>
      <c r="AZ50" t="s">
        <v>278</v>
      </c>
      <c r="BA50" t="s">
        <v>6</v>
      </c>
      <c r="BB50" t="s">
        <v>96</v>
      </c>
      <c r="BC50" t="s">
        <v>98</v>
      </c>
      <c r="BD50" t="s">
        <v>98</v>
      </c>
      <c r="BE50" t="s">
        <v>98</v>
      </c>
      <c r="BF50" t="s">
        <v>286</v>
      </c>
      <c r="BG50" t="s">
        <v>185</v>
      </c>
      <c r="BH50" t="s">
        <v>97</v>
      </c>
      <c r="BI50" t="s">
        <v>89</v>
      </c>
      <c r="BJ50" t="s">
        <v>102</v>
      </c>
      <c r="BL50" t="s">
        <v>100</v>
      </c>
      <c r="BM50" t="s">
        <v>101</v>
      </c>
      <c r="BN50" t="s">
        <v>102</v>
      </c>
      <c r="BO50" t="s">
        <v>103</v>
      </c>
      <c r="BP50" t="s">
        <v>186</v>
      </c>
      <c r="BQ50" t="s">
        <v>365</v>
      </c>
      <c r="BR50" t="str">
        <f>VLOOKUP(KeHEPARDataFlowSource[[#This Row],[Item Status]],Table2[#All],2,FALSE)</f>
        <v>Temporarily OOS due to Manuf</v>
      </c>
    </row>
    <row r="51" spans="1:70" x14ac:dyDescent="0.25">
      <c r="A51" t="s">
        <v>121</v>
      </c>
      <c r="B51" t="s">
        <v>122</v>
      </c>
      <c r="C51" t="s">
        <v>279</v>
      </c>
      <c r="D51" t="s">
        <v>124</v>
      </c>
      <c r="E51" t="s">
        <v>316</v>
      </c>
      <c r="F51" t="s">
        <v>229</v>
      </c>
      <c r="G51" t="s">
        <v>200</v>
      </c>
      <c r="H51" t="s">
        <v>87</v>
      </c>
      <c r="I51" t="s">
        <v>201</v>
      </c>
      <c r="J51" t="s">
        <v>10</v>
      </c>
      <c r="K51" t="s">
        <v>120</v>
      </c>
      <c r="L51" t="s">
        <v>88</v>
      </c>
      <c r="M51" t="s">
        <v>148</v>
      </c>
      <c r="N51" t="s">
        <v>148</v>
      </c>
      <c r="O51" t="s">
        <v>366</v>
      </c>
      <c r="P51" t="s">
        <v>303</v>
      </c>
      <c r="Q51" t="s">
        <v>89</v>
      </c>
      <c r="R51" t="s">
        <v>186</v>
      </c>
      <c r="S51" t="s">
        <v>89</v>
      </c>
      <c r="T51">
        <v>2224.56</v>
      </c>
      <c r="U51">
        <v>744</v>
      </c>
      <c r="V51" t="s">
        <v>186</v>
      </c>
      <c r="W51" t="s">
        <v>102</v>
      </c>
      <c r="X51" t="s">
        <v>89</v>
      </c>
      <c r="Y51" t="s">
        <v>102</v>
      </c>
      <c r="Z51" t="s">
        <v>291</v>
      </c>
      <c r="AA51" t="s">
        <v>169</v>
      </c>
      <c r="AB51" t="s">
        <v>169</v>
      </c>
      <c r="AE51" t="s">
        <v>116</v>
      </c>
      <c r="AF51" t="s">
        <v>360</v>
      </c>
      <c r="AG51" t="s">
        <v>196</v>
      </c>
      <c r="AI51" t="s">
        <v>212</v>
      </c>
      <c r="AJ51" t="s">
        <v>208</v>
      </c>
      <c r="AK51" t="s">
        <v>281</v>
      </c>
      <c r="AM51" t="s">
        <v>10</v>
      </c>
      <c r="AN51" t="s">
        <v>132</v>
      </c>
      <c r="AO51" t="s">
        <v>133</v>
      </c>
      <c r="AP51" t="s">
        <v>90</v>
      </c>
      <c r="AQ51" t="s">
        <v>282</v>
      </c>
      <c r="AR51" t="s">
        <v>283</v>
      </c>
      <c r="AS51" t="s">
        <v>91</v>
      </c>
      <c r="AT51" t="s">
        <v>135</v>
      </c>
      <c r="AU51" t="s">
        <v>136</v>
      </c>
      <c r="AV51" t="s">
        <v>92</v>
      </c>
      <c r="AW51" t="s">
        <v>93</v>
      </c>
      <c r="AX51" t="s">
        <v>94</v>
      </c>
      <c r="AY51" t="s">
        <v>95</v>
      </c>
      <c r="AZ51" t="s">
        <v>231</v>
      </c>
      <c r="BA51" t="s">
        <v>6</v>
      </c>
      <c r="BB51" t="s">
        <v>96</v>
      </c>
      <c r="BC51" t="s">
        <v>98</v>
      </c>
      <c r="BD51" t="s">
        <v>98</v>
      </c>
      <c r="BE51" t="s">
        <v>98</v>
      </c>
      <c r="BF51" t="s">
        <v>138</v>
      </c>
      <c r="BG51" t="s">
        <v>185</v>
      </c>
      <c r="BH51" t="s">
        <v>98</v>
      </c>
      <c r="BI51" t="s">
        <v>284</v>
      </c>
      <c r="BJ51" t="s">
        <v>172</v>
      </c>
      <c r="BL51" t="s">
        <v>100</v>
      </c>
      <c r="BM51" t="s">
        <v>101</v>
      </c>
      <c r="BN51" t="s">
        <v>102</v>
      </c>
      <c r="BO51" t="s">
        <v>103</v>
      </c>
      <c r="BP51" t="s">
        <v>186</v>
      </c>
      <c r="BQ51" t="s">
        <v>361</v>
      </c>
      <c r="BR51" t="str">
        <f>VLOOKUP(KeHEPARDataFlowSource[[#This Row],[Item Status]],Table2[#All],2,FALSE)</f>
        <v>Normal, Active item</v>
      </c>
    </row>
    <row r="52" spans="1:70" x14ac:dyDescent="0.25">
      <c r="A52" t="s">
        <v>139</v>
      </c>
      <c r="B52" t="s">
        <v>122</v>
      </c>
      <c r="C52" t="s">
        <v>279</v>
      </c>
      <c r="D52" t="s">
        <v>124</v>
      </c>
      <c r="E52" t="s">
        <v>316</v>
      </c>
      <c r="F52" t="s">
        <v>255</v>
      </c>
      <c r="G52" t="s">
        <v>182</v>
      </c>
      <c r="H52" t="s">
        <v>87</v>
      </c>
      <c r="I52" t="s">
        <v>183</v>
      </c>
      <c r="J52" t="s">
        <v>10</v>
      </c>
      <c r="K52" t="s">
        <v>120</v>
      </c>
      <c r="L52" t="s">
        <v>88</v>
      </c>
      <c r="M52" t="s">
        <v>148</v>
      </c>
      <c r="N52" t="s">
        <v>148</v>
      </c>
      <c r="O52" t="s">
        <v>366</v>
      </c>
      <c r="P52" t="s">
        <v>303</v>
      </c>
      <c r="Q52" t="s">
        <v>89</v>
      </c>
      <c r="R52" t="s">
        <v>344</v>
      </c>
      <c r="S52" t="s">
        <v>89</v>
      </c>
      <c r="T52">
        <v>6386.64</v>
      </c>
      <c r="U52">
        <v>2136</v>
      </c>
      <c r="V52" t="s">
        <v>344</v>
      </c>
      <c r="W52" t="s">
        <v>102</v>
      </c>
      <c r="X52" t="s">
        <v>89</v>
      </c>
      <c r="Y52" t="s">
        <v>102</v>
      </c>
      <c r="Z52" t="s">
        <v>292</v>
      </c>
      <c r="AA52" t="s">
        <v>293</v>
      </c>
      <c r="AB52" t="s">
        <v>293</v>
      </c>
      <c r="AE52" t="s">
        <v>116</v>
      </c>
      <c r="AF52" t="s">
        <v>167</v>
      </c>
      <c r="AG52" t="s">
        <v>353</v>
      </c>
      <c r="AI52" t="s">
        <v>212</v>
      </c>
      <c r="AJ52" t="s">
        <v>208</v>
      </c>
      <c r="AK52" t="s">
        <v>281</v>
      </c>
      <c r="AM52" t="s">
        <v>10</v>
      </c>
      <c r="AN52" t="s">
        <v>132</v>
      </c>
      <c r="AO52" t="s">
        <v>133</v>
      </c>
      <c r="AP52" t="s">
        <v>90</v>
      </c>
      <c r="AQ52" t="s">
        <v>282</v>
      </c>
      <c r="AR52" t="s">
        <v>283</v>
      </c>
      <c r="AS52" t="s">
        <v>91</v>
      </c>
      <c r="AT52" t="s">
        <v>135</v>
      </c>
      <c r="AU52" t="s">
        <v>136</v>
      </c>
      <c r="AV52" t="s">
        <v>92</v>
      </c>
      <c r="AW52" t="s">
        <v>93</v>
      </c>
      <c r="AX52" t="s">
        <v>94</v>
      </c>
      <c r="AY52" t="s">
        <v>95</v>
      </c>
      <c r="AZ52" t="s">
        <v>256</v>
      </c>
      <c r="BA52" t="s">
        <v>6</v>
      </c>
      <c r="BB52" t="s">
        <v>96</v>
      </c>
      <c r="BC52" t="s">
        <v>98</v>
      </c>
      <c r="BD52" t="s">
        <v>98</v>
      </c>
      <c r="BE52" t="s">
        <v>98</v>
      </c>
      <c r="BF52" t="s">
        <v>146</v>
      </c>
      <c r="BG52" t="s">
        <v>185</v>
      </c>
      <c r="BH52" t="s">
        <v>97</v>
      </c>
      <c r="BI52" t="s">
        <v>346</v>
      </c>
      <c r="BJ52" t="s">
        <v>346</v>
      </c>
      <c r="BL52" t="s">
        <v>100</v>
      </c>
      <c r="BM52" t="s">
        <v>101</v>
      </c>
      <c r="BN52" t="s">
        <v>102</v>
      </c>
      <c r="BO52" t="s">
        <v>103</v>
      </c>
      <c r="BP52" t="s">
        <v>322</v>
      </c>
      <c r="BQ52" t="s">
        <v>354</v>
      </c>
      <c r="BR52" t="str">
        <f>VLOOKUP(KeHEPARDataFlowSource[[#This Row],[Item Status]],Table2[#All],2,FALSE)</f>
        <v>Normal, Active item</v>
      </c>
    </row>
    <row r="53" spans="1:70" x14ac:dyDescent="0.25">
      <c r="A53" t="s">
        <v>146</v>
      </c>
      <c r="B53" t="s">
        <v>122</v>
      </c>
      <c r="C53" t="s">
        <v>279</v>
      </c>
      <c r="D53" t="s">
        <v>124</v>
      </c>
      <c r="E53" t="s">
        <v>316</v>
      </c>
      <c r="F53" t="s">
        <v>237</v>
      </c>
      <c r="G53" t="s">
        <v>238</v>
      </c>
      <c r="H53" t="s">
        <v>87</v>
      </c>
      <c r="I53" t="s">
        <v>239</v>
      </c>
      <c r="J53" t="s">
        <v>8</v>
      </c>
      <c r="K53" t="s">
        <v>120</v>
      </c>
      <c r="L53" t="s">
        <v>88</v>
      </c>
      <c r="M53" t="s">
        <v>148</v>
      </c>
      <c r="N53" t="s">
        <v>148</v>
      </c>
      <c r="O53" t="s">
        <v>280</v>
      </c>
      <c r="P53" t="s">
        <v>118</v>
      </c>
      <c r="Q53" t="s">
        <v>89</v>
      </c>
      <c r="R53" t="s">
        <v>326</v>
      </c>
      <c r="S53" t="s">
        <v>89</v>
      </c>
      <c r="T53">
        <v>4054.44</v>
      </c>
      <c r="U53">
        <v>1356</v>
      </c>
      <c r="V53" t="s">
        <v>160</v>
      </c>
      <c r="W53" t="s">
        <v>102</v>
      </c>
      <c r="X53" t="s">
        <v>89</v>
      </c>
      <c r="Y53" t="s">
        <v>102</v>
      </c>
      <c r="AF53" t="s">
        <v>389</v>
      </c>
      <c r="AG53" t="s">
        <v>336</v>
      </c>
      <c r="AI53" t="s">
        <v>212</v>
      </c>
      <c r="AJ53" t="s">
        <v>208</v>
      </c>
      <c r="AK53" t="s">
        <v>281</v>
      </c>
      <c r="AM53" t="s">
        <v>10</v>
      </c>
      <c r="AN53" t="s">
        <v>132</v>
      </c>
      <c r="AO53" t="s">
        <v>133</v>
      </c>
      <c r="AP53" t="s">
        <v>90</v>
      </c>
      <c r="AQ53" t="s">
        <v>282</v>
      </c>
      <c r="AR53" t="s">
        <v>283</v>
      </c>
      <c r="AS53" t="s">
        <v>91</v>
      </c>
      <c r="AT53" t="s">
        <v>135</v>
      </c>
      <c r="AU53" t="s">
        <v>136</v>
      </c>
      <c r="AV53" t="s">
        <v>92</v>
      </c>
      <c r="AW53" t="s">
        <v>93</v>
      </c>
      <c r="AX53" t="s">
        <v>94</v>
      </c>
      <c r="AY53" t="s">
        <v>95</v>
      </c>
      <c r="AZ53" t="s">
        <v>240</v>
      </c>
      <c r="BA53" t="s">
        <v>6</v>
      </c>
      <c r="BB53" t="s">
        <v>96</v>
      </c>
      <c r="BC53" t="s">
        <v>98</v>
      </c>
      <c r="BD53" t="s">
        <v>98</v>
      </c>
      <c r="BE53" t="s">
        <v>98</v>
      </c>
      <c r="BF53" t="s">
        <v>171</v>
      </c>
      <c r="BG53" t="s">
        <v>185</v>
      </c>
      <c r="BH53" t="s">
        <v>98</v>
      </c>
      <c r="BI53" t="s">
        <v>284</v>
      </c>
      <c r="BJ53" t="s">
        <v>284</v>
      </c>
      <c r="BL53" t="s">
        <v>100</v>
      </c>
      <c r="BM53" t="s">
        <v>101</v>
      </c>
      <c r="BN53" t="s">
        <v>102</v>
      </c>
      <c r="BO53" t="s">
        <v>103</v>
      </c>
      <c r="BP53" t="s">
        <v>89</v>
      </c>
      <c r="BQ53" t="s">
        <v>89</v>
      </c>
      <c r="BR53" t="str">
        <f>VLOOKUP(KeHEPARDataFlowSource[[#This Row],[Item Status]],Table2[#All],2,FALSE)</f>
        <v>Temporarily OOS due to Manuf</v>
      </c>
    </row>
    <row r="54" spans="1:70" x14ac:dyDescent="0.25">
      <c r="A54" t="s">
        <v>175</v>
      </c>
      <c r="B54" t="s">
        <v>122</v>
      </c>
      <c r="C54" t="s">
        <v>279</v>
      </c>
      <c r="D54" t="s">
        <v>124</v>
      </c>
      <c r="E54" t="s">
        <v>316</v>
      </c>
      <c r="F54" t="s">
        <v>241</v>
      </c>
      <c r="G54" t="s">
        <v>200</v>
      </c>
      <c r="H54" t="s">
        <v>87</v>
      </c>
      <c r="I54" t="s">
        <v>201</v>
      </c>
      <c r="J54" t="s">
        <v>10</v>
      </c>
      <c r="K54" t="s">
        <v>120</v>
      </c>
      <c r="L54" t="s">
        <v>88</v>
      </c>
      <c r="M54" t="s">
        <v>148</v>
      </c>
      <c r="N54" t="s">
        <v>148</v>
      </c>
      <c r="O54" t="s">
        <v>280</v>
      </c>
      <c r="P54" t="s">
        <v>118</v>
      </c>
      <c r="Q54" t="s">
        <v>89</v>
      </c>
      <c r="R54" t="s">
        <v>348</v>
      </c>
      <c r="S54" t="s">
        <v>89</v>
      </c>
      <c r="T54">
        <v>2045.16</v>
      </c>
      <c r="U54">
        <v>684</v>
      </c>
      <c r="V54" t="s">
        <v>348</v>
      </c>
      <c r="W54" t="s">
        <v>102</v>
      </c>
      <c r="X54" t="s">
        <v>89</v>
      </c>
      <c r="Y54" t="s">
        <v>102</v>
      </c>
      <c r="AF54" t="s">
        <v>379</v>
      </c>
      <c r="AG54" t="s">
        <v>322</v>
      </c>
      <c r="AI54" t="s">
        <v>212</v>
      </c>
      <c r="AJ54" t="s">
        <v>208</v>
      </c>
      <c r="AK54" t="s">
        <v>281</v>
      </c>
      <c r="AM54" t="s">
        <v>10</v>
      </c>
      <c r="AN54" t="s">
        <v>132</v>
      </c>
      <c r="AO54" t="s">
        <v>133</v>
      </c>
      <c r="AP54" t="s">
        <v>90</v>
      </c>
      <c r="AQ54" t="s">
        <v>282</v>
      </c>
      <c r="AR54" t="s">
        <v>283</v>
      </c>
      <c r="AS54" t="s">
        <v>91</v>
      </c>
      <c r="AT54" t="s">
        <v>105</v>
      </c>
      <c r="AU54" t="s">
        <v>106</v>
      </c>
      <c r="AV54" t="s">
        <v>92</v>
      </c>
      <c r="AW54" t="s">
        <v>93</v>
      </c>
      <c r="AX54" t="s">
        <v>94</v>
      </c>
      <c r="AY54" t="s">
        <v>95</v>
      </c>
      <c r="AZ54" t="s">
        <v>242</v>
      </c>
      <c r="BA54" t="s">
        <v>6</v>
      </c>
      <c r="BB54" t="s">
        <v>96</v>
      </c>
      <c r="BC54" t="s">
        <v>98</v>
      </c>
      <c r="BD54" t="s">
        <v>98</v>
      </c>
      <c r="BE54" t="s">
        <v>98</v>
      </c>
      <c r="BF54" t="s">
        <v>171</v>
      </c>
      <c r="BG54" t="s">
        <v>185</v>
      </c>
      <c r="BH54" t="s">
        <v>98</v>
      </c>
      <c r="BI54" t="s">
        <v>350</v>
      </c>
      <c r="BJ54" t="s">
        <v>351</v>
      </c>
      <c r="BL54" t="s">
        <v>100</v>
      </c>
      <c r="BM54" t="s">
        <v>101</v>
      </c>
      <c r="BN54" t="s">
        <v>102</v>
      </c>
      <c r="BO54" t="s">
        <v>103</v>
      </c>
      <c r="BP54" t="s">
        <v>89</v>
      </c>
      <c r="BQ54" t="s">
        <v>89</v>
      </c>
      <c r="BR54" t="str">
        <f>VLOOKUP(KeHEPARDataFlowSource[[#This Row],[Item Status]],Table2[#All],2,FALSE)</f>
        <v>Normal, Active item</v>
      </c>
    </row>
    <row r="55" spans="1:70" x14ac:dyDescent="0.25">
      <c r="A55" t="s">
        <v>148</v>
      </c>
      <c r="B55" t="s">
        <v>122</v>
      </c>
      <c r="C55" t="s">
        <v>279</v>
      </c>
      <c r="D55" t="s">
        <v>124</v>
      </c>
      <c r="E55" t="s">
        <v>316</v>
      </c>
      <c r="F55" t="s">
        <v>314</v>
      </c>
      <c r="G55" t="s">
        <v>238</v>
      </c>
      <c r="H55" t="s">
        <v>87</v>
      </c>
      <c r="I55" t="s">
        <v>239</v>
      </c>
      <c r="J55" t="s">
        <v>8</v>
      </c>
      <c r="K55" t="s">
        <v>120</v>
      </c>
      <c r="L55" t="s">
        <v>88</v>
      </c>
      <c r="M55" t="s">
        <v>148</v>
      </c>
      <c r="N55" t="s">
        <v>148</v>
      </c>
      <c r="O55" t="s">
        <v>280</v>
      </c>
      <c r="P55" t="s">
        <v>118</v>
      </c>
      <c r="Q55" t="s">
        <v>89</v>
      </c>
      <c r="R55" t="s">
        <v>186</v>
      </c>
      <c r="S55" t="s">
        <v>89</v>
      </c>
      <c r="T55">
        <v>2224.56</v>
      </c>
      <c r="U55">
        <v>744</v>
      </c>
      <c r="V55" t="s">
        <v>334</v>
      </c>
      <c r="W55" t="s">
        <v>102</v>
      </c>
      <c r="X55" t="s">
        <v>89</v>
      </c>
      <c r="Y55" t="s">
        <v>89</v>
      </c>
      <c r="AF55" t="s">
        <v>390</v>
      </c>
      <c r="AG55" t="s">
        <v>89</v>
      </c>
      <c r="AI55" t="s">
        <v>212</v>
      </c>
      <c r="AJ55" t="s">
        <v>208</v>
      </c>
      <c r="AK55" t="s">
        <v>281</v>
      </c>
      <c r="AM55" t="s">
        <v>10</v>
      </c>
      <c r="AN55" t="s">
        <v>132</v>
      </c>
      <c r="AO55" t="s">
        <v>133</v>
      </c>
      <c r="AP55" t="s">
        <v>90</v>
      </c>
      <c r="AQ55" t="s">
        <v>282</v>
      </c>
      <c r="AR55" t="s">
        <v>283</v>
      </c>
      <c r="AS55" t="s">
        <v>91</v>
      </c>
      <c r="AT55" t="s">
        <v>135</v>
      </c>
      <c r="AU55" t="s">
        <v>136</v>
      </c>
      <c r="AV55" t="s">
        <v>92</v>
      </c>
      <c r="AW55" t="s">
        <v>93</v>
      </c>
      <c r="AX55" t="s">
        <v>94</v>
      </c>
      <c r="AY55" t="s">
        <v>95</v>
      </c>
      <c r="AZ55" t="s">
        <v>315</v>
      </c>
      <c r="BA55" t="s">
        <v>6</v>
      </c>
      <c r="BB55" t="s">
        <v>96</v>
      </c>
      <c r="BC55" t="s">
        <v>98</v>
      </c>
      <c r="BD55" t="s">
        <v>98</v>
      </c>
      <c r="BE55" t="s">
        <v>98</v>
      </c>
      <c r="BF55" t="s">
        <v>155</v>
      </c>
      <c r="BG55" t="s">
        <v>185</v>
      </c>
      <c r="BH55" t="s">
        <v>97</v>
      </c>
      <c r="BI55" t="s">
        <v>318</v>
      </c>
      <c r="BJ55" t="s">
        <v>102</v>
      </c>
      <c r="BL55" t="s">
        <v>100</v>
      </c>
      <c r="BM55" t="s">
        <v>101</v>
      </c>
      <c r="BN55" t="s">
        <v>102</v>
      </c>
      <c r="BO55" t="s">
        <v>103</v>
      </c>
      <c r="BP55" t="s">
        <v>89</v>
      </c>
      <c r="BQ55" t="s">
        <v>89</v>
      </c>
      <c r="BR55" t="str">
        <f>VLOOKUP(KeHEPARDataFlowSource[[#This Row],[Item Status]],Table2[#All],2,FALSE)</f>
        <v>Temporarily OOS due to Manuf</v>
      </c>
    </row>
    <row r="56" spans="1:70" x14ac:dyDescent="0.25">
      <c r="A56" t="s">
        <v>175</v>
      </c>
      <c r="B56" t="s">
        <v>122</v>
      </c>
      <c r="C56" t="s">
        <v>279</v>
      </c>
      <c r="D56" t="s">
        <v>124</v>
      </c>
      <c r="E56" t="s">
        <v>316</v>
      </c>
      <c r="F56" t="s">
        <v>243</v>
      </c>
      <c r="G56" t="s">
        <v>238</v>
      </c>
      <c r="H56" t="s">
        <v>87</v>
      </c>
      <c r="I56" t="s">
        <v>239</v>
      </c>
      <c r="J56" t="s">
        <v>10</v>
      </c>
      <c r="K56" t="s">
        <v>120</v>
      </c>
      <c r="L56" t="s">
        <v>88</v>
      </c>
      <c r="M56" t="s">
        <v>148</v>
      </c>
      <c r="N56" t="s">
        <v>148</v>
      </c>
      <c r="O56" t="s">
        <v>366</v>
      </c>
      <c r="P56" t="s">
        <v>303</v>
      </c>
      <c r="Q56" t="s">
        <v>89</v>
      </c>
      <c r="R56" t="s">
        <v>348</v>
      </c>
      <c r="S56" t="s">
        <v>89</v>
      </c>
      <c r="T56">
        <v>2045.16</v>
      </c>
      <c r="U56">
        <v>684</v>
      </c>
      <c r="V56" t="s">
        <v>348</v>
      </c>
      <c r="W56" t="s">
        <v>102</v>
      </c>
      <c r="X56" t="s">
        <v>89</v>
      </c>
      <c r="Y56" t="s">
        <v>102</v>
      </c>
      <c r="Z56" t="s">
        <v>391</v>
      </c>
      <c r="AA56" t="s">
        <v>305</v>
      </c>
      <c r="AB56" t="s">
        <v>305</v>
      </c>
      <c r="AE56" t="s">
        <v>116</v>
      </c>
      <c r="AF56" t="s">
        <v>288</v>
      </c>
      <c r="AG56" t="s">
        <v>307</v>
      </c>
      <c r="AI56" t="s">
        <v>212</v>
      </c>
      <c r="AJ56" t="s">
        <v>208</v>
      </c>
      <c r="AK56" t="s">
        <v>281</v>
      </c>
      <c r="AM56" t="s">
        <v>10</v>
      </c>
      <c r="AN56" t="s">
        <v>132</v>
      </c>
      <c r="AO56" t="s">
        <v>133</v>
      </c>
      <c r="AP56" t="s">
        <v>90</v>
      </c>
      <c r="AQ56" t="s">
        <v>282</v>
      </c>
      <c r="AR56" t="s">
        <v>283</v>
      </c>
      <c r="AS56" t="s">
        <v>91</v>
      </c>
      <c r="AT56" t="s">
        <v>105</v>
      </c>
      <c r="AU56" t="s">
        <v>106</v>
      </c>
      <c r="AV56" t="s">
        <v>92</v>
      </c>
      <c r="AW56" t="s">
        <v>93</v>
      </c>
      <c r="AX56" t="s">
        <v>94</v>
      </c>
      <c r="AY56" t="s">
        <v>95</v>
      </c>
      <c r="AZ56" t="s">
        <v>244</v>
      </c>
      <c r="BA56" t="s">
        <v>6</v>
      </c>
      <c r="BB56" t="s">
        <v>96</v>
      </c>
      <c r="BC56" t="s">
        <v>98</v>
      </c>
      <c r="BD56" t="s">
        <v>98</v>
      </c>
      <c r="BE56" t="s">
        <v>98</v>
      </c>
      <c r="BF56" t="s">
        <v>171</v>
      </c>
      <c r="BG56" t="s">
        <v>185</v>
      </c>
      <c r="BH56" t="s">
        <v>98</v>
      </c>
      <c r="BI56" t="s">
        <v>350</v>
      </c>
      <c r="BJ56" t="s">
        <v>351</v>
      </c>
      <c r="BL56" t="s">
        <v>100</v>
      </c>
      <c r="BM56" t="s">
        <v>101</v>
      </c>
      <c r="BN56" t="s">
        <v>102</v>
      </c>
      <c r="BO56" t="s">
        <v>103</v>
      </c>
      <c r="BP56" t="s">
        <v>89</v>
      </c>
      <c r="BQ56" t="s">
        <v>89</v>
      </c>
      <c r="BR56" t="str">
        <f>VLOOKUP(KeHEPARDataFlowSource[[#This Row],[Item Status]],Table2[#All],2,FALSE)</f>
        <v>Normal, Active item</v>
      </c>
    </row>
    <row r="57" spans="1:70" x14ac:dyDescent="0.25">
      <c r="A57" t="s">
        <v>146</v>
      </c>
      <c r="B57" t="s">
        <v>122</v>
      </c>
      <c r="C57" t="s">
        <v>123</v>
      </c>
      <c r="D57" t="s">
        <v>124</v>
      </c>
      <c r="E57" t="s">
        <v>125</v>
      </c>
      <c r="F57" t="s">
        <v>237</v>
      </c>
      <c r="G57" t="s">
        <v>238</v>
      </c>
      <c r="H57" t="s">
        <v>87</v>
      </c>
      <c r="I57" t="s">
        <v>239</v>
      </c>
      <c r="J57" t="s">
        <v>8</v>
      </c>
      <c r="K57" t="s">
        <v>120</v>
      </c>
      <c r="L57" t="s">
        <v>88</v>
      </c>
      <c r="M57" t="s">
        <v>148</v>
      </c>
      <c r="N57" t="s">
        <v>148</v>
      </c>
      <c r="O57" t="s">
        <v>165</v>
      </c>
      <c r="P57" t="s">
        <v>118</v>
      </c>
      <c r="Q57" t="s">
        <v>89</v>
      </c>
      <c r="R57" t="s">
        <v>89</v>
      </c>
      <c r="S57" t="s">
        <v>89</v>
      </c>
      <c r="T57">
        <v>1722.24</v>
      </c>
      <c r="U57">
        <v>576</v>
      </c>
      <c r="V57" t="s">
        <v>89</v>
      </c>
      <c r="W57" t="s">
        <v>102</v>
      </c>
      <c r="X57" t="s">
        <v>89</v>
      </c>
      <c r="Y57" t="s">
        <v>102</v>
      </c>
      <c r="Z57" t="s">
        <v>304</v>
      </c>
      <c r="AA57" t="s">
        <v>305</v>
      </c>
      <c r="AB57" t="s">
        <v>305</v>
      </c>
      <c r="AE57" t="s">
        <v>116</v>
      </c>
      <c r="AF57" t="s">
        <v>389</v>
      </c>
      <c r="AG57" t="s">
        <v>336</v>
      </c>
      <c r="AH57" t="s">
        <v>352</v>
      </c>
      <c r="AI57" t="s">
        <v>128</v>
      </c>
      <c r="AJ57" t="s">
        <v>129</v>
      </c>
      <c r="AK57" t="s">
        <v>130</v>
      </c>
      <c r="AL57" t="s">
        <v>169</v>
      </c>
      <c r="AM57" t="s">
        <v>119</v>
      </c>
      <c r="AN57" t="s">
        <v>132</v>
      </c>
      <c r="AO57" t="s">
        <v>133</v>
      </c>
      <c r="AP57" t="s">
        <v>90</v>
      </c>
      <c r="AQ57" t="s">
        <v>134</v>
      </c>
      <c r="AR57" t="s">
        <v>287</v>
      </c>
      <c r="AS57" t="s">
        <v>91</v>
      </c>
      <c r="AT57" t="s">
        <v>135</v>
      </c>
      <c r="AU57" t="s">
        <v>136</v>
      </c>
      <c r="AV57" t="s">
        <v>92</v>
      </c>
      <c r="AW57" t="s">
        <v>93</v>
      </c>
      <c r="AX57" t="s">
        <v>94</v>
      </c>
      <c r="AY57" t="s">
        <v>95</v>
      </c>
      <c r="AZ57" t="s">
        <v>240</v>
      </c>
      <c r="BA57" t="s">
        <v>6</v>
      </c>
      <c r="BB57" t="s">
        <v>96</v>
      </c>
      <c r="BC57" t="s">
        <v>98</v>
      </c>
      <c r="BD57" t="s">
        <v>98</v>
      </c>
      <c r="BE57" t="s">
        <v>98</v>
      </c>
      <c r="BF57" t="s">
        <v>171</v>
      </c>
      <c r="BG57" t="s">
        <v>185</v>
      </c>
      <c r="BH57" t="s">
        <v>98</v>
      </c>
      <c r="BI57" t="s">
        <v>284</v>
      </c>
      <c r="BJ57" t="s">
        <v>284</v>
      </c>
      <c r="BL57" t="s">
        <v>100</v>
      </c>
      <c r="BM57" t="s">
        <v>101</v>
      </c>
      <c r="BN57" t="s">
        <v>102</v>
      </c>
      <c r="BO57" t="s">
        <v>103</v>
      </c>
      <c r="BP57" t="s">
        <v>89</v>
      </c>
      <c r="BQ57" t="s">
        <v>89</v>
      </c>
      <c r="BR57" t="str">
        <f>VLOOKUP(KeHEPARDataFlowSource[[#This Row],[Item Status]],Table2[#All],2,FALSE)</f>
        <v>Temporarily OOS due to Manuf</v>
      </c>
    </row>
    <row r="58" spans="1:70" x14ac:dyDescent="0.25">
      <c r="A58" t="s">
        <v>175</v>
      </c>
      <c r="B58" t="s">
        <v>122</v>
      </c>
      <c r="C58" t="s">
        <v>123</v>
      </c>
      <c r="D58" t="s">
        <v>124</v>
      </c>
      <c r="E58" t="s">
        <v>125</v>
      </c>
      <c r="F58" t="s">
        <v>176</v>
      </c>
      <c r="G58" t="s">
        <v>107</v>
      </c>
      <c r="H58" t="s">
        <v>87</v>
      </c>
      <c r="I58" t="s">
        <v>108</v>
      </c>
      <c r="J58" t="s">
        <v>10</v>
      </c>
      <c r="K58" t="s">
        <v>120</v>
      </c>
      <c r="L58" t="s">
        <v>88</v>
      </c>
      <c r="M58" t="s">
        <v>109</v>
      </c>
      <c r="N58" t="s">
        <v>110</v>
      </c>
      <c r="O58" t="s">
        <v>165</v>
      </c>
      <c r="P58" t="s">
        <v>118</v>
      </c>
      <c r="Q58" t="s">
        <v>89</v>
      </c>
      <c r="R58" t="s">
        <v>89</v>
      </c>
      <c r="S58" t="s">
        <v>89</v>
      </c>
      <c r="T58">
        <v>2782.26</v>
      </c>
      <c r="U58">
        <v>174</v>
      </c>
      <c r="V58" t="s">
        <v>89</v>
      </c>
      <c r="W58" t="s">
        <v>102</v>
      </c>
      <c r="X58" t="s">
        <v>89</v>
      </c>
      <c r="Y58" t="s">
        <v>102</v>
      </c>
      <c r="Z58" t="s">
        <v>306</v>
      </c>
      <c r="AA58" t="s">
        <v>159</v>
      </c>
      <c r="AB58" t="s">
        <v>290</v>
      </c>
      <c r="AD58" t="s">
        <v>159</v>
      </c>
      <c r="AE58" t="s">
        <v>116</v>
      </c>
      <c r="AF58" t="s">
        <v>209</v>
      </c>
      <c r="AG58" t="s">
        <v>248</v>
      </c>
      <c r="AH58" t="s">
        <v>352</v>
      </c>
      <c r="AI58" t="s">
        <v>128</v>
      </c>
      <c r="AJ58" t="s">
        <v>129</v>
      </c>
      <c r="AK58" t="s">
        <v>130</v>
      </c>
      <c r="AL58" t="s">
        <v>169</v>
      </c>
      <c r="AM58" t="s">
        <v>119</v>
      </c>
      <c r="AN58" t="s">
        <v>132</v>
      </c>
      <c r="AO58" t="s">
        <v>133</v>
      </c>
      <c r="AP58" t="s">
        <v>90</v>
      </c>
      <c r="AQ58" t="s">
        <v>134</v>
      </c>
      <c r="AR58" t="s">
        <v>287</v>
      </c>
      <c r="AS58" t="s">
        <v>91</v>
      </c>
      <c r="AT58" t="s">
        <v>105</v>
      </c>
      <c r="AU58" t="s">
        <v>106</v>
      </c>
      <c r="AV58" t="s">
        <v>92</v>
      </c>
      <c r="AW58" t="s">
        <v>93</v>
      </c>
      <c r="AX58" t="s">
        <v>111</v>
      </c>
      <c r="AY58" t="s">
        <v>95</v>
      </c>
      <c r="AZ58" t="s">
        <v>177</v>
      </c>
      <c r="BA58" t="s">
        <v>6</v>
      </c>
      <c r="BB58" t="s">
        <v>96</v>
      </c>
      <c r="BC58" t="s">
        <v>98</v>
      </c>
      <c r="BD58" t="s">
        <v>98</v>
      </c>
      <c r="BE58" t="s">
        <v>98</v>
      </c>
      <c r="BF58" t="s">
        <v>171</v>
      </c>
      <c r="BG58" t="s">
        <v>112</v>
      </c>
      <c r="BH58" t="s">
        <v>98</v>
      </c>
      <c r="BI58" t="s">
        <v>350</v>
      </c>
      <c r="BJ58" t="s">
        <v>351</v>
      </c>
      <c r="BL58" t="s">
        <v>100</v>
      </c>
      <c r="BM58" t="s">
        <v>101</v>
      </c>
      <c r="BN58" t="s">
        <v>102</v>
      </c>
      <c r="BO58" t="s">
        <v>103</v>
      </c>
      <c r="BP58" t="s">
        <v>89</v>
      </c>
      <c r="BQ58" t="s">
        <v>89</v>
      </c>
      <c r="BR58" t="str">
        <f>VLOOKUP(KeHEPARDataFlowSource[[#This Row],[Item Status]],Table2[#All],2,FALSE)</f>
        <v>Normal, Active item</v>
      </c>
    </row>
    <row r="59" spans="1:70" x14ac:dyDescent="0.25">
      <c r="A59" t="s">
        <v>175</v>
      </c>
      <c r="B59" t="s">
        <v>122</v>
      </c>
      <c r="C59" t="s">
        <v>123</v>
      </c>
      <c r="D59" t="s">
        <v>124</v>
      </c>
      <c r="E59" t="s">
        <v>125</v>
      </c>
      <c r="F59" t="s">
        <v>179</v>
      </c>
      <c r="G59" t="s">
        <v>141</v>
      </c>
      <c r="H59" t="s">
        <v>87</v>
      </c>
      <c r="I59" t="s">
        <v>142</v>
      </c>
      <c r="J59" t="s">
        <v>10</v>
      </c>
      <c r="K59" t="s">
        <v>120</v>
      </c>
      <c r="L59" t="s">
        <v>88</v>
      </c>
      <c r="M59" t="s">
        <v>109</v>
      </c>
      <c r="N59" t="s">
        <v>110</v>
      </c>
      <c r="O59" t="s">
        <v>165</v>
      </c>
      <c r="P59" t="s">
        <v>118</v>
      </c>
      <c r="Q59" t="s">
        <v>89</v>
      </c>
      <c r="R59" t="s">
        <v>89</v>
      </c>
      <c r="S59" t="s">
        <v>89</v>
      </c>
      <c r="T59">
        <v>2398.5</v>
      </c>
      <c r="U59">
        <v>150</v>
      </c>
      <c r="V59" t="s">
        <v>89</v>
      </c>
      <c r="W59" t="s">
        <v>102</v>
      </c>
      <c r="X59" t="s">
        <v>89</v>
      </c>
      <c r="Y59" t="s">
        <v>102</v>
      </c>
      <c r="Z59" t="s">
        <v>306</v>
      </c>
      <c r="AA59" t="s">
        <v>159</v>
      </c>
      <c r="AB59" t="s">
        <v>290</v>
      </c>
      <c r="AD59" t="s">
        <v>159</v>
      </c>
      <c r="AE59" t="s">
        <v>116</v>
      </c>
      <c r="AF59" t="s">
        <v>392</v>
      </c>
      <c r="AG59" t="s">
        <v>393</v>
      </c>
      <c r="AH59" t="s">
        <v>352</v>
      </c>
      <c r="AI59" t="s">
        <v>128</v>
      </c>
      <c r="AJ59" t="s">
        <v>129</v>
      </c>
      <c r="AK59" t="s">
        <v>130</v>
      </c>
      <c r="AL59" t="s">
        <v>169</v>
      </c>
      <c r="AM59" t="s">
        <v>119</v>
      </c>
      <c r="AN59" t="s">
        <v>132</v>
      </c>
      <c r="AO59" t="s">
        <v>133</v>
      </c>
      <c r="AP59" t="s">
        <v>90</v>
      </c>
      <c r="AQ59" t="s">
        <v>134</v>
      </c>
      <c r="AR59" t="s">
        <v>287</v>
      </c>
      <c r="AS59" t="s">
        <v>91</v>
      </c>
      <c r="AT59" t="s">
        <v>105</v>
      </c>
      <c r="AU59" t="s">
        <v>106</v>
      </c>
      <c r="AV59" t="s">
        <v>92</v>
      </c>
      <c r="AW59" t="s">
        <v>93</v>
      </c>
      <c r="AX59" t="s">
        <v>111</v>
      </c>
      <c r="AY59" t="s">
        <v>95</v>
      </c>
      <c r="AZ59" t="s">
        <v>180</v>
      </c>
      <c r="BA59" t="s">
        <v>6</v>
      </c>
      <c r="BB59" t="s">
        <v>96</v>
      </c>
      <c r="BC59" t="s">
        <v>98</v>
      </c>
      <c r="BD59" t="s">
        <v>98</v>
      </c>
      <c r="BE59" t="s">
        <v>98</v>
      </c>
      <c r="BF59" t="s">
        <v>171</v>
      </c>
      <c r="BG59" t="s">
        <v>112</v>
      </c>
      <c r="BH59" t="s">
        <v>98</v>
      </c>
      <c r="BI59" t="s">
        <v>350</v>
      </c>
      <c r="BJ59" t="s">
        <v>351</v>
      </c>
      <c r="BL59" t="s">
        <v>100</v>
      </c>
      <c r="BM59" t="s">
        <v>101</v>
      </c>
      <c r="BN59" t="s">
        <v>102</v>
      </c>
      <c r="BO59" t="s">
        <v>103</v>
      </c>
      <c r="BP59" t="s">
        <v>89</v>
      </c>
      <c r="BQ59" t="s">
        <v>89</v>
      </c>
      <c r="BR59" t="str">
        <f>VLOOKUP(KeHEPARDataFlowSource[[#This Row],[Item Status]],Table2[#All],2,FALSE)</f>
        <v>Normal, Active item</v>
      </c>
    </row>
    <row r="60" spans="1:70" x14ac:dyDescent="0.25">
      <c r="A60" t="s">
        <v>121</v>
      </c>
      <c r="B60" t="s">
        <v>122</v>
      </c>
      <c r="C60" t="s">
        <v>123</v>
      </c>
      <c r="D60" t="s">
        <v>124</v>
      </c>
      <c r="E60" t="s">
        <v>125</v>
      </c>
      <c r="F60" t="s">
        <v>211</v>
      </c>
      <c r="G60" t="s">
        <v>150</v>
      </c>
      <c r="H60" t="s">
        <v>87</v>
      </c>
      <c r="I60" t="s">
        <v>151</v>
      </c>
      <c r="J60" t="s">
        <v>10</v>
      </c>
      <c r="K60" t="s">
        <v>120</v>
      </c>
      <c r="L60" t="s">
        <v>88</v>
      </c>
      <c r="M60" t="s">
        <v>109</v>
      </c>
      <c r="N60" t="s">
        <v>110</v>
      </c>
      <c r="O60" t="s">
        <v>127</v>
      </c>
      <c r="P60" t="s">
        <v>118</v>
      </c>
      <c r="Q60" t="s">
        <v>89</v>
      </c>
      <c r="R60" t="s">
        <v>89</v>
      </c>
      <c r="S60" t="s">
        <v>89</v>
      </c>
      <c r="T60">
        <v>4413.24</v>
      </c>
      <c r="U60">
        <v>276</v>
      </c>
      <c r="V60" t="s">
        <v>89</v>
      </c>
      <c r="W60" t="s">
        <v>102</v>
      </c>
      <c r="X60" t="s">
        <v>89</v>
      </c>
      <c r="Y60" t="s">
        <v>102</v>
      </c>
      <c r="Z60" t="s">
        <v>230</v>
      </c>
      <c r="AA60" t="s">
        <v>131</v>
      </c>
      <c r="AB60" t="s">
        <v>159</v>
      </c>
      <c r="AE60" t="s">
        <v>116</v>
      </c>
      <c r="AF60" t="s">
        <v>394</v>
      </c>
      <c r="AG60" t="s">
        <v>188</v>
      </c>
      <c r="AH60" t="s">
        <v>352</v>
      </c>
      <c r="AI60" t="s">
        <v>128</v>
      </c>
      <c r="AJ60" t="s">
        <v>129</v>
      </c>
      <c r="AK60" t="s">
        <v>130</v>
      </c>
      <c r="AL60" t="s">
        <v>131</v>
      </c>
      <c r="AM60" t="s">
        <v>119</v>
      </c>
      <c r="AN60" t="s">
        <v>132</v>
      </c>
      <c r="AO60" t="s">
        <v>133</v>
      </c>
      <c r="AP60" t="s">
        <v>90</v>
      </c>
      <c r="AQ60" t="s">
        <v>134</v>
      </c>
      <c r="AR60" t="s">
        <v>287</v>
      </c>
      <c r="AS60" t="s">
        <v>91</v>
      </c>
      <c r="AT60" t="s">
        <v>135</v>
      </c>
      <c r="AU60" t="s">
        <v>136</v>
      </c>
      <c r="AV60" t="s">
        <v>92</v>
      </c>
      <c r="AW60" t="s">
        <v>93</v>
      </c>
      <c r="AX60" t="s">
        <v>111</v>
      </c>
      <c r="AY60" t="s">
        <v>95</v>
      </c>
      <c r="AZ60" t="s">
        <v>213</v>
      </c>
      <c r="BA60" t="s">
        <v>6</v>
      </c>
      <c r="BB60" t="s">
        <v>96</v>
      </c>
      <c r="BC60" t="s">
        <v>98</v>
      </c>
      <c r="BD60" t="s">
        <v>98</v>
      </c>
      <c r="BE60" t="s">
        <v>98</v>
      </c>
      <c r="BF60" t="s">
        <v>138</v>
      </c>
      <c r="BG60" t="s">
        <v>156</v>
      </c>
      <c r="BH60" t="s">
        <v>98</v>
      </c>
      <c r="BI60" t="s">
        <v>284</v>
      </c>
      <c r="BJ60" t="s">
        <v>172</v>
      </c>
      <c r="BL60" t="s">
        <v>100</v>
      </c>
      <c r="BM60" t="s">
        <v>101</v>
      </c>
      <c r="BN60" t="s">
        <v>102</v>
      </c>
      <c r="BO60" t="s">
        <v>103</v>
      </c>
      <c r="BP60" t="s">
        <v>89</v>
      </c>
      <c r="BQ60" t="s">
        <v>89</v>
      </c>
      <c r="BR60" t="str">
        <f>VLOOKUP(KeHEPARDataFlowSource[[#This Row],[Item Status]],Table2[#All],2,FALSE)</f>
        <v>Normal, Active item</v>
      </c>
    </row>
    <row r="61" spans="1:70" x14ac:dyDescent="0.25">
      <c r="A61" t="s">
        <v>175</v>
      </c>
      <c r="B61" t="s">
        <v>122</v>
      </c>
      <c r="C61" t="s">
        <v>123</v>
      </c>
      <c r="D61" t="s">
        <v>124</v>
      </c>
      <c r="E61" t="s">
        <v>125</v>
      </c>
      <c r="F61" t="s">
        <v>241</v>
      </c>
      <c r="G61" t="s">
        <v>200</v>
      </c>
      <c r="H61" t="s">
        <v>87</v>
      </c>
      <c r="I61" t="s">
        <v>201</v>
      </c>
      <c r="J61" t="s">
        <v>10</v>
      </c>
      <c r="K61" t="s">
        <v>120</v>
      </c>
      <c r="L61" t="s">
        <v>88</v>
      </c>
      <c r="M61" t="s">
        <v>148</v>
      </c>
      <c r="N61" t="s">
        <v>148</v>
      </c>
      <c r="O61" t="s">
        <v>165</v>
      </c>
      <c r="P61" t="s">
        <v>118</v>
      </c>
      <c r="Q61" t="s">
        <v>89</v>
      </c>
      <c r="R61" t="s">
        <v>89</v>
      </c>
      <c r="S61" t="s">
        <v>89</v>
      </c>
      <c r="T61">
        <v>897</v>
      </c>
      <c r="U61">
        <v>300</v>
      </c>
      <c r="V61" t="s">
        <v>89</v>
      </c>
      <c r="W61" t="s">
        <v>102</v>
      </c>
      <c r="X61" t="s">
        <v>89</v>
      </c>
      <c r="Y61" t="s">
        <v>102</v>
      </c>
      <c r="Z61" t="s">
        <v>391</v>
      </c>
      <c r="AA61" t="s">
        <v>305</v>
      </c>
      <c r="AB61" t="s">
        <v>305</v>
      </c>
      <c r="AE61" t="s">
        <v>116</v>
      </c>
      <c r="AF61" t="s">
        <v>379</v>
      </c>
      <c r="AG61" t="s">
        <v>322</v>
      </c>
      <c r="AH61" t="s">
        <v>352</v>
      </c>
      <c r="AI61" t="s">
        <v>128</v>
      </c>
      <c r="AJ61" t="s">
        <v>129</v>
      </c>
      <c r="AK61" t="s">
        <v>130</v>
      </c>
      <c r="AL61" t="s">
        <v>169</v>
      </c>
      <c r="AM61" t="s">
        <v>119</v>
      </c>
      <c r="AN61" t="s">
        <v>132</v>
      </c>
      <c r="AO61" t="s">
        <v>133</v>
      </c>
      <c r="AP61" t="s">
        <v>90</v>
      </c>
      <c r="AQ61" t="s">
        <v>134</v>
      </c>
      <c r="AR61" t="s">
        <v>287</v>
      </c>
      <c r="AS61" t="s">
        <v>91</v>
      </c>
      <c r="AT61" t="s">
        <v>105</v>
      </c>
      <c r="AU61" t="s">
        <v>106</v>
      </c>
      <c r="AV61" t="s">
        <v>92</v>
      </c>
      <c r="AW61" t="s">
        <v>93</v>
      </c>
      <c r="AX61" t="s">
        <v>94</v>
      </c>
      <c r="AY61" t="s">
        <v>95</v>
      </c>
      <c r="AZ61" t="s">
        <v>242</v>
      </c>
      <c r="BA61" t="s">
        <v>6</v>
      </c>
      <c r="BB61" t="s">
        <v>96</v>
      </c>
      <c r="BC61" t="s">
        <v>98</v>
      </c>
      <c r="BD61" t="s">
        <v>98</v>
      </c>
      <c r="BE61" t="s">
        <v>98</v>
      </c>
      <c r="BF61" t="s">
        <v>171</v>
      </c>
      <c r="BG61" t="s">
        <v>185</v>
      </c>
      <c r="BH61" t="s">
        <v>98</v>
      </c>
      <c r="BI61" t="s">
        <v>350</v>
      </c>
      <c r="BJ61" t="s">
        <v>351</v>
      </c>
      <c r="BL61" t="s">
        <v>100</v>
      </c>
      <c r="BM61" t="s">
        <v>101</v>
      </c>
      <c r="BN61" t="s">
        <v>102</v>
      </c>
      <c r="BO61" t="s">
        <v>103</v>
      </c>
      <c r="BP61" t="s">
        <v>89</v>
      </c>
      <c r="BQ61" t="s">
        <v>89</v>
      </c>
      <c r="BR61" t="str">
        <f>VLOOKUP(KeHEPARDataFlowSource[[#This Row],[Item Status]],Table2[#All],2,FALSE)</f>
        <v>Normal, Active item</v>
      </c>
    </row>
    <row r="62" spans="1:70" x14ac:dyDescent="0.25">
      <c r="A62" t="s">
        <v>175</v>
      </c>
      <c r="B62" t="s">
        <v>122</v>
      </c>
      <c r="C62" t="s">
        <v>123</v>
      </c>
      <c r="D62" t="s">
        <v>124</v>
      </c>
      <c r="E62" t="s">
        <v>125</v>
      </c>
      <c r="F62" t="s">
        <v>243</v>
      </c>
      <c r="G62" t="s">
        <v>238</v>
      </c>
      <c r="H62" t="s">
        <v>87</v>
      </c>
      <c r="I62" t="s">
        <v>239</v>
      </c>
      <c r="J62" t="s">
        <v>10</v>
      </c>
      <c r="K62" t="s">
        <v>120</v>
      </c>
      <c r="L62" t="s">
        <v>88</v>
      </c>
      <c r="M62" t="s">
        <v>148</v>
      </c>
      <c r="N62" t="s">
        <v>148</v>
      </c>
      <c r="O62" t="s">
        <v>165</v>
      </c>
      <c r="P62" t="s">
        <v>118</v>
      </c>
      <c r="Q62" t="s">
        <v>89</v>
      </c>
      <c r="R62" t="s">
        <v>89</v>
      </c>
      <c r="S62" t="s">
        <v>89</v>
      </c>
      <c r="T62">
        <v>897</v>
      </c>
      <c r="U62">
        <v>300</v>
      </c>
      <c r="V62" t="s">
        <v>89</v>
      </c>
      <c r="W62" t="s">
        <v>102</v>
      </c>
      <c r="X62" t="s">
        <v>89</v>
      </c>
      <c r="Y62" t="s">
        <v>102</v>
      </c>
      <c r="Z62" t="s">
        <v>391</v>
      </c>
      <c r="AA62" t="s">
        <v>305</v>
      </c>
      <c r="AB62" t="s">
        <v>305</v>
      </c>
      <c r="AE62" t="s">
        <v>116</v>
      </c>
      <c r="AF62" t="s">
        <v>288</v>
      </c>
      <c r="AG62" t="s">
        <v>307</v>
      </c>
      <c r="AH62" t="s">
        <v>352</v>
      </c>
      <c r="AI62" t="s">
        <v>128</v>
      </c>
      <c r="AJ62" t="s">
        <v>129</v>
      </c>
      <c r="AK62" t="s">
        <v>130</v>
      </c>
      <c r="AL62" t="s">
        <v>169</v>
      </c>
      <c r="AM62" t="s">
        <v>119</v>
      </c>
      <c r="AN62" t="s">
        <v>132</v>
      </c>
      <c r="AO62" t="s">
        <v>133</v>
      </c>
      <c r="AP62" t="s">
        <v>90</v>
      </c>
      <c r="AQ62" t="s">
        <v>134</v>
      </c>
      <c r="AR62" t="s">
        <v>287</v>
      </c>
      <c r="AS62" t="s">
        <v>91</v>
      </c>
      <c r="AT62" t="s">
        <v>105</v>
      </c>
      <c r="AU62" t="s">
        <v>106</v>
      </c>
      <c r="AV62" t="s">
        <v>92</v>
      </c>
      <c r="AW62" t="s">
        <v>93</v>
      </c>
      <c r="AX62" t="s">
        <v>94</v>
      </c>
      <c r="AY62" t="s">
        <v>95</v>
      </c>
      <c r="AZ62" t="s">
        <v>244</v>
      </c>
      <c r="BA62" t="s">
        <v>6</v>
      </c>
      <c r="BB62" t="s">
        <v>96</v>
      </c>
      <c r="BC62" t="s">
        <v>98</v>
      </c>
      <c r="BD62" t="s">
        <v>98</v>
      </c>
      <c r="BE62" t="s">
        <v>98</v>
      </c>
      <c r="BF62" t="s">
        <v>171</v>
      </c>
      <c r="BG62" t="s">
        <v>185</v>
      </c>
      <c r="BH62" t="s">
        <v>98</v>
      </c>
      <c r="BI62" t="s">
        <v>350</v>
      </c>
      <c r="BJ62" t="s">
        <v>351</v>
      </c>
      <c r="BL62" t="s">
        <v>100</v>
      </c>
      <c r="BM62" t="s">
        <v>101</v>
      </c>
      <c r="BN62" t="s">
        <v>102</v>
      </c>
      <c r="BO62" t="s">
        <v>103</v>
      </c>
      <c r="BP62" t="s">
        <v>89</v>
      </c>
      <c r="BQ62" t="s">
        <v>89</v>
      </c>
      <c r="BR62" t="str">
        <f>VLOOKUP(KeHEPARDataFlowSource[[#This Row],[Item Status]],Table2[#All],2,FALSE)</f>
        <v>Normal, Active item</v>
      </c>
    </row>
    <row r="63" spans="1:70" x14ac:dyDescent="0.25">
      <c r="A63" t="s">
        <v>175</v>
      </c>
      <c r="B63" t="s">
        <v>122</v>
      </c>
      <c r="C63" t="s">
        <v>123</v>
      </c>
      <c r="D63" t="s">
        <v>124</v>
      </c>
      <c r="E63" t="s">
        <v>125</v>
      </c>
      <c r="F63" t="s">
        <v>187</v>
      </c>
      <c r="G63" t="s">
        <v>150</v>
      </c>
      <c r="H63" t="s">
        <v>87</v>
      </c>
      <c r="I63" t="s">
        <v>151</v>
      </c>
      <c r="J63" t="s">
        <v>10</v>
      </c>
      <c r="K63" t="s">
        <v>120</v>
      </c>
      <c r="L63" t="s">
        <v>88</v>
      </c>
      <c r="M63" t="s">
        <v>109</v>
      </c>
      <c r="N63" t="s">
        <v>110</v>
      </c>
      <c r="O63" t="s">
        <v>165</v>
      </c>
      <c r="P63" t="s">
        <v>118</v>
      </c>
      <c r="Q63" t="s">
        <v>89</v>
      </c>
      <c r="R63" t="s">
        <v>89</v>
      </c>
      <c r="S63" t="s">
        <v>89</v>
      </c>
      <c r="T63">
        <v>4797</v>
      </c>
      <c r="U63">
        <v>300</v>
      </c>
      <c r="V63" t="s">
        <v>89</v>
      </c>
      <c r="W63" t="s">
        <v>102</v>
      </c>
      <c r="X63" t="s">
        <v>89</v>
      </c>
      <c r="Y63" t="s">
        <v>102</v>
      </c>
      <c r="Z63" t="s">
        <v>300</v>
      </c>
      <c r="AA63" t="s">
        <v>169</v>
      </c>
      <c r="AB63" t="s">
        <v>169</v>
      </c>
      <c r="AE63" t="s">
        <v>116</v>
      </c>
      <c r="AF63" t="s">
        <v>395</v>
      </c>
      <c r="AG63" t="s">
        <v>393</v>
      </c>
      <c r="AH63" t="s">
        <v>352</v>
      </c>
      <c r="AI63" t="s">
        <v>128</v>
      </c>
      <c r="AJ63" t="s">
        <v>129</v>
      </c>
      <c r="AK63" t="s">
        <v>130</v>
      </c>
      <c r="AL63" t="s">
        <v>169</v>
      </c>
      <c r="AM63" t="s">
        <v>119</v>
      </c>
      <c r="AN63" t="s">
        <v>132</v>
      </c>
      <c r="AO63" t="s">
        <v>133</v>
      </c>
      <c r="AP63" t="s">
        <v>90</v>
      </c>
      <c r="AQ63" t="s">
        <v>134</v>
      </c>
      <c r="AR63" t="s">
        <v>287</v>
      </c>
      <c r="AS63" t="s">
        <v>91</v>
      </c>
      <c r="AT63" t="s">
        <v>105</v>
      </c>
      <c r="AU63" t="s">
        <v>106</v>
      </c>
      <c r="AV63" t="s">
        <v>92</v>
      </c>
      <c r="AW63" t="s">
        <v>93</v>
      </c>
      <c r="AX63" t="s">
        <v>111</v>
      </c>
      <c r="AY63" t="s">
        <v>95</v>
      </c>
      <c r="AZ63" t="s">
        <v>189</v>
      </c>
      <c r="BA63" t="s">
        <v>6</v>
      </c>
      <c r="BB63" t="s">
        <v>96</v>
      </c>
      <c r="BC63" t="s">
        <v>98</v>
      </c>
      <c r="BD63" t="s">
        <v>98</v>
      </c>
      <c r="BE63" t="s">
        <v>98</v>
      </c>
      <c r="BF63" t="s">
        <v>171</v>
      </c>
      <c r="BG63" t="s">
        <v>156</v>
      </c>
      <c r="BH63" t="s">
        <v>98</v>
      </c>
      <c r="BI63" t="s">
        <v>350</v>
      </c>
      <c r="BJ63" t="s">
        <v>351</v>
      </c>
      <c r="BL63" t="s">
        <v>100</v>
      </c>
      <c r="BM63" t="s">
        <v>101</v>
      </c>
      <c r="BN63" t="s">
        <v>102</v>
      </c>
      <c r="BO63" t="s">
        <v>103</v>
      </c>
      <c r="BP63" t="s">
        <v>89</v>
      </c>
      <c r="BQ63" t="s">
        <v>89</v>
      </c>
      <c r="BR63" t="str">
        <f>VLOOKUP(KeHEPARDataFlowSource[[#This Row],[Item Status]],Table2[#All],2,FALSE)</f>
        <v>Normal, Active item</v>
      </c>
    </row>
    <row r="64" spans="1:70" x14ac:dyDescent="0.25">
      <c r="A64" t="s">
        <v>206</v>
      </c>
      <c r="B64" t="s">
        <v>122</v>
      </c>
      <c r="C64" t="s">
        <v>123</v>
      </c>
      <c r="D64" t="s">
        <v>124</v>
      </c>
      <c r="E64" t="s">
        <v>125</v>
      </c>
      <c r="F64" t="s">
        <v>251</v>
      </c>
      <c r="G64" t="s">
        <v>200</v>
      </c>
      <c r="H64" t="s">
        <v>87</v>
      </c>
      <c r="I64" t="s">
        <v>201</v>
      </c>
      <c r="J64" t="s">
        <v>10</v>
      </c>
      <c r="K64" t="s">
        <v>120</v>
      </c>
      <c r="L64" t="s">
        <v>88</v>
      </c>
      <c r="M64" t="s">
        <v>148</v>
      </c>
      <c r="N64" t="s">
        <v>148</v>
      </c>
      <c r="O64" t="s">
        <v>190</v>
      </c>
      <c r="P64" t="s">
        <v>118</v>
      </c>
      <c r="Q64" t="s">
        <v>89</v>
      </c>
      <c r="R64" t="s">
        <v>89</v>
      </c>
      <c r="S64" t="s">
        <v>89</v>
      </c>
      <c r="T64">
        <v>1148.1600000000001</v>
      </c>
      <c r="U64">
        <v>384</v>
      </c>
      <c r="V64" t="s">
        <v>89</v>
      </c>
      <c r="W64" t="s">
        <v>102</v>
      </c>
      <c r="X64" t="s">
        <v>89</v>
      </c>
      <c r="Y64" t="s">
        <v>102</v>
      </c>
      <c r="Z64" t="s">
        <v>396</v>
      </c>
      <c r="AA64" t="s">
        <v>297</v>
      </c>
      <c r="AB64" t="s">
        <v>297</v>
      </c>
      <c r="AE64" t="s">
        <v>116</v>
      </c>
      <c r="AF64" t="s">
        <v>308</v>
      </c>
      <c r="AG64" t="s">
        <v>397</v>
      </c>
      <c r="AH64" t="s">
        <v>352</v>
      </c>
      <c r="AI64" t="s">
        <v>128</v>
      </c>
      <c r="AJ64" t="s">
        <v>129</v>
      </c>
      <c r="AK64" t="s">
        <v>130</v>
      </c>
      <c r="AL64" t="s">
        <v>191</v>
      </c>
      <c r="AM64" t="s">
        <v>119</v>
      </c>
      <c r="AN64" t="s">
        <v>132</v>
      </c>
      <c r="AO64" t="s">
        <v>133</v>
      </c>
      <c r="AP64" t="s">
        <v>90</v>
      </c>
      <c r="AQ64" t="s">
        <v>134</v>
      </c>
      <c r="AR64" t="s">
        <v>287</v>
      </c>
      <c r="AS64" t="s">
        <v>91</v>
      </c>
      <c r="AT64" t="s">
        <v>105</v>
      </c>
      <c r="AU64" t="s">
        <v>106</v>
      </c>
      <c r="AV64" t="s">
        <v>92</v>
      </c>
      <c r="AW64" t="s">
        <v>93</v>
      </c>
      <c r="AX64" t="s">
        <v>94</v>
      </c>
      <c r="AY64" t="s">
        <v>95</v>
      </c>
      <c r="AZ64" t="s">
        <v>252</v>
      </c>
      <c r="BA64" t="s">
        <v>6</v>
      </c>
      <c r="BB64" t="s">
        <v>96</v>
      </c>
      <c r="BC64" t="s">
        <v>98</v>
      </c>
      <c r="BD64" t="s">
        <v>98</v>
      </c>
      <c r="BE64" t="s">
        <v>98</v>
      </c>
      <c r="BF64" t="s">
        <v>99</v>
      </c>
      <c r="BG64" t="s">
        <v>185</v>
      </c>
      <c r="BH64" t="s">
        <v>98</v>
      </c>
      <c r="BI64" t="s">
        <v>172</v>
      </c>
      <c r="BJ64" t="s">
        <v>178</v>
      </c>
      <c r="BL64" t="s">
        <v>100</v>
      </c>
      <c r="BM64" t="s">
        <v>101</v>
      </c>
      <c r="BN64" t="s">
        <v>102</v>
      </c>
      <c r="BO64" t="s">
        <v>103</v>
      </c>
      <c r="BP64" t="s">
        <v>89</v>
      </c>
      <c r="BQ64" t="s">
        <v>89</v>
      </c>
      <c r="BR64" t="str">
        <f>VLOOKUP(KeHEPARDataFlowSource[[#This Row],[Item Status]],Table2[#All],2,FALSE)</f>
        <v>Normal, Active item</v>
      </c>
    </row>
    <row r="65" spans="1:70" x14ac:dyDescent="0.25">
      <c r="A65" t="s">
        <v>206</v>
      </c>
      <c r="B65" t="s">
        <v>122</v>
      </c>
      <c r="C65" t="s">
        <v>123</v>
      </c>
      <c r="D65" t="s">
        <v>124</v>
      </c>
      <c r="E65" t="s">
        <v>125</v>
      </c>
      <c r="F65" t="s">
        <v>207</v>
      </c>
      <c r="G65" t="s">
        <v>150</v>
      </c>
      <c r="H65" t="s">
        <v>87</v>
      </c>
      <c r="I65" t="s">
        <v>151</v>
      </c>
      <c r="J65" t="s">
        <v>10</v>
      </c>
      <c r="K65" t="s">
        <v>120</v>
      </c>
      <c r="L65" t="s">
        <v>88</v>
      </c>
      <c r="M65" t="s">
        <v>109</v>
      </c>
      <c r="N65" t="s">
        <v>110</v>
      </c>
      <c r="O65" t="s">
        <v>190</v>
      </c>
      <c r="P65" t="s">
        <v>118</v>
      </c>
      <c r="Q65" t="s">
        <v>89</v>
      </c>
      <c r="R65" t="s">
        <v>89</v>
      </c>
      <c r="S65" t="s">
        <v>89</v>
      </c>
      <c r="T65">
        <v>3453.84</v>
      </c>
      <c r="U65">
        <v>216</v>
      </c>
      <c r="V65" t="s">
        <v>89</v>
      </c>
      <c r="W65" t="s">
        <v>102</v>
      </c>
      <c r="X65" t="s">
        <v>89</v>
      </c>
      <c r="Y65" t="s">
        <v>102</v>
      </c>
      <c r="Z65" t="s">
        <v>359</v>
      </c>
      <c r="AA65" t="s">
        <v>169</v>
      </c>
      <c r="AB65" t="s">
        <v>169</v>
      </c>
      <c r="AE65" t="s">
        <v>116</v>
      </c>
      <c r="AF65" t="s">
        <v>398</v>
      </c>
      <c r="AG65" t="s">
        <v>94</v>
      </c>
      <c r="AH65" t="s">
        <v>352</v>
      </c>
      <c r="AI65" t="s">
        <v>128</v>
      </c>
      <c r="AJ65" t="s">
        <v>129</v>
      </c>
      <c r="AK65" t="s">
        <v>130</v>
      </c>
      <c r="AL65" t="s">
        <v>191</v>
      </c>
      <c r="AM65" t="s">
        <v>119</v>
      </c>
      <c r="AN65" t="s">
        <v>132</v>
      </c>
      <c r="AO65" t="s">
        <v>133</v>
      </c>
      <c r="AP65" t="s">
        <v>90</v>
      </c>
      <c r="AQ65" t="s">
        <v>134</v>
      </c>
      <c r="AR65" t="s">
        <v>287</v>
      </c>
      <c r="AS65" t="s">
        <v>91</v>
      </c>
      <c r="AT65" t="s">
        <v>105</v>
      </c>
      <c r="AU65" t="s">
        <v>106</v>
      </c>
      <c r="AV65" t="s">
        <v>92</v>
      </c>
      <c r="AW65" t="s">
        <v>93</v>
      </c>
      <c r="AX65" t="s">
        <v>111</v>
      </c>
      <c r="AY65" t="s">
        <v>95</v>
      </c>
      <c r="AZ65" t="s">
        <v>210</v>
      </c>
      <c r="BA65" t="s">
        <v>6</v>
      </c>
      <c r="BB65" t="s">
        <v>96</v>
      </c>
      <c r="BC65" t="s">
        <v>98</v>
      </c>
      <c r="BD65" t="s">
        <v>98</v>
      </c>
      <c r="BE65" t="s">
        <v>98</v>
      </c>
      <c r="BF65" t="s">
        <v>99</v>
      </c>
      <c r="BG65" t="s">
        <v>156</v>
      </c>
      <c r="BH65" t="s">
        <v>98</v>
      </c>
      <c r="BI65" t="s">
        <v>172</v>
      </c>
      <c r="BJ65" t="s">
        <v>178</v>
      </c>
      <c r="BL65" t="s">
        <v>100</v>
      </c>
      <c r="BM65" t="s">
        <v>101</v>
      </c>
      <c r="BN65" t="s">
        <v>102</v>
      </c>
      <c r="BO65" t="s">
        <v>103</v>
      </c>
      <c r="BP65" t="s">
        <v>89</v>
      </c>
      <c r="BQ65" t="s">
        <v>89</v>
      </c>
      <c r="BR65" t="str">
        <f>VLOOKUP(KeHEPARDataFlowSource[[#This Row],[Item Status]],Table2[#All],2,FALSE)</f>
        <v>Normal, Active item</v>
      </c>
    </row>
    <row r="66" spans="1:70" x14ac:dyDescent="0.25">
      <c r="A66" t="s">
        <v>214</v>
      </c>
      <c r="B66" t="s">
        <v>122</v>
      </c>
      <c r="C66" t="s">
        <v>123</v>
      </c>
      <c r="D66" t="s">
        <v>124</v>
      </c>
      <c r="E66" t="s">
        <v>125</v>
      </c>
      <c r="F66" t="s">
        <v>215</v>
      </c>
      <c r="G66" t="s">
        <v>107</v>
      </c>
      <c r="H66" t="s">
        <v>87</v>
      </c>
      <c r="I66" t="s">
        <v>108</v>
      </c>
      <c r="J66" t="s">
        <v>10</v>
      </c>
      <c r="K66" t="s">
        <v>120</v>
      </c>
      <c r="L66" t="s">
        <v>88</v>
      </c>
      <c r="M66" t="s">
        <v>109</v>
      </c>
      <c r="N66" t="s">
        <v>110</v>
      </c>
      <c r="O66" t="s">
        <v>289</v>
      </c>
      <c r="P66" t="s">
        <v>118</v>
      </c>
      <c r="Q66" t="s">
        <v>89</v>
      </c>
      <c r="R66" t="s">
        <v>89</v>
      </c>
      <c r="S66" t="s">
        <v>89</v>
      </c>
      <c r="T66">
        <v>5084.82</v>
      </c>
      <c r="U66">
        <v>318</v>
      </c>
      <c r="V66" t="s">
        <v>89</v>
      </c>
      <c r="W66" t="s">
        <v>102</v>
      </c>
      <c r="X66" t="s">
        <v>89</v>
      </c>
      <c r="Y66" t="s">
        <v>102</v>
      </c>
      <c r="Z66" t="s">
        <v>216</v>
      </c>
      <c r="AA66" t="s">
        <v>191</v>
      </c>
      <c r="AB66" t="s">
        <v>191</v>
      </c>
      <c r="AE66" t="s">
        <v>116</v>
      </c>
      <c r="AF66" t="s">
        <v>399</v>
      </c>
      <c r="AG66" t="s">
        <v>248</v>
      </c>
      <c r="AH66" t="s">
        <v>352</v>
      </c>
      <c r="AI66" t="s">
        <v>128</v>
      </c>
      <c r="AJ66" t="s">
        <v>129</v>
      </c>
      <c r="AK66" t="s">
        <v>130</v>
      </c>
      <c r="AL66" t="s">
        <v>290</v>
      </c>
      <c r="AM66" t="s">
        <v>119</v>
      </c>
      <c r="AN66" t="s">
        <v>132</v>
      </c>
      <c r="AO66" t="s">
        <v>133</v>
      </c>
      <c r="AP66" t="s">
        <v>90</v>
      </c>
      <c r="AQ66" t="s">
        <v>134</v>
      </c>
      <c r="AR66" t="s">
        <v>287</v>
      </c>
      <c r="AS66" t="s">
        <v>91</v>
      </c>
      <c r="AT66" t="s">
        <v>135</v>
      </c>
      <c r="AU66" t="s">
        <v>136</v>
      </c>
      <c r="AV66" t="s">
        <v>92</v>
      </c>
      <c r="AW66" t="s">
        <v>93</v>
      </c>
      <c r="AX66" t="s">
        <v>111</v>
      </c>
      <c r="AY66" t="s">
        <v>95</v>
      </c>
      <c r="AZ66" t="s">
        <v>217</v>
      </c>
      <c r="BA66" t="s">
        <v>6</v>
      </c>
      <c r="BB66" t="s">
        <v>96</v>
      </c>
      <c r="BC66" t="s">
        <v>98</v>
      </c>
      <c r="BD66" t="s">
        <v>98</v>
      </c>
      <c r="BE66" t="s">
        <v>98</v>
      </c>
      <c r="BF66" t="s">
        <v>286</v>
      </c>
      <c r="BG66" t="s">
        <v>112</v>
      </c>
      <c r="BH66" t="s">
        <v>97</v>
      </c>
      <c r="BI66" t="s">
        <v>89</v>
      </c>
      <c r="BJ66" t="s">
        <v>102</v>
      </c>
      <c r="BL66" t="s">
        <v>100</v>
      </c>
      <c r="BM66" t="s">
        <v>101</v>
      </c>
      <c r="BN66" t="s">
        <v>102</v>
      </c>
      <c r="BO66" t="s">
        <v>103</v>
      </c>
      <c r="BP66" t="s">
        <v>89</v>
      </c>
      <c r="BQ66" t="s">
        <v>89</v>
      </c>
      <c r="BR66" t="str">
        <f>VLOOKUP(KeHEPARDataFlowSource[[#This Row],[Item Status]],Table2[#All],2,FALSE)</f>
        <v>Normal, Active item</v>
      </c>
    </row>
    <row r="67" spans="1:70" x14ac:dyDescent="0.25">
      <c r="A67" t="s">
        <v>206</v>
      </c>
      <c r="B67" t="s">
        <v>122</v>
      </c>
      <c r="C67" t="s">
        <v>279</v>
      </c>
      <c r="D67" t="s">
        <v>124</v>
      </c>
      <c r="E67" t="s">
        <v>316</v>
      </c>
      <c r="F67" t="s">
        <v>251</v>
      </c>
      <c r="G67" t="s">
        <v>200</v>
      </c>
      <c r="H67" t="s">
        <v>87</v>
      </c>
      <c r="I67" t="s">
        <v>201</v>
      </c>
      <c r="J67" t="s">
        <v>10</v>
      </c>
      <c r="K67" t="s">
        <v>120</v>
      </c>
      <c r="L67" t="s">
        <v>88</v>
      </c>
      <c r="M67" t="s">
        <v>148</v>
      </c>
      <c r="N67" t="s">
        <v>148</v>
      </c>
      <c r="O67" t="s">
        <v>366</v>
      </c>
      <c r="P67" t="s">
        <v>303</v>
      </c>
      <c r="Q67" t="s">
        <v>89</v>
      </c>
      <c r="R67" t="s">
        <v>89</v>
      </c>
      <c r="S67" t="s">
        <v>89</v>
      </c>
      <c r="T67">
        <v>2296.3200000000002</v>
      </c>
      <c r="U67">
        <v>768</v>
      </c>
      <c r="V67" t="s">
        <v>89</v>
      </c>
      <c r="W67" t="s">
        <v>102</v>
      </c>
      <c r="X67" t="s">
        <v>89</v>
      </c>
      <c r="Y67" t="s">
        <v>102</v>
      </c>
      <c r="Z67" t="s">
        <v>400</v>
      </c>
      <c r="AA67" t="s">
        <v>401</v>
      </c>
      <c r="AB67" t="s">
        <v>401</v>
      </c>
      <c r="AE67" t="s">
        <v>116</v>
      </c>
      <c r="AF67" t="s">
        <v>308</v>
      </c>
      <c r="AG67" t="s">
        <v>397</v>
      </c>
      <c r="AI67" t="s">
        <v>212</v>
      </c>
      <c r="AJ67" t="s">
        <v>208</v>
      </c>
      <c r="AK67" t="s">
        <v>281</v>
      </c>
      <c r="AM67" t="s">
        <v>10</v>
      </c>
      <c r="AN67" t="s">
        <v>132</v>
      </c>
      <c r="AO67" t="s">
        <v>133</v>
      </c>
      <c r="AP67" t="s">
        <v>90</v>
      </c>
      <c r="AQ67" t="s">
        <v>282</v>
      </c>
      <c r="AR67" t="s">
        <v>283</v>
      </c>
      <c r="AS67" t="s">
        <v>91</v>
      </c>
      <c r="AT67" t="s">
        <v>105</v>
      </c>
      <c r="AU67" t="s">
        <v>106</v>
      </c>
      <c r="AV67" t="s">
        <v>92</v>
      </c>
      <c r="AW67" t="s">
        <v>93</v>
      </c>
      <c r="AX67" t="s">
        <v>94</v>
      </c>
      <c r="AY67" t="s">
        <v>95</v>
      </c>
      <c r="AZ67" t="s">
        <v>252</v>
      </c>
      <c r="BA67" t="s">
        <v>6</v>
      </c>
      <c r="BB67" t="s">
        <v>96</v>
      </c>
      <c r="BC67" t="s">
        <v>98</v>
      </c>
      <c r="BD67" t="s">
        <v>98</v>
      </c>
      <c r="BE67" t="s">
        <v>98</v>
      </c>
      <c r="BF67" t="s">
        <v>99</v>
      </c>
      <c r="BG67" t="s">
        <v>185</v>
      </c>
      <c r="BH67" t="s">
        <v>98</v>
      </c>
      <c r="BI67" t="s">
        <v>172</v>
      </c>
      <c r="BJ67" t="s">
        <v>178</v>
      </c>
      <c r="BL67" t="s">
        <v>100</v>
      </c>
      <c r="BM67" t="s">
        <v>101</v>
      </c>
      <c r="BN67" t="s">
        <v>102</v>
      </c>
      <c r="BO67" t="s">
        <v>103</v>
      </c>
      <c r="BP67" t="s">
        <v>89</v>
      </c>
      <c r="BQ67" t="s">
        <v>89</v>
      </c>
      <c r="BR67" t="str">
        <f>VLOOKUP(KeHEPARDataFlowSource[[#This Row],[Item Status]],Table2[#All],2,FALSE)</f>
        <v>Normal, Active item</v>
      </c>
    </row>
    <row r="68" spans="1:70" x14ac:dyDescent="0.25">
      <c r="A68" t="s">
        <v>121</v>
      </c>
      <c r="B68" t="s">
        <v>122</v>
      </c>
      <c r="C68" t="s">
        <v>123</v>
      </c>
      <c r="D68" t="s">
        <v>124</v>
      </c>
      <c r="E68" t="s">
        <v>125</v>
      </c>
      <c r="F68" t="s">
        <v>275</v>
      </c>
      <c r="G68" t="s">
        <v>141</v>
      </c>
      <c r="H68" t="s">
        <v>87</v>
      </c>
      <c r="I68" t="s">
        <v>142</v>
      </c>
      <c r="J68" t="s">
        <v>8</v>
      </c>
      <c r="K68" t="s">
        <v>120</v>
      </c>
      <c r="L68" t="s">
        <v>88</v>
      </c>
      <c r="M68" t="s">
        <v>109</v>
      </c>
      <c r="N68" t="s">
        <v>110</v>
      </c>
      <c r="O68" t="s">
        <v>127</v>
      </c>
      <c r="P68" t="s">
        <v>118</v>
      </c>
      <c r="Q68" t="s">
        <v>89</v>
      </c>
      <c r="R68" t="s">
        <v>89</v>
      </c>
      <c r="S68" t="s">
        <v>89</v>
      </c>
      <c r="T68">
        <v>3166.02</v>
      </c>
      <c r="U68">
        <v>198</v>
      </c>
      <c r="V68" t="s">
        <v>89</v>
      </c>
      <c r="W68" t="s">
        <v>102</v>
      </c>
      <c r="X68" t="s">
        <v>89</v>
      </c>
      <c r="Y68" t="s">
        <v>89</v>
      </c>
      <c r="AF68" t="s">
        <v>402</v>
      </c>
      <c r="AG68" t="s">
        <v>89</v>
      </c>
      <c r="AH68" t="s">
        <v>352</v>
      </c>
      <c r="AI68" t="s">
        <v>128</v>
      </c>
      <c r="AJ68" t="s">
        <v>129</v>
      </c>
      <c r="AK68" t="s">
        <v>130</v>
      </c>
      <c r="AL68" t="s">
        <v>131</v>
      </c>
      <c r="AM68" t="s">
        <v>119</v>
      </c>
      <c r="AN68" t="s">
        <v>132</v>
      </c>
      <c r="AO68" t="s">
        <v>133</v>
      </c>
      <c r="AP68" t="s">
        <v>90</v>
      </c>
      <c r="AQ68" t="s">
        <v>134</v>
      </c>
      <c r="AR68" t="s">
        <v>287</v>
      </c>
      <c r="AS68" t="s">
        <v>91</v>
      </c>
      <c r="AT68" t="s">
        <v>135</v>
      </c>
      <c r="AU68" t="s">
        <v>136</v>
      </c>
      <c r="AV68" t="s">
        <v>92</v>
      </c>
      <c r="AW68" t="s">
        <v>93</v>
      </c>
      <c r="AX68" t="s">
        <v>111</v>
      </c>
      <c r="AY68" t="s">
        <v>95</v>
      </c>
      <c r="AZ68" t="s">
        <v>276</v>
      </c>
      <c r="BA68" t="s">
        <v>6</v>
      </c>
      <c r="BB68" t="s">
        <v>96</v>
      </c>
      <c r="BC68" t="s">
        <v>98</v>
      </c>
      <c r="BD68" t="s">
        <v>98</v>
      </c>
      <c r="BE68" t="s">
        <v>98</v>
      </c>
      <c r="BF68" t="s">
        <v>138</v>
      </c>
      <c r="BG68" t="s">
        <v>112</v>
      </c>
      <c r="BH68" t="s">
        <v>98</v>
      </c>
      <c r="BI68" t="s">
        <v>284</v>
      </c>
      <c r="BJ68" t="s">
        <v>172</v>
      </c>
      <c r="BL68" t="s">
        <v>100</v>
      </c>
      <c r="BM68" t="s">
        <v>101</v>
      </c>
      <c r="BN68" t="s">
        <v>102</v>
      </c>
      <c r="BO68" t="s">
        <v>103</v>
      </c>
      <c r="BP68" t="s">
        <v>89</v>
      </c>
      <c r="BQ68" t="s">
        <v>89</v>
      </c>
      <c r="BR68" t="str">
        <f>VLOOKUP(KeHEPARDataFlowSource[[#This Row],[Item Status]],Table2[#All],2,FALSE)</f>
        <v>Temporarily OOS due to Manuf</v>
      </c>
    </row>
    <row r="69" spans="1:70" x14ac:dyDescent="0.25">
      <c r="A69" t="s">
        <v>148</v>
      </c>
      <c r="B69" t="s">
        <v>122</v>
      </c>
      <c r="C69" t="s">
        <v>123</v>
      </c>
      <c r="D69" t="s">
        <v>124</v>
      </c>
      <c r="E69" t="s">
        <v>125</v>
      </c>
      <c r="F69" t="s">
        <v>261</v>
      </c>
      <c r="G69" t="s">
        <v>107</v>
      </c>
      <c r="H69" t="s">
        <v>87</v>
      </c>
      <c r="I69" t="s">
        <v>108</v>
      </c>
      <c r="J69" t="s">
        <v>10</v>
      </c>
      <c r="K69" t="s">
        <v>120</v>
      </c>
      <c r="L69" t="s">
        <v>88</v>
      </c>
      <c r="M69" t="s">
        <v>109</v>
      </c>
      <c r="N69" t="s">
        <v>110</v>
      </c>
      <c r="O69" t="s">
        <v>152</v>
      </c>
      <c r="P69" t="s">
        <v>118</v>
      </c>
      <c r="Q69" t="s">
        <v>89</v>
      </c>
      <c r="R69" t="s">
        <v>89</v>
      </c>
      <c r="S69" t="s">
        <v>89</v>
      </c>
      <c r="T69">
        <v>3837.6</v>
      </c>
      <c r="U69">
        <v>240</v>
      </c>
      <c r="V69" t="s">
        <v>89</v>
      </c>
      <c r="W69" t="s">
        <v>102</v>
      </c>
      <c r="X69" t="s">
        <v>89</v>
      </c>
      <c r="Y69" t="s">
        <v>89</v>
      </c>
      <c r="AF69" t="s">
        <v>403</v>
      </c>
      <c r="AG69" t="s">
        <v>89</v>
      </c>
      <c r="AH69" t="s">
        <v>352</v>
      </c>
      <c r="AI69" t="s">
        <v>128</v>
      </c>
      <c r="AJ69" t="s">
        <v>129</v>
      </c>
      <c r="AK69" t="s">
        <v>130</v>
      </c>
      <c r="AL69" t="s">
        <v>153</v>
      </c>
      <c r="AM69" t="s">
        <v>119</v>
      </c>
      <c r="AN69" t="s">
        <v>132</v>
      </c>
      <c r="AO69" t="s">
        <v>133</v>
      </c>
      <c r="AP69" t="s">
        <v>90</v>
      </c>
      <c r="AQ69" t="s">
        <v>134</v>
      </c>
      <c r="AR69" t="s">
        <v>287</v>
      </c>
      <c r="AS69" t="s">
        <v>91</v>
      </c>
      <c r="AT69" t="s">
        <v>135</v>
      </c>
      <c r="AU69" t="s">
        <v>136</v>
      </c>
      <c r="AV69" t="s">
        <v>92</v>
      </c>
      <c r="AW69" t="s">
        <v>93</v>
      </c>
      <c r="AX69" t="s">
        <v>111</v>
      </c>
      <c r="AY69" t="s">
        <v>95</v>
      </c>
      <c r="AZ69" t="s">
        <v>262</v>
      </c>
      <c r="BA69" t="s">
        <v>6</v>
      </c>
      <c r="BB69" t="s">
        <v>96</v>
      </c>
      <c r="BC69" t="s">
        <v>98</v>
      </c>
      <c r="BD69" t="s">
        <v>98</v>
      </c>
      <c r="BE69" t="s">
        <v>98</v>
      </c>
      <c r="BF69" t="s">
        <v>155</v>
      </c>
      <c r="BG69" t="s">
        <v>112</v>
      </c>
      <c r="BH69" t="s">
        <v>97</v>
      </c>
      <c r="BI69" t="s">
        <v>318</v>
      </c>
      <c r="BJ69" t="s">
        <v>102</v>
      </c>
      <c r="BL69" t="s">
        <v>100</v>
      </c>
      <c r="BM69" t="s">
        <v>101</v>
      </c>
      <c r="BN69" t="s">
        <v>102</v>
      </c>
      <c r="BO69" t="s">
        <v>103</v>
      </c>
      <c r="BP69" t="s">
        <v>89</v>
      </c>
      <c r="BQ69" t="s">
        <v>89</v>
      </c>
      <c r="BR69" t="str">
        <f>VLOOKUP(KeHEPARDataFlowSource[[#This Row],[Item Status]],Table2[#All],2,FALSE)</f>
        <v>Normal, Active item</v>
      </c>
    </row>
    <row r="70" spans="1:70" x14ac:dyDescent="0.25">
      <c r="A70" t="s">
        <v>148</v>
      </c>
      <c r="B70" t="s">
        <v>122</v>
      </c>
      <c r="C70" t="s">
        <v>123</v>
      </c>
      <c r="D70" t="s">
        <v>124</v>
      </c>
      <c r="E70" t="s">
        <v>125</v>
      </c>
      <c r="F70" t="s">
        <v>263</v>
      </c>
      <c r="G70" t="s">
        <v>141</v>
      </c>
      <c r="H70" t="s">
        <v>87</v>
      </c>
      <c r="I70" t="s">
        <v>142</v>
      </c>
      <c r="J70" t="s">
        <v>10</v>
      </c>
      <c r="K70" t="s">
        <v>120</v>
      </c>
      <c r="L70" t="s">
        <v>88</v>
      </c>
      <c r="M70" t="s">
        <v>109</v>
      </c>
      <c r="N70" t="s">
        <v>110</v>
      </c>
      <c r="O70" t="s">
        <v>152</v>
      </c>
      <c r="P70" t="s">
        <v>118</v>
      </c>
      <c r="Q70" t="s">
        <v>89</v>
      </c>
      <c r="R70" t="s">
        <v>89</v>
      </c>
      <c r="S70" t="s">
        <v>89</v>
      </c>
      <c r="T70">
        <v>3166.02</v>
      </c>
      <c r="U70">
        <v>198</v>
      </c>
      <c r="V70" t="s">
        <v>89</v>
      </c>
      <c r="W70" t="s">
        <v>102</v>
      </c>
      <c r="X70" t="s">
        <v>89</v>
      </c>
      <c r="Y70" t="s">
        <v>89</v>
      </c>
      <c r="AF70" t="s">
        <v>404</v>
      </c>
      <c r="AG70" t="s">
        <v>89</v>
      </c>
      <c r="AH70" t="s">
        <v>352</v>
      </c>
      <c r="AI70" t="s">
        <v>128</v>
      </c>
      <c r="AJ70" t="s">
        <v>129</v>
      </c>
      <c r="AK70" t="s">
        <v>130</v>
      </c>
      <c r="AL70" t="s">
        <v>153</v>
      </c>
      <c r="AM70" t="s">
        <v>119</v>
      </c>
      <c r="AN70" t="s">
        <v>132</v>
      </c>
      <c r="AO70" t="s">
        <v>133</v>
      </c>
      <c r="AP70" t="s">
        <v>90</v>
      </c>
      <c r="AQ70" t="s">
        <v>134</v>
      </c>
      <c r="AR70" t="s">
        <v>287</v>
      </c>
      <c r="AS70" t="s">
        <v>91</v>
      </c>
      <c r="AT70" t="s">
        <v>135</v>
      </c>
      <c r="AU70" t="s">
        <v>136</v>
      </c>
      <c r="AV70" t="s">
        <v>92</v>
      </c>
      <c r="AW70" t="s">
        <v>93</v>
      </c>
      <c r="AX70" t="s">
        <v>111</v>
      </c>
      <c r="AY70" t="s">
        <v>95</v>
      </c>
      <c r="AZ70" t="s">
        <v>264</v>
      </c>
      <c r="BA70" t="s">
        <v>6</v>
      </c>
      <c r="BB70" t="s">
        <v>96</v>
      </c>
      <c r="BC70" t="s">
        <v>98</v>
      </c>
      <c r="BD70" t="s">
        <v>98</v>
      </c>
      <c r="BE70" t="s">
        <v>98</v>
      </c>
      <c r="BF70" t="s">
        <v>155</v>
      </c>
      <c r="BG70" t="s">
        <v>112</v>
      </c>
      <c r="BH70" t="s">
        <v>97</v>
      </c>
      <c r="BI70" t="s">
        <v>318</v>
      </c>
      <c r="BJ70" t="s">
        <v>102</v>
      </c>
      <c r="BL70" t="s">
        <v>100</v>
      </c>
      <c r="BM70" t="s">
        <v>101</v>
      </c>
      <c r="BN70" t="s">
        <v>102</v>
      </c>
      <c r="BO70" t="s">
        <v>103</v>
      </c>
      <c r="BP70" t="s">
        <v>89</v>
      </c>
      <c r="BQ70" t="s">
        <v>89</v>
      </c>
      <c r="BR70" t="str">
        <f>VLOOKUP(KeHEPARDataFlowSource[[#This Row],[Item Status]],Table2[#All],2,FALSE)</f>
        <v>Normal, Active item</v>
      </c>
    </row>
    <row r="71" spans="1:70" x14ac:dyDescent="0.25">
      <c r="A71" t="s">
        <v>206</v>
      </c>
      <c r="B71" t="s">
        <v>122</v>
      </c>
      <c r="C71" t="s">
        <v>123</v>
      </c>
      <c r="D71" t="s">
        <v>124</v>
      </c>
      <c r="E71" t="s">
        <v>125</v>
      </c>
      <c r="F71" t="s">
        <v>224</v>
      </c>
      <c r="G71" t="s">
        <v>141</v>
      </c>
      <c r="H71" t="s">
        <v>87</v>
      </c>
      <c r="I71" t="s">
        <v>142</v>
      </c>
      <c r="J71" t="s">
        <v>10</v>
      </c>
      <c r="K71" t="s">
        <v>120</v>
      </c>
      <c r="L71" t="s">
        <v>88</v>
      </c>
      <c r="M71" t="s">
        <v>109</v>
      </c>
      <c r="N71" t="s">
        <v>110</v>
      </c>
      <c r="O71" t="s">
        <v>190</v>
      </c>
      <c r="P71" t="s">
        <v>118</v>
      </c>
      <c r="Q71" t="s">
        <v>89</v>
      </c>
      <c r="R71" t="s">
        <v>89</v>
      </c>
      <c r="S71" t="s">
        <v>89</v>
      </c>
      <c r="T71">
        <v>3837.6</v>
      </c>
      <c r="U71">
        <v>240</v>
      </c>
      <c r="V71" t="s">
        <v>89</v>
      </c>
      <c r="W71" t="s">
        <v>102</v>
      </c>
      <c r="X71" t="s">
        <v>89</v>
      </c>
      <c r="Y71" t="s">
        <v>89</v>
      </c>
      <c r="AF71" t="s">
        <v>405</v>
      </c>
      <c r="AG71" t="s">
        <v>89</v>
      </c>
      <c r="AH71" t="s">
        <v>352</v>
      </c>
      <c r="AI71" t="s">
        <v>128</v>
      </c>
      <c r="AJ71" t="s">
        <v>129</v>
      </c>
      <c r="AK71" t="s">
        <v>130</v>
      </c>
      <c r="AL71" t="s">
        <v>191</v>
      </c>
      <c r="AM71" t="s">
        <v>119</v>
      </c>
      <c r="AN71" t="s">
        <v>132</v>
      </c>
      <c r="AO71" t="s">
        <v>133</v>
      </c>
      <c r="AP71" t="s">
        <v>90</v>
      </c>
      <c r="AQ71" t="s">
        <v>134</v>
      </c>
      <c r="AR71" t="s">
        <v>287</v>
      </c>
      <c r="AS71" t="s">
        <v>91</v>
      </c>
      <c r="AT71" t="s">
        <v>105</v>
      </c>
      <c r="AU71" t="s">
        <v>106</v>
      </c>
      <c r="AV71" t="s">
        <v>92</v>
      </c>
      <c r="AW71" t="s">
        <v>93</v>
      </c>
      <c r="AX71" t="s">
        <v>111</v>
      </c>
      <c r="AY71" t="s">
        <v>95</v>
      </c>
      <c r="AZ71" t="s">
        <v>226</v>
      </c>
      <c r="BA71" t="s">
        <v>6</v>
      </c>
      <c r="BB71" t="s">
        <v>96</v>
      </c>
      <c r="BC71" t="s">
        <v>98</v>
      </c>
      <c r="BD71" t="s">
        <v>98</v>
      </c>
      <c r="BE71" t="s">
        <v>98</v>
      </c>
      <c r="BF71" t="s">
        <v>99</v>
      </c>
      <c r="BG71" t="s">
        <v>112</v>
      </c>
      <c r="BH71" t="s">
        <v>98</v>
      </c>
      <c r="BI71" t="s">
        <v>172</v>
      </c>
      <c r="BJ71" t="s">
        <v>178</v>
      </c>
      <c r="BL71" t="s">
        <v>100</v>
      </c>
      <c r="BM71" t="s">
        <v>101</v>
      </c>
      <c r="BN71" t="s">
        <v>102</v>
      </c>
      <c r="BO71" t="s">
        <v>103</v>
      </c>
      <c r="BP71" t="s">
        <v>89</v>
      </c>
      <c r="BQ71" t="s">
        <v>89</v>
      </c>
      <c r="BR71"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2026-07-27T19:49:51Z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