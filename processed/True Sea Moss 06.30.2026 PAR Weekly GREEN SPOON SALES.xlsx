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60" documentId="8_{75B2E1B1-BB2C-4E21-826F-FB01CF0B5831}" xr6:coauthVersionLast="47" xr6:coauthVersionMax="47" xr10:uidLastSave="{795EDBF8-9DCD-4ED7-BD68-2BE0BF7F1D09}"/>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KeHEPARDataFlowSource!$A$1:$BQ$10</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<sst xmlns="http://schemas.openxmlformats.org/spreadsheetml/2006/main" count="651" uniqueCount="203">
  <si>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</si>
  <si>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</si>
  <si>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</si>
  <si>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</si>
  <si>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</si>
  <si>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</si>
  <si>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</si>
  <si>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</si>
  <si>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</si>
  <si>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</si>
  <si>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</si>
  <si>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</si>
  <si>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</si>
  <si>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</si>
  <si>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</si>
  <si>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</si>
  <si>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</si>
  <si>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</si>
  <si>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</si>
  <si>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</si>
  <si>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</si>
  <si>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</si>
  <si>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</si>
  <si>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</si>
  <si>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</si>
  <si>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</si>
  <si>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</si>
  <si>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</si>
  <si>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</si>
  <si>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</si>
  <si>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</si>
  <si>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</si>
  <si>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</si>
  <si>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</si>
  <si>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</si>
  <si>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</si>
  <si>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</si>
  <si>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</si>
  <si>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</si>
  <si>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</si>
  <si>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</si>
  <si>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</si>
  <si>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</si>
  <si>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</si>
  <si>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</si>
  <si>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</si>
  <si>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</si>
  <si>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</si>
  <si>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</si>
  <si>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</si>
  <si>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</si>
  <si>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</si>
  <si>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</si>
  <si>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</si>
  <si>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</si>
  <si>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</si>
  <si>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</si>
  <si>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</si>
  <si>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</si>
  <si>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</si>
  <si>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</si>
  <si>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</si>
  <si>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</si>
  <si>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</si>
  <si>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</si>
  <si>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</si>
  <si>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</si>
  <si>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</si>
  <si>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</si>
  <si>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</si>
  <si>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</si>
  <si>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</si>
  <si>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</si>
  <si>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</si>
  <si>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</si>
  <si>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</si>
  <si>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</si>
  <si>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</si>
  <si>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</si>
  <si>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</si>
  <si>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</si>
  <si>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</si>
  <si>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</si>
  <si>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</si>
  <si>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</si>
  <si>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</si>
  <si>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</si>
  <si>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12</t>
  </si>
  <si>
    <t>SPROUTS</t>
  </si>
  <si>
    <t>850077732096</t>
  </si>
  <si>
    <t>TRUE SEA MOSS</t>
  </si>
  <si>
    <t>SEA MOSS RTD CHRY ARONIA</t>
  </si>
  <si>
    <t>FO</t>
  </si>
  <si>
    <t>0</t>
  </si>
  <si>
    <t>KeHE\LMRamirez</t>
  </si>
  <si>
    <t>LUIS.RAMIREZ@KEHE.COM</t>
  </si>
  <si>
    <t>GREEN SPOON SALES</t>
  </si>
  <si>
    <t>CENTER</t>
  </si>
  <si>
    <t>84</t>
  </si>
  <si>
    <t>EWELINA WISZOWATA</t>
  </si>
  <si>
    <t>214030</t>
  </si>
  <si>
    <t>DIVA FAM INC</t>
  </si>
  <si>
    <t>540</t>
  </si>
  <si>
    <t>Christine Casey</t>
  </si>
  <si>
    <t>DRY</t>
  </si>
  <si>
    <t>true</t>
  </si>
  <si>
    <t>false</t>
  </si>
  <si>
    <t>22</t>
  </si>
  <si>
    <t>1/13/2026</t>
  </si>
  <si>
    <t>CURR_UNIT_STKOUT</t>
  </si>
  <si>
    <t>12345</t>
  </si>
  <si>
    <t>1</t>
  </si>
  <si>
    <t>DAY</t>
  </si>
  <si>
    <t>21</t>
  </si>
  <si>
    <t>19</t>
  </si>
  <si>
    <t>19850077732096</t>
  </si>
  <si>
    <t>1902600123</t>
  </si>
  <si>
    <t>27</t>
  </si>
  <si>
    <t>44</t>
  </si>
  <si>
    <t>BRYAN BURKLIN</t>
  </si>
  <si>
    <t>888025186387</t>
  </si>
  <si>
    <t>SEA MOSS BLEND 5IN1</t>
  </si>
  <si>
    <t>16</t>
  </si>
  <si>
    <t>6</t>
  </si>
  <si>
    <t>270</t>
  </si>
  <si>
    <t>12/11/2025</t>
  </si>
  <si>
    <t>27888025186387</t>
  </si>
  <si>
    <t>180</t>
  </si>
  <si>
    <t>2702518638</t>
  </si>
  <si>
    <t>Current</t>
  </si>
  <si>
    <t>850077732485</t>
  </si>
  <si>
    <t>SEA MOSS WATERMELON RASP</t>
  </si>
  <si>
    <t>5/9/2026</t>
  </si>
  <si>
    <t>19850077732485</t>
  </si>
  <si>
    <t>312</t>
  </si>
  <si>
    <t>1902607905</t>
  </si>
  <si>
    <t>Collect</t>
  </si>
  <si>
    <t>1080</t>
  </si>
  <si>
    <t>204</t>
  </si>
  <si>
    <t>60</t>
  </si>
  <si>
    <t>MOMS</t>
  </si>
  <si>
    <t>576768</t>
  </si>
  <si>
    <t>NEW ITEM</t>
  </si>
  <si>
    <t>27888025186202</t>
  </si>
  <si>
    <t>888025186202</t>
  </si>
  <si>
    <t>SEA MOSS MANGO PINEAPPLE</t>
  </si>
  <si>
    <t>GREEN</t>
  </si>
  <si>
    <t>5/21/2026</t>
  </si>
  <si>
    <t>6/28/2026</t>
  </si>
  <si>
    <t>7/11/2026</t>
  </si>
  <si>
    <t>Y</t>
  </si>
  <si>
    <t>KeHE\CSSterling</t>
  </si>
  <si>
    <t>CHELSEA.KAPOOR@KEHE.COM</t>
  </si>
  <si>
    <t>MOMS NEW ITEM</t>
  </si>
  <si>
    <t>2702518620</t>
  </si>
  <si>
    <t>27888025186417</t>
  </si>
  <si>
    <t>888025186417</t>
  </si>
  <si>
    <t>SEA MOSS STRAWBERRY</t>
  </si>
  <si>
    <t>2702518641</t>
  </si>
  <si>
    <t>12/17/2025</t>
  </si>
  <si>
    <t>27888025187773</t>
  </si>
  <si>
    <t>888025187773</t>
  </si>
  <si>
    <t>SEA MOSS BLUE SPIRULINA</t>
  </si>
  <si>
    <t>2702518777</t>
  </si>
  <si>
    <t>27888025187827</t>
  </si>
  <si>
    <t>888025187827</t>
  </si>
  <si>
    <t>SEA MOSS CHERRY</t>
  </si>
  <si>
    <t>2702518782</t>
  </si>
  <si>
    <t>27888025187834</t>
  </si>
  <si>
    <t>888025187834</t>
  </si>
  <si>
    <t>SEA MOSS 3000MG GUMMY</t>
  </si>
  <si>
    <t>PC</t>
  </si>
  <si>
    <t>2702518783</t>
  </si>
  <si>
    <t>1/9/2026</t>
  </si>
  <si>
    <t>27888025187841</t>
  </si>
  <si>
    <t>888025187841</t>
  </si>
  <si>
    <t>SEA MOSS ELDERBRY GUMMY</t>
  </si>
  <si>
    <t>2702518784</t>
  </si>
  <si>
    <t>1/14/2026</t>
  </si>
  <si>
    <t/>
  </si>
  <si>
    <t>PRODUCT ON HAND</t>
  </si>
  <si>
    <t>4</t>
  </si>
  <si>
    <t>RED</t>
  </si>
  <si>
    <t>6/26/2026</t>
  </si>
  <si>
    <t>ON PO - ETA AFTER PROMO END</t>
  </si>
  <si>
    <t>7/6/2026</t>
  </si>
  <si>
    <t>960</t>
  </si>
  <si>
    <t>3752235</t>
  </si>
  <si>
    <t>-1</t>
  </si>
  <si>
    <t>SPROUTS DISTRO</t>
  </si>
  <si>
    <t>348</t>
  </si>
  <si>
    <t>585610</t>
  </si>
  <si>
    <t>1170</t>
  </si>
  <si>
    <t>7/4/2026</t>
  </si>
  <si>
    <t>6 26 JUNE RESET CLEANUP</t>
  </si>
  <si>
    <t>-2</t>
  </si>
  <si>
    <t>121</t>
  </si>
  <si>
    <t>2028</t>
  </si>
  <si>
    <t>1020</t>
  </si>
  <si>
    <t>940</t>
  </si>
  <si>
    <t>444</t>
  </si>
  <si>
    <t>228</t>
  </si>
  <si>
    <t>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</si>
</sst>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203.540493402776" missingItemsLimit="0" createdVersion="8" refreshedVersion="8" minRefreshableVersion="3" recordCount="9" xr:uid="{12517E42-1DE3-4A22-AB43-DBB99D8A8347}">
  <cacheSource type="worksheet">
    <worksheetSource name="KeHEPARDataFlowSource"/>
  </cacheSource>
  <cacheFields count="70">
    <cacheField name="DC" numFmtId="0">
      <sharedItems count="2">
        <s v="19"/>
        <s v="27"/>
      </sharedItems>
    </cacheField>
    <cacheField name="Account" numFmtId="0">
      <sharedItems count="2">
        <s v="SPROUTS"/>
        <s v="MOMS"/>
      </sharedItems>
    </cacheField>
    <cacheField name="Master ID" numFmtId="0">
      <sharedItems/>
    </cacheField>
    <cacheField name="Event Type" numFmtId="0">
      <sharedItems count="2">
        <s v="SPROUTS DISTRO"/>
        <s v="NEW ITEM"/>
      </sharedItems>
    </cacheField>
    <cacheField name="Status" numFmtId="0">
      <sharedItems count="1">
        <s v="Current"/>
      </sharedItems>
    </cacheField>
    <cacheField name="DCUPC" numFmtId="0">
      <sharedItems/>
    </cacheField>
    <cacheField name="UPC" numFmtId="0">
      <sharedItems count="9">
        <s v="850077732485"/>
        <s v="850077732096"/>
        <s v="888025186387"/>
        <s v="888025186202"/>
        <s v="888025186417"/>
        <s v="888025187773"/>
        <s v="888025187827"/>
        <s v="888025187834"/>
        <s v="888025187841"/>
      </sharedItems>
    </cacheField>
    <cacheField name="Brand" numFmtId="0">
      <sharedItems count="1">
        <s v="TRUE SEA MOSS"/>
      </sharedItems>
    </cacheField>
    <cacheField name="Description" numFmtId="0">
      <sharedItems count="9">
        <s v="SEA MOSS WATERMELON RASP"/>
        <s v="SEA MOSS RTD CHRY ARONIA"/>
        <s v="SEA MOSS BLEND 5IN1"/>
        <s v="SEA MOSS MANGO PINEAPPLE"/>
        <s v="SEA MOSS STRAWBERRY"/>
        <s v="SEA MOSS BLUE SPIRULINA"/>
        <s v="SEA MOSS CHERRY"/>
        <s v="SEA MOSS 3000MG GUMMY"/>
        <s v="SEA MOSS ELDERBRY GUMMY"/>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1769.94" maxValue="4988.88"/>
    </cacheField>
    <cacheField name="Req Qty" numFmtId="0">
      <sharedItems containsSemiMixedTypes="0" containsString="0" containsNumber="1" containsInteger="1" minValue="180" maxValue="960"/>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2">
        <s v="3752235"/>
        <m/>
      </sharedItems>
    </cacheField>
    <cacheField name="Calculated PO Est. Arrival" numFmtId="0">
      <sharedItems containsBlank="1"/>
    </cacheField>
    <cacheField name="Original PO Est. Arrival" numFmtId="0">
      <sharedItems containsBlank="1"/>
    </cacheField>
    <cacheField name="PO Revised Est. Arrival" numFmtId="0">
      <sharedItems containsNonDate="0" containsString="0" containsBlank="1"/>
    </cacheField>
    <cacheField name="PO Appoint Dt" numFmtId="0">
      <sharedItems containsNonDate="0" containsString="0" containsBlank="1"/>
    </cacheField>
    <cacheField name="FOB/Prepaid" numFmtId="0">
      <sharedItems containsBlank="1"/>
    </cacheField>
    <cacheField name="Qty OH" numFmtId="0">
      <sharedItems/>
    </cacheField>
    <cacheField name="Qty OO" numFmtId="0">
      <sharedItems/>
    </cacheField>
    <cacheField name="Days to Start" numFmtId="0">
      <sharedItems containsNonDate="0" containsString="0" containsBlank="1"/>
    </cacheField>
    <cacheField name="AOM Create Dt" numFmtId="0">
      <sharedItems/>
    </cacheField>
    <cacheField name="Event Start Dt" numFmtId="0">
      <sharedItems count="1">
        <s v="6/28/2026"/>
      </sharedItems>
    </cacheField>
    <cacheField name="Event End Dt" numFmtId="0">
      <sharedItems count="2">
        <s v="7/4/2026"/>
        <s v="7/11/2026"/>
      </sharedItems>
    </cacheField>
    <cacheField name="PO Req By Dt (Future Events)" numFmtId="0">
      <sharedItems containsNonDate="0" containsString="0" containsBlank="1"/>
    </cacheField>
    <cacheField name="Is Compliant" numFmtId="0">
      <sharedItems/>
    </cacheField>
    <cacheField name="Submitted By" numFmtId="0">
      <sharedItems/>
    </cacheField>
    <cacheField name="Email" numFmtId="0">
      <sharedItems count="2">
        <s v="LUIS.RAMIREZ@KEHE.COM"/>
        <s v="CHELSEA.KAPOOR@KEHE.COM"/>
      </sharedItems>
    </cacheField>
    <cacheField name="Broker Name" numFmtId="0">
      <sharedItems/>
    </cacheField>
    <cacheField name="Comments" numFmtId="0">
      <sharedItems/>
    </cacheField>
    <cacheField name="MDA #" numFmtId="0">
      <sharedItems containsNonDate="0" containsString="0" containsBlank="1"/>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Temporarily OOS due to Manuf"/>
        <s v="Normal, Active item"/>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s v="585610"/>
    <x v="0"/>
    <x v="0"/>
    <s v="19850077732485"/>
    <x v="0"/>
    <x v="0"/>
    <x v="0"/>
    <s v="T"/>
    <s v=""/>
    <s v="FO"/>
    <s v="16"/>
    <s v="6"/>
    <s v="ON PO - ETA AFTER PROMO END"/>
    <s v="RED"/>
    <s v="0"/>
    <s v="312"/>
    <s v="0"/>
    <n v="4988.88"/>
    <n v="312"/>
    <s v="84"/>
    <s v="1"/>
    <s v="0"/>
    <s v="1"/>
    <x v="0"/>
    <s v="7/6/2026"/>
    <s v="7/6/2026"/>
    <m/>
    <m/>
    <s v="Collect"/>
    <s v="0"/>
    <s v="1170"/>
    <m/>
    <s v="6/26/2026"/>
    <x v="0"/>
    <x v="0"/>
    <m/>
    <s v="N"/>
    <s v="KeHE\LMRamirez"/>
    <x v="0"/>
    <s v="GREEN SPOON SALES"/>
    <s v="6 26 JUNE RESET CLEANUP"/>
    <m/>
    <s v="CENTER"/>
    <s v="84"/>
    <s v="EWELINA WISZOWATA"/>
    <s v="214030"/>
    <s v="DIVA FAM INC"/>
    <s v="270"/>
    <s v="Christine Casey"/>
    <s v="1902607905"/>
    <s v="D"/>
    <s v="DRY"/>
    <s v="false"/>
    <s v="false"/>
    <s v="false"/>
    <s v="21"/>
    <s v="5/9/2026"/>
    <s v="true"/>
    <s v="-2"/>
    <s v="-1"/>
    <m/>
    <s v="CURR_UNIT_STKOUT"/>
    <s v="12345"/>
    <s v="1"/>
    <s v="DAY"/>
    <s v="180"/>
    <s v="121"/>
    <x v="0"/>
  </r>
  <r>
    <x v="0"/>
    <x v="0"/>
    <s v="585610"/>
    <x v="0"/>
    <x v="0"/>
    <s v="19850077732096"/>
    <x v="1"/>
    <x v="0"/>
    <x v="1"/>
    <s v="T"/>
    <s v=""/>
    <s v="FO"/>
    <s v="12"/>
    <s v="12"/>
    <s v="PRODUCT ON HAND"/>
    <s v="GREEN"/>
    <s v="0"/>
    <s v="960"/>
    <s v="0"/>
    <n v="2870.4"/>
    <n v="960"/>
    <s v="348"/>
    <s v="1"/>
    <s v="0"/>
    <s v="1"/>
    <x v="1"/>
    <m/>
    <m/>
    <m/>
    <m/>
    <m/>
    <s v="2028"/>
    <s v="204"/>
    <m/>
    <s v="6/26/2026"/>
    <x v="0"/>
    <x v="0"/>
    <m/>
    <s v="N"/>
    <s v="KeHE\LMRamirez"/>
    <x v="0"/>
    <s v="GREEN SPOON SALES"/>
    <s v="6 26 JUNE RESET CLEANUP"/>
    <m/>
    <s v="CENTER"/>
    <s v="84"/>
    <s v="EWELINA WISZOWATA"/>
    <s v="214030"/>
    <s v="DIVA FAM INC"/>
    <s v="540"/>
    <s v="Christine Casey"/>
    <s v="1902600123"/>
    <s v="D"/>
    <s v="DRY"/>
    <s v="false"/>
    <s v="false"/>
    <s v="false"/>
    <s v="21"/>
    <s v="1/13/2026"/>
    <s v="true"/>
    <s v="-2"/>
    <s v="-1"/>
    <m/>
    <s v="CURR_UNIT_STKOUT"/>
    <s v="12345"/>
    <s v="1"/>
    <s v="DAY"/>
    <s v="1020"/>
    <s v="940"/>
    <x v="0"/>
  </r>
  <r>
    <x v="1"/>
    <x v="1"/>
    <s v="576768"/>
    <x v="1"/>
    <x v="0"/>
    <s v="27888025186387"/>
    <x v="2"/>
    <x v="0"/>
    <x v="2"/>
    <s v="N"/>
    <s v=""/>
    <s v="FO"/>
    <s v="16"/>
    <s v="6"/>
    <s v="PRODUCT ON HAND"/>
    <s v="GREEN"/>
    <s v="60"/>
    <s v="0"/>
    <s v="0"/>
    <n v="2878.2"/>
    <n v="180"/>
    <s v="0"/>
    <s v="1"/>
    <s v="0"/>
    <s v="1"/>
    <x v="1"/>
    <m/>
    <m/>
    <m/>
    <m/>
    <m/>
    <s v="444"/>
    <s v="1080"/>
    <m/>
    <s v="5/21/2026"/>
    <x v="0"/>
    <x v="1"/>
    <m/>
    <s v="Y"/>
    <s v="KeHE\CSSterling"/>
    <x v="1"/>
    <s v="GREEN SPOON SALES"/>
    <s v="MOMS NEW ITEM"/>
    <m/>
    <s v="CENTER"/>
    <s v="44"/>
    <s v="BRYAN BURKLIN"/>
    <s v="214030"/>
    <s v="DIVA FAM INC"/>
    <s v="270"/>
    <s v="Christine Casey"/>
    <s v="2702518638"/>
    <s v="D"/>
    <s v="DRY"/>
    <s v="true"/>
    <s v="false"/>
    <s v="false"/>
    <s v="22"/>
    <s v="12/11/2025"/>
    <s v="true"/>
    <s v="0"/>
    <s v="4"/>
    <m/>
    <s v="CURR_UNIT_STKOUT"/>
    <s v="12345"/>
    <s v="1"/>
    <s v="DAY"/>
    <s v="0"/>
    <s v="0"/>
    <x v="1"/>
  </r>
  <r>
    <x v="1"/>
    <x v="1"/>
    <s v="576768"/>
    <x v="1"/>
    <x v="0"/>
    <s v="27888025186202"/>
    <x v="3"/>
    <x v="0"/>
    <x v="3"/>
    <s v="N"/>
    <s v=""/>
    <s v="FO"/>
    <s v="16"/>
    <s v="6"/>
    <s v="PRODUCT ON HAND"/>
    <s v="GREEN"/>
    <s v="60"/>
    <s v="0"/>
    <s v="180"/>
    <n v="2878.2"/>
    <n v="180"/>
    <s v="0"/>
    <s v="1"/>
    <s v="0"/>
    <s v="1"/>
    <x v="1"/>
    <m/>
    <m/>
    <m/>
    <m/>
    <m/>
    <s v="180"/>
    <s v="228"/>
    <m/>
    <s v="5/21/2026"/>
    <x v="0"/>
    <x v="1"/>
    <m/>
    <s v="Y"/>
    <s v="KeHE\CSSterling"/>
    <x v="1"/>
    <s v="GREEN SPOON SALES"/>
    <s v="MOMS NEW ITEM"/>
    <m/>
    <s v="CENTER"/>
    <s v="44"/>
    <s v="BRYAN BURKLIN"/>
    <s v="214030"/>
    <s v="DIVA FAM INC"/>
    <s v="270"/>
    <s v="Christine Casey"/>
    <s v="2702518620"/>
    <s v="D"/>
    <s v="DRY"/>
    <s v="true"/>
    <s v="false"/>
    <s v="false"/>
    <s v="22"/>
    <s v="12/11/2025"/>
    <s v="true"/>
    <s v="0"/>
    <s v="4"/>
    <m/>
    <s v="CURR_UNIT_STKOUT"/>
    <s v="12345"/>
    <s v="1"/>
    <s v="DAY"/>
    <s v="0"/>
    <s v="0"/>
    <x v="1"/>
  </r>
  <r>
    <x v="1"/>
    <x v="1"/>
    <s v="576768"/>
    <x v="1"/>
    <x v="0"/>
    <s v="27888025186417"/>
    <x v="4"/>
    <x v="0"/>
    <x v="4"/>
    <s v="N"/>
    <s v=""/>
    <s v="FO"/>
    <s v="16"/>
    <s v="6"/>
    <s v="PRODUCT ON HAND"/>
    <s v="GREEN"/>
    <s v="60"/>
    <s v="0"/>
    <s v="180"/>
    <n v="2878.2"/>
    <n v="180"/>
    <s v="0"/>
    <s v="1"/>
    <s v="0"/>
    <s v="1"/>
    <x v="1"/>
    <m/>
    <m/>
    <m/>
    <m/>
    <m/>
    <s v="180"/>
    <s v="228"/>
    <m/>
    <s v="5/21/2026"/>
    <x v="0"/>
    <x v="1"/>
    <m/>
    <s v="Y"/>
    <s v="KeHE\CSSterling"/>
    <x v="1"/>
    <s v="GREEN SPOON SALES"/>
    <s v="MOMS NEW ITEM"/>
    <m/>
    <s v="CENTER"/>
    <s v="44"/>
    <s v="BRYAN BURKLIN"/>
    <s v="214030"/>
    <s v="DIVA FAM INC"/>
    <s v="270"/>
    <s v="Christine Casey"/>
    <s v="2702518641"/>
    <s v="D"/>
    <s v="DRY"/>
    <s v="true"/>
    <s v="false"/>
    <s v="false"/>
    <s v="22"/>
    <s v="12/17/2025"/>
    <s v="true"/>
    <s v="0"/>
    <s v="4"/>
    <m/>
    <s v="CURR_UNIT_STKOUT"/>
    <s v="12345"/>
    <s v="1"/>
    <s v="DAY"/>
    <s v="0"/>
    <s v="0"/>
    <x v="1"/>
  </r>
  <r>
    <x v="1"/>
    <x v="1"/>
    <s v="576768"/>
    <x v="1"/>
    <x v="0"/>
    <s v="27888025187773"/>
    <x v="5"/>
    <x v="0"/>
    <x v="5"/>
    <s v="N"/>
    <s v=""/>
    <s v="FO"/>
    <s v="16"/>
    <s v="6"/>
    <s v="PRODUCT ON HAND"/>
    <s v="GREEN"/>
    <s v="60"/>
    <s v="0"/>
    <s v="180"/>
    <n v="2878.2"/>
    <n v="180"/>
    <s v="0"/>
    <s v="1"/>
    <s v="0"/>
    <s v="1"/>
    <x v="1"/>
    <m/>
    <m/>
    <m/>
    <m/>
    <m/>
    <s v="180"/>
    <s v="228"/>
    <m/>
    <s v="5/21/2026"/>
    <x v="0"/>
    <x v="1"/>
    <m/>
    <s v="Y"/>
    <s v="KeHE\CSSterling"/>
    <x v="1"/>
    <s v="GREEN SPOON SALES"/>
    <s v="MOMS NEW ITEM"/>
    <m/>
    <s v="CENTER"/>
    <s v="44"/>
    <s v="BRYAN BURKLIN"/>
    <s v="214030"/>
    <s v="DIVA FAM INC"/>
    <s v="270"/>
    <s v="Christine Casey"/>
    <s v="2702518777"/>
    <s v="D"/>
    <s v="DRY"/>
    <s v="true"/>
    <s v="false"/>
    <s v="false"/>
    <s v="22"/>
    <s v="12/11/2025"/>
    <s v="true"/>
    <s v="0"/>
    <s v="4"/>
    <m/>
    <s v="CURR_UNIT_STKOUT"/>
    <s v="12345"/>
    <s v="1"/>
    <s v="DAY"/>
    <s v="0"/>
    <s v="0"/>
    <x v="1"/>
  </r>
  <r>
    <x v="1"/>
    <x v="1"/>
    <s v="576768"/>
    <x v="1"/>
    <x v="0"/>
    <s v="27888025187827"/>
    <x v="6"/>
    <x v="0"/>
    <x v="6"/>
    <s v="N"/>
    <s v=""/>
    <s v="FO"/>
    <s v="16"/>
    <s v="6"/>
    <s v="PRODUCT ON HAND"/>
    <s v="GREEN"/>
    <s v="60"/>
    <s v="0"/>
    <s v="180"/>
    <n v="2878.2"/>
    <n v="180"/>
    <s v="0"/>
    <s v="1"/>
    <s v="0"/>
    <s v="1"/>
    <x v="1"/>
    <m/>
    <m/>
    <m/>
    <m/>
    <m/>
    <s v="180"/>
    <s v="348"/>
    <m/>
    <s v="5/21/2026"/>
    <x v="0"/>
    <x v="1"/>
    <m/>
    <s v="Y"/>
    <s v="KeHE\CSSterling"/>
    <x v="1"/>
    <s v="GREEN SPOON SALES"/>
    <s v="MOMS NEW ITEM"/>
    <m/>
    <s v="CENTER"/>
    <s v="44"/>
    <s v="BRYAN BURKLIN"/>
    <s v="214030"/>
    <s v="DIVA FAM INC"/>
    <s v="270"/>
    <s v="Christine Casey"/>
    <s v="2702518782"/>
    <s v="D"/>
    <s v="DRY"/>
    <s v="true"/>
    <s v="false"/>
    <s v="false"/>
    <s v="22"/>
    <s v="12/11/2025"/>
    <s v="true"/>
    <s v="0"/>
    <s v="4"/>
    <m/>
    <s v="CURR_UNIT_STKOUT"/>
    <s v="12345"/>
    <s v="1"/>
    <s v="DAY"/>
    <s v="0"/>
    <s v="0"/>
    <x v="1"/>
  </r>
  <r>
    <x v="1"/>
    <x v="1"/>
    <s v="576768"/>
    <x v="1"/>
    <x v="0"/>
    <s v="27888025187834"/>
    <x v="7"/>
    <x v="0"/>
    <x v="7"/>
    <s v="N"/>
    <s v=""/>
    <s v="PC"/>
    <s v="60"/>
    <s v="6"/>
    <s v="PRODUCT ON HAND"/>
    <s v="GREEN"/>
    <s v="60"/>
    <s v="0"/>
    <s v="180"/>
    <n v="1769.94"/>
    <n v="180"/>
    <s v="0"/>
    <s v="1"/>
    <s v="0"/>
    <s v="1"/>
    <x v="1"/>
    <m/>
    <m/>
    <m/>
    <m/>
    <m/>
    <s v="180"/>
    <s v="216"/>
    <m/>
    <s v="5/21/2026"/>
    <x v="0"/>
    <x v="1"/>
    <m/>
    <s v="Y"/>
    <s v="KeHE\CSSterling"/>
    <x v="1"/>
    <s v="GREEN SPOON SALES"/>
    <s v="MOMS NEW ITEM"/>
    <m/>
    <s v="CENTER"/>
    <s v="44"/>
    <s v="BRYAN BURKLIN"/>
    <s v="214030"/>
    <s v="DIVA FAM INC"/>
    <s v="540"/>
    <s v="Christine Casey"/>
    <s v="2702518783"/>
    <s v="D"/>
    <s v="DRY"/>
    <s v="true"/>
    <s v="false"/>
    <s v="false"/>
    <s v="22"/>
    <s v="1/9/2026"/>
    <s v="true"/>
    <s v="0"/>
    <s v="4"/>
    <m/>
    <s v="CURR_UNIT_STKOUT"/>
    <s v="12345"/>
    <s v="1"/>
    <s v="DAY"/>
    <s v="0"/>
    <s v="0"/>
    <x v="1"/>
  </r>
  <r>
    <x v="1"/>
    <x v="1"/>
    <s v="576768"/>
    <x v="1"/>
    <x v="0"/>
    <s v="27888025187841"/>
    <x v="8"/>
    <x v="0"/>
    <x v="8"/>
    <s v="N"/>
    <s v=""/>
    <s v="PC"/>
    <s v="60"/>
    <s v="6"/>
    <s v="PRODUCT ON HAND"/>
    <s v="GREEN"/>
    <s v="60"/>
    <s v="0"/>
    <s v="180"/>
    <n v="1769.94"/>
    <n v="180"/>
    <s v="0"/>
    <s v="1"/>
    <s v="0"/>
    <s v="1"/>
    <x v="1"/>
    <m/>
    <m/>
    <m/>
    <m/>
    <m/>
    <s v="180"/>
    <s v="216"/>
    <m/>
    <s v="5/21/2026"/>
    <x v="0"/>
    <x v="1"/>
    <m/>
    <s v="Y"/>
    <s v="KeHE\CSSterling"/>
    <x v="1"/>
    <s v="GREEN SPOON SALES"/>
    <s v="MOMS NEW ITEM"/>
    <m/>
    <s v="CENTER"/>
    <s v="44"/>
    <s v="BRYAN BURKLIN"/>
    <s v="214030"/>
    <s v="DIVA FAM INC"/>
    <s v="540"/>
    <s v="Christine Casey"/>
    <s v="2702518784"/>
    <s v="D"/>
    <s v="DRY"/>
    <s v="true"/>
    <s v="false"/>
    <s v="false"/>
    <s v="22"/>
    <s v="1/14/2026"/>
    <s v="true"/>
    <s v="0"/>
    <s v="4"/>
    <m/>
    <s v="CURR_UNIT_STKOUT"/>
    <s v="12345"/>
    <s v="1"/>
    <s v="DAY"/>
    <s v="0"/>
    <s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24" firstHeaderRow="1" firstDataRow="2" firstDataCol="10" rowPageCount="1" colPageCount="1"/>
  <pivotFields count="70">
    <pivotField axis="axisRow" compact="0" outline="0" showAll="0" defaultSubtotal="0">
      <items count="2">
        <item x="0"/>
        <item x="1"/>
      </items>
    </pivotField>
    <pivotField axis="axisRow" compact="0" outline="0" showAll="0" defaultSubtotal="0">
      <items count="2">
        <item x="0"/>
        <item x="1"/>
      </items>
    </pivotField>
    <pivotField compact="0" outline="0" showAll="0"/>
    <pivotField axis="axisRow" compact="0" outline="0" showAll="0" defaultSubtotal="0">
      <items count="2">
        <item x="1"/>
        <item x="0"/>
      </items>
    </pivotField>
    <pivotField compact="0" outline="0" showAll="0">
      <items count="2">
        <item x="0"/>
        <item t="default"/>
      </items>
    </pivotField>
    <pivotField compact="0" outline="0" showAll="0"/>
    <pivotField axis="axisRow" compact="0" numFmtId="1" outline="0" showAll="0" defaultSubtotal="0">
      <items count="9">
        <item x="1"/>
        <item x="2"/>
        <item x="0"/>
        <item x="3"/>
        <item x="4"/>
        <item x="5"/>
        <item x="6"/>
        <item x="7"/>
        <item x="8"/>
      </items>
    </pivotField>
    <pivotField axis="axisRow" compact="0" outline="0" showAll="0" defaultSubtotal="0">
      <items count="1">
        <item x="0"/>
      </items>
    </pivotField>
    <pivotField axis="axisRow" compact="0" outline="0" showAll="0">
      <items count="10">
        <item x="1"/>
        <item x="2"/>
        <item x="0"/>
        <item x="3"/>
        <item x="4"/>
        <item x="5"/>
        <item x="6"/>
        <item x="7"/>
        <item x="8"/>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2">
        <item x="1"/>
        <item x="0"/>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1">
        <item x="0"/>
      </items>
    </pivotField>
    <pivotField axis="axisRow" compact="0" numFmtId="166" outline="0" showAll="0" defaultSubtotal="0">
      <items count="2">
        <item x="1"/>
        <item x="0"/>
      </items>
    </pivotField>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0"/>
        <item x="1"/>
        <item t="default"/>
      </items>
    </pivotField>
  </pivotFields>
  <rowFields count="10">
    <field x="7"/>
    <field x="1"/>
    <field x="40"/>
    <field x="3"/>
    <field x="35"/>
    <field x="36"/>
    <field x="25"/>
    <field x="0"/>
    <field x="6"/>
    <field x="8"/>
  </rowFields>
  <rowItems count="10">
    <i>
      <x/>
      <x/>
      <x/>
      <x v="1"/>
      <x/>
      <x v="1"/>
      <x/>
      <x/>
      <x/>
      <x/>
    </i>
    <i r="6">
      <x v="1"/>
      <x/>
      <x v="2"/>
      <x v="2"/>
    </i>
    <i r="1">
      <x v="1"/>
      <x v="1"/>
      <x/>
      <x/>
      <x/>
      <x/>
      <x v="1"/>
      <x v="1"/>
      <x v="1"/>
    </i>
    <i r="8">
      <x v="3"/>
      <x v="3"/>
    </i>
    <i r="8">
      <x v="4"/>
      <x v="4"/>
    </i>
    <i r="8">
      <x v="5"/>
      <x v="5"/>
    </i>
    <i r="8">
      <x v="6"/>
      <x v="6"/>
    </i>
    <i r="8">
      <x v="7"/>
      <x v="7"/>
    </i>
    <i r="8">
      <x v="8"/>
      <x v="8"/>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10" tableType="queryTable" totalsRowShown="0">
  <autoFilter ref="A1:BR10"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9.554687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$25,790.16 and Qty: 2,532</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25790.16</v>
      </c>
    </row>
    <row r="5" spans="2:14" ht="20.399999999999999" x14ac:dyDescent="0.35">
      <c r="B5" s="6"/>
      <c r="J5" s="7"/>
      <c r="K5" s="7"/>
      <c r="M5" s="8"/>
      <c r="N5" s="9"/>
    </row>
    <row r="6" spans="2:14" ht="20.399999999999999" x14ac:dyDescent="0.35">
      <c r="B6" s="6"/>
      <c r="J6" s="7"/>
      <c r="K6" s="7"/>
      <c r="M6" s="8"/>
      <c r="N6" s="10">
        <f>VLOOKUP(M4,B15:M50006,12,FALSE)</f>
        <v>2532</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90</v>
      </c>
      <c r="C15" t="s">
        <v>88</v>
      </c>
      <c r="D15" t="s">
        <v>95</v>
      </c>
      <c r="E15" t="s">
        <v>189</v>
      </c>
      <c r="F15" s="2" t="s">
        <v>148</v>
      </c>
      <c r="G15" s="2" t="s">
        <v>193</v>
      </c>
      <c r="H15" t="s">
        <v>27</v>
      </c>
      <c r="I15" t="s">
        <v>114</v>
      </c>
      <c r="J15" s="12" t="s">
        <v>89</v>
      </c>
      <c r="K15" t="s">
        <v>91</v>
      </c>
      <c r="L15" s="5">
        <v>2870.4</v>
      </c>
      <c r="M15" s="1">
        <v>960</v>
      </c>
    </row>
    <row r="16" spans="2:14" x14ac:dyDescent="0.25">
      <c r="E16"/>
      <c r="H16" t="s">
        <v>187</v>
      </c>
      <c r="I16" t="s">
        <v>114</v>
      </c>
      <c r="J16" s="12" t="s">
        <v>130</v>
      </c>
      <c r="K16" t="s">
        <v>131</v>
      </c>
      <c r="L16" s="5">
        <v>4988.88</v>
      </c>
      <c r="M16" s="1">
        <v>312</v>
      </c>
    </row>
    <row r="17" spans="2:13" x14ac:dyDescent="0.25">
      <c r="C17" t="s">
        <v>140</v>
      </c>
      <c r="D17" t="s">
        <v>152</v>
      </c>
      <c r="E17" t="s">
        <v>142</v>
      </c>
      <c r="F17" s="2" t="s">
        <v>148</v>
      </c>
      <c r="G17" s="2" t="s">
        <v>149</v>
      </c>
      <c r="H17" t="s">
        <v>27</v>
      </c>
      <c r="I17" t="s">
        <v>117</v>
      </c>
      <c r="J17" s="12" t="s">
        <v>120</v>
      </c>
      <c r="K17" t="s">
        <v>121</v>
      </c>
      <c r="L17" s="5">
        <v>2878.2</v>
      </c>
      <c r="M17" s="1">
        <v>180</v>
      </c>
    </row>
    <row r="18" spans="2:13" x14ac:dyDescent="0.25">
      <c r="E18"/>
      <c r="J18" s="12" t="s">
        <v>144</v>
      </c>
      <c r="K18" t="s">
        <v>145</v>
      </c>
      <c r="L18" s="5">
        <v>2878.2</v>
      </c>
      <c r="M18" s="1">
        <v>180</v>
      </c>
    </row>
    <row r="19" spans="2:13" x14ac:dyDescent="0.25">
      <c r="E19"/>
      <c r="J19" s="12" t="s">
        <v>156</v>
      </c>
      <c r="K19" t="s">
        <v>157</v>
      </c>
      <c r="L19" s="5">
        <v>2878.2</v>
      </c>
      <c r="M19" s="1">
        <v>180</v>
      </c>
    </row>
    <row r="20" spans="2:13" x14ac:dyDescent="0.25">
      <c r="E20"/>
      <c r="J20" s="12" t="s">
        <v>161</v>
      </c>
      <c r="K20" t="s">
        <v>162</v>
      </c>
      <c r="L20" s="5">
        <v>2878.2</v>
      </c>
      <c r="M20" s="1">
        <v>180</v>
      </c>
    </row>
    <row r="21" spans="2:13" x14ac:dyDescent="0.25">
      <c r="E21"/>
      <c r="J21" s="12" t="s">
        <v>165</v>
      </c>
      <c r="K21" t="s">
        <v>166</v>
      </c>
      <c r="L21" s="5">
        <v>2878.2</v>
      </c>
      <c r="M21" s="1">
        <v>180</v>
      </c>
    </row>
    <row r="22" spans="2:13" x14ac:dyDescent="0.25">
      <c r="E22"/>
      <c r="J22" s="12" t="s">
        <v>169</v>
      </c>
      <c r="K22" t="s">
        <v>170</v>
      </c>
      <c r="L22" s="5">
        <v>1769.94</v>
      </c>
      <c r="M22" s="1">
        <v>180</v>
      </c>
    </row>
    <row r="23" spans="2:13" x14ac:dyDescent="0.25">
      <c r="E23"/>
      <c r="J23" s="12" t="s">
        <v>175</v>
      </c>
      <c r="K23" t="s">
        <v>176</v>
      </c>
      <c r="L23" s="5">
        <v>1769.94</v>
      </c>
      <c r="M23" s="1">
        <v>180</v>
      </c>
    </row>
    <row r="24" spans="2:13" x14ac:dyDescent="0.25">
      <c r="B24" t="s">
        <v>12</v>
      </c>
      <c r="E24"/>
      <c r="L24" s="5">
        <v>25790.16</v>
      </c>
      <c r="M24" s="1">
        <v>2532</v>
      </c>
    </row>
    <row r="25" spans="2:13" x14ac:dyDescent="0.25">
      <c r="E25"/>
      <c r="M25"/>
    </row>
    <row r="26" spans="2:13" x14ac:dyDescent="0.25">
      <c r="E26"/>
      <c r="M26"/>
    </row>
    <row r="27" spans="2:13" x14ac:dyDescent="0.25">
      <c r="E27"/>
      <c r="M27"/>
    </row>
    <row r="28" spans="2:13" x14ac:dyDescent="0.25">
      <c r="E28"/>
      <c r="M28"/>
    </row>
    <row r="29" spans="2:13" x14ac:dyDescent="0.25">
      <c r="E29"/>
      <c r="M29"/>
    </row>
    <row r="30" spans="2:13" x14ac:dyDescent="0.25">
      <c r="E30"/>
      <c r="M30"/>
    </row>
    <row r="31" spans="2:13" x14ac:dyDescent="0.25">
      <c r="E31"/>
      <c r="M31"/>
    </row>
    <row r="32" spans="2:13" x14ac:dyDescent="0.25">
      <c r="E32"/>
      <c r="M32"/>
    </row>
    <row r="33" spans="5:13" x14ac:dyDescent="0.25">
      <c r="E33"/>
      <c r="M33"/>
    </row>
    <row r="34" spans="5:13" x14ac:dyDescent="0.25">
      <c r="E34"/>
      <c r="M34"/>
    </row>
    <row r="35" spans="5:13" x14ac:dyDescent="0.25">
      <c r="E35"/>
      <c r="M35"/>
    </row>
    <row r="36" spans="5:13" x14ac:dyDescent="0.25">
      <c r="E36"/>
      <c r="M36"/>
    </row>
    <row r="37" spans="5:13" x14ac:dyDescent="0.25">
      <c r="E37"/>
      <c r="M37"/>
    </row>
    <row r="38" spans="5:13" x14ac:dyDescent="0.25">
      <c r="E38"/>
      <c r="M38"/>
    </row>
    <row r="39" spans="5:13" x14ac:dyDescent="0.25">
      <c r="E39"/>
      <c r="M39"/>
    </row>
    <row r="40" spans="5:13" x14ac:dyDescent="0.25">
      <c r="E40"/>
      <c r="M40"/>
    </row>
    <row r="41" spans="5:13" x14ac:dyDescent="0.25">
      <c r="E41"/>
      <c r="M41"/>
    </row>
    <row r="42" spans="5:13" x14ac:dyDescent="0.25">
      <c r="E42"/>
      <c r="M42"/>
    </row>
    <row r="43" spans="5:13" x14ac:dyDescent="0.25">
      <c r="E43"/>
      <c r="M43"/>
    </row>
    <row r="44" spans="5:13" x14ac:dyDescent="0.25">
      <c r="E44"/>
      <c r="M44"/>
    </row>
    <row r="45" spans="5:13" x14ac:dyDescent="0.25">
      <c r="E45"/>
      <c r="M45"/>
    </row>
    <row r="46" spans="5:13" x14ac:dyDescent="0.25">
      <c r="E46"/>
      <c r="M46"/>
    </row>
    <row r="47" spans="5:13" x14ac:dyDescent="0.25">
      <c r="E47"/>
      <c r="M47"/>
    </row>
    <row r="48" spans="5:13" x14ac:dyDescent="0.25">
      <c r="E48"/>
      <c r="M48"/>
    </row>
    <row r="49" spans="5:13" x14ac:dyDescent="0.25">
      <c r="E49"/>
      <c r="M49"/>
    </row>
    <row r="50" spans="5:13" x14ac:dyDescent="0.25">
      <c r="E50"/>
      <c r="M50"/>
    </row>
    <row r="51" spans="5:13" x14ac:dyDescent="0.25">
      <c r="E51"/>
      <c r="M51"/>
    </row>
    <row r="52" spans="5:13" x14ac:dyDescent="0.25">
      <c r="E52"/>
      <c r="M52"/>
    </row>
    <row r="53" spans="5:13" x14ac:dyDescent="0.25">
      <c r="E53"/>
      <c r="M53"/>
    </row>
    <row r="54" spans="5:13" x14ac:dyDescent="0.25">
      <c r="E54"/>
      <c r="M54"/>
    </row>
    <row r="55" spans="5:13" x14ac:dyDescent="0.25">
      <c r="E55"/>
      <c r="M55"/>
    </row>
    <row r="56" spans="5:13" x14ac:dyDescent="0.25">
      <c r="E56"/>
      <c r="M56"/>
    </row>
    <row r="57" spans="5:13" x14ac:dyDescent="0.25">
      <c r="E57"/>
      <c r="M57"/>
    </row>
    <row r="58" spans="5:13" x14ac:dyDescent="0.25">
      <c r="E58"/>
      <c r="M58"/>
    </row>
    <row r="59" spans="5:13" x14ac:dyDescent="0.25">
      <c r="E59"/>
      <c r="M59"/>
    </row>
    <row r="60" spans="5:13" x14ac:dyDescent="0.25">
      <c r="E60"/>
      <c r="M60"/>
    </row>
    <row r="61" spans="5:13" x14ac:dyDescent="0.25">
      <c r="E61"/>
      <c r="M61"/>
    </row>
    <row r="62" spans="5:13" x14ac:dyDescent="0.25">
      <c r="E62"/>
      <c r="M62"/>
    </row>
    <row r="63" spans="5:13" x14ac:dyDescent="0.25">
      <c r="E63"/>
      <c r="M63"/>
    </row>
    <row r="64" spans="5:13" x14ac:dyDescent="0.25">
      <c r="E64"/>
      <c r="M64"/>
    </row>
    <row r="65" spans="5:13" x14ac:dyDescent="0.25">
      <c r="E65"/>
      <c r="M65"/>
    </row>
    <row r="66" spans="5:13" x14ac:dyDescent="0.25">
      <c r="E66"/>
      <c r="M66"/>
    </row>
    <row r="67" spans="5:13" x14ac:dyDescent="0.25">
      <c r="E67"/>
      <c r="M67"/>
    </row>
    <row r="68" spans="5:13" x14ac:dyDescent="0.25">
      <c r="E68"/>
      <c r="M68"/>
    </row>
    <row r="69" spans="5:13" x14ac:dyDescent="0.25">
      <c r="E69"/>
      <c r="M69"/>
    </row>
    <row r="70" spans="5:13" x14ac:dyDescent="0.25">
      <c r="E70"/>
      <c r="M70"/>
    </row>
    <row r="71" spans="5:13" x14ac:dyDescent="0.25">
      <c r="E71"/>
      <c r="M71"/>
    </row>
    <row r="72" spans="5:13" x14ac:dyDescent="0.25">
      <c r="E72"/>
      <c r="M72"/>
    </row>
    <row r="73" spans="5:13" x14ac:dyDescent="0.25">
      <c r="E73"/>
      <c r="M73"/>
    </row>
    <row r="74" spans="5:13" x14ac:dyDescent="0.25">
      <c r="E74"/>
      <c r="M74"/>
    </row>
    <row r="75" spans="5:13" x14ac:dyDescent="0.25">
      <c r="E75"/>
      <c r="M75"/>
    </row>
    <row r="76" spans="5:13" x14ac:dyDescent="0.25">
      <c r="E76"/>
      <c r="M76"/>
    </row>
    <row r="77" spans="5:13" x14ac:dyDescent="0.25">
      <c r="E77"/>
      <c r="M77"/>
    </row>
    <row r="78" spans="5:13" x14ac:dyDescent="0.25">
      <c r="E78"/>
      <c r="M78"/>
    </row>
    <row r="79" spans="5:13" x14ac:dyDescent="0.25">
      <c r="E79"/>
      <c r="M79"/>
    </row>
    <row r="80" spans="5:13" x14ac:dyDescent="0.25">
      <c r="E80"/>
      <c r="M80"/>
    </row>
    <row r="81" spans="5:13" x14ac:dyDescent="0.25">
      <c r="E81"/>
      <c r="M81"/>
    </row>
    <row r="82" spans="5:13" x14ac:dyDescent="0.25">
      <c r="E82"/>
      <c r="M82"/>
    </row>
    <row r="83" spans="5:13" x14ac:dyDescent="0.25">
      <c r="E83"/>
      <c r="M83"/>
    </row>
    <row r="84" spans="5:13" x14ac:dyDescent="0.25">
      <c r="E84"/>
      <c r="M84"/>
    </row>
    <row r="85" spans="5:13" x14ac:dyDescent="0.25">
      <c r="E85"/>
      <c r="M85"/>
    </row>
    <row r="86" spans="5:13" x14ac:dyDescent="0.25">
      <c r="E86"/>
      <c r="M86"/>
    </row>
    <row r="87" spans="5:13" x14ac:dyDescent="0.25">
      <c r="E87"/>
      <c r="M87"/>
    </row>
    <row r="88" spans="5:13" x14ac:dyDescent="0.25">
      <c r="E88"/>
      <c r="M88"/>
    </row>
    <row r="89" spans="5:13" x14ac:dyDescent="0.25">
      <c r="E89"/>
      <c r="M89"/>
    </row>
    <row r="90" spans="5:13" x14ac:dyDescent="0.25">
      <c r="E90"/>
      <c r="M90"/>
    </row>
    <row r="91" spans="5:13" x14ac:dyDescent="0.25">
      <c r="E91"/>
      <c r="M91"/>
    </row>
    <row r="92" spans="5:13" x14ac:dyDescent="0.25">
      <c r="E92"/>
      <c r="M92"/>
    </row>
    <row r="93" spans="5:13" x14ac:dyDescent="0.25">
      <c r="E93"/>
      <c r="M93"/>
    </row>
    <row r="94" spans="5:13" x14ac:dyDescent="0.25">
      <c r="E94"/>
      <c r="M94"/>
    </row>
    <row r="95" spans="5:13" x14ac:dyDescent="0.25">
      <c r="E95"/>
      <c r="M95"/>
    </row>
    <row r="96" spans="5: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10"/>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6.109375"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31.44140625" bestFit="1" customWidth="1"/>
    <col min="16" max="16" width="7.21875" bestFit="1" customWidth="1"/>
    <col min="17" max="17" width="8" bestFit="1" customWidth="1"/>
    <col min="18" max="18" width="20.109375" bestFit="1" customWidth="1"/>
    <col min="19" max="19" width="14.21875" bestFit="1" customWidth="1"/>
    <col min="20" max="20" width="8.44140625"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6.6640625" bestFit="1" customWidth="1"/>
    <col min="41" max="41" width="30.109375" bestFit="1" customWidth="1"/>
    <col min="42" max="42" width="20.44140625" bestFit="1" customWidth="1"/>
    <col min="43" max="43" width="24.886718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114</v>
      </c>
      <c r="B2" t="s">
        <v>88</v>
      </c>
      <c r="C2" t="s">
        <v>191</v>
      </c>
      <c r="D2" t="s">
        <v>189</v>
      </c>
      <c r="E2" t="s">
        <v>129</v>
      </c>
      <c r="F2" t="s">
        <v>133</v>
      </c>
      <c r="G2" t="s">
        <v>130</v>
      </c>
      <c r="H2" t="s">
        <v>90</v>
      </c>
      <c r="I2" t="s">
        <v>131</v>
      </c>
      <c r="J2" t="s">
        <v>8</v>
      </c>
      <c r="K2" t="s">
        <v>179</v>
      </c>
      <c r="L2" t="s">
        <v>92</v>
      </c>
      <c r="M2" t="s">
        <v>122</v>
      </c>
      <c r="N2" t="s">
        <v>123</v>
      </c>
      <c r="O2" t="s">
        <v>184</v>
      </c>
      <c r="P2" t="s">
        <v>182</v>
      </c>
      <c r="Q2" t="s">
        <v>93</v>
      </c>
      <c r="R2" t="s">
        <v>134</v>
      </c>
      <c r="S2" t="s">
        <v>93</v>
      </c>
      <c r="T2">
        <v>4988.88</v>
      </c>
      <c r="U2">
        <v>312</v>
      </c>
      <c r="V2" t="s">
        <v>98</v>
      </c>
      <c r="W2" t="s">
        <v>111</v>
      </c>
      <c r="X2" t="s">
        <v>93</v>
      </c>
      <c r="Y2" t="s">
        <v>111</v>
      </c>
      <c r="Z2" t="s">
        <v>187</v>
      </c>
      <c r="AA2" t="s">
        <v>185</v>
      </c>
      <c r="AB2" t="s">
        <v>185</v>
      </c>
      <c r="AE2" t="s">
        <v>136</v>
      </c>
      <c r="AF2" t="s">
        <v>93</v>
      </c>
      <c r="AG2" t="s">
        <v>192</v>
      </c>
      <c r="AI2" t="s">
        <v>183</v>
      </c>
      <c r="AJ2" t="s">
        <v>148</v>
      </c>
      <c r="AK2" t="s">
        <v>193</v>
      </c>
      <c r="AM2" t="s">
        <v>10</v>
      </c>
      <c r="AN2" t="s">
        <v>94</v>
      </c>
      <c r="AO2" t="s">
        <v>95</v>
      </c>
      <c r="AP2" t="s">
        <v>96</v>
      </c>
      <c r="AQ2" t="s">
        <v>194</v>
      </c>
      <c r="AS2" t="s">
        <v>97</v>
      </c>
      <c r="AT2" t="s">
        <v>98</v>
      </c>
      <c r="AU2" t="s">
        <v>99</v>
      </c>
      <c r="AV2" t="s">
        <v>100</v>
      </c>
      <c r="AW2" t="s">
        <v>101</v>
      </c>
      <c r="AX2" t="s">
        <v>124</v>
      </c>
      <c r="AY2" t="s">
        <v>103</v>
      </c>
      <c r="AZ2" t="s">
        <v>135</v>
      </c>
      <c r="BA2" t="s">
        <v>6</v>
      </c>
      <c r="BB2" t="s">
        <v>104</v>
      </c>
      <c r="BC2" t="s">
        <v>106</v>
      </c>
      <c r="BD2" t="s">
        <v>106</v>
      </c>
      <c r="BE2" t="s">
        <v>106</v>
      </c>
      <c r="BF2" t="s">
        <v>113</v>
      </c>
      <c r="BG2" t="s">
        <v>132</v>
      </c>
      <c r="BH2" t="s">
        <v>105</v>
      </c>
      <c r="BI2" t="s">
        <v>195</v>
      </c>
      <c r="BJ2" t="s">
        <v>188</v>
      </c>
      <c r="BL2" t="s">
        <v>109</v>
      </c>
      <c r="BM2" t="s">
        <v>110</v>
      </c>
      <c r="BN2" t="s">
        <v>111</v>
      </c>
      <c r="BO2" t="s">
        <v>112</v>
      </c>
      <c r="BP2" t="s">
        <v>127</v>
      </c>
      <c r="BQ2" t="s">
        <v>196</v>
      </c>
      <c r="BR2" t="str">
        <f>VLOOKUP(KeHEPARDataFlowSource[[#This Row],[Item Status]],Table2[#All],2,FALSE)</f>
        <v>Temporarily OOS due to Manuf</v>
      </c>
    </row>
    <row r="3" spans="1:70" x14ac:dyDescent="0.25">
      <c r="A3" t="s">
        <v>114</v>
      </c>
      <c r="B3" t="s">
        <v>88</v>
      </c>
      <c r="C3" t="s">
        <v>191</v>
      </c>
      <c r="D3" t="s">
        <v>189</v>
      </c>
      <c r="E3" t="s">
        <v>129</v>
      </c>
      <c r="F3" t="s">
        <v>115</v>
      </c>
      <c r="G3" t="s">
        <v>89</v>
      </c>
      <c r="H3" t="s">
        <v>90</v>
      </c>
      <c r="I3" t="s">
        <v>91</v>
      </c>
      <c r="J3" t="s">
        <v>8</v>
      </c>
      <c r="K3" t="s">
        <v>179</v>
      </c>
      <c r="L3" t="s">
        <v>92</v>
      </c>
      <c r="M3" t="s">
        <v>87</v>
      </c>
      <c r="N3" t="s">
        <v>87</v>
      </c>
      <c r="O3" t="s">
        <v>180</v>
      </c>
      <c r="P3" t="s">
        <v>146</v>
      </c>
      <c r="Q3" t="s">
        <v>93</v>
      </c>
      <c r="R3" t="s">
        <v>186</v>
      </c>
      <c r="S3" t="s">
        <v>93</v>
      </c>
      <c r="T3">
        <v>2870.4</v>
      </c>
      <c r="U3">
        <v>960</v>
      </c>
      <c r="V3" t="s">
        <v>190</v>
      </c>
      <c r="W3" t="s">
        <v>111</v>
      </c>
      <c r="X3" t="s">
        <v>93</v>
      </c>
      <c r="Y3" t="s">
        <v>111</v>
      </c>
      <c r="AF3" t="s">
        <v>197</v>
      </c>
      <c r="AG3" t="s">
        <v>138</v>
      </c>
      <c r="AI3" t="s">
        <v>183</v>
      </c>
      <c r="AJ3" t="s">
        <v>148</v>
      </c>
      <c r="AK3" t="s">
        <v>193</v>
      </c>
      <c r="AM3" t="s">
        <v>10</v>
      </c>
      <c r="AN3" t="s">
        <v>94</v>
      </c>
      <c r="AO3" t="s">
        <v>95</v>
      </c>
      <c r="AP3" t="s">
        <v>96</v>
      </c>
      <c r="AQ3" t="s">
        <v>194</v>
      </c>
      <c r="AS3" t="s">
        <v>97</v>
      </c>
      <c r="AT3" t="s">
        <v>98</v>
      </c>
      <c r="AU3" t="s">
        <v>99</v>
      </c>
      <c r="AV3" t="s">
        <v>100</v>
      </c>
      <c r="AW3" t="s">
        <v>101</v>
      </c>
      <c r="AX3" t="s">
        <v>102</v>
      </c>
      <c r="AY3" t="s">
        <v>103</v>
      </c>
      <c r="AZ3" t="s">
        <v>116</v>
      </c>
      <c r="BA3" t="s">
        <v>6</v>
      </c>
      <c r="BB3" t="s">
        <v>104</v>
      </c>
      <c r="BC3" t="s">
        <v>106</v>
      </c>
      <c r="BD3" t="s">
        <v>106</v>
      </c>
      <c r="BE3" t="s">
        <v>106</v>
      </c>
      <c r="BF3" t="s">
        <v>113</v>
      </c>
      <c r="BG3" t="s">
        <v>108</v>
      </c>
      <c r="BH3" t="s">
        <v>105</v>
      </c>
      <c r="BI3" t="s">
        <v>195</v>
      </c>
      <c r="BJ3" t="s">
        <v>188</v>
      </c>
      <c r="BL3" t="s">
        <v>109</v>
      </c>
      <c r="BM3" t="s">
        <v>110</v>
      </c>
      <c r="BN3" t="s">
        <v>111</v>
      </c>
      <c r="BO3" t="s">
        <v>112</v>
      </c>
      <c r="BP3" t="s">
        <v>198</v>
      </c>
      <c r="BQ3" t="s">
        <v>199</v>
      </c>
      <c r="BR3" t="str">
        <f>VLOOKUP(KeHEPARDataFlowSource[[#This Row],[Item Status]],Table2[#All],2,FALSE)</f>
        <v>Temporarily OOS due to Manuf</v>
      </c>
    </row>
    <row r="4" spans="1:70" x14ac:dyDescent="0.25">
      <c r="A4" t="s">
        <v>117</v>
      </c>
      <c r="B4" t="s">
        <v>140</v>
      </c>
      <c r="C4" t="s">
        <v>141</v>
      </c>
      <c r="D4" t="s">
        <v>142</v>
      </c>
      <c r="E4" t="s">
        <v>129</v>
      </c>
      <c r="F4" t="s">
        <v>126</v>
      </c>
      <c r="G4" t="s">
        <v>120</v>
      </c>
      <c r="H4" t="s">
        <v>90</v>
      </c>
      <c r="I4" t="s">
        <v>121</v>
      </c>
      <c r="J4" t="s">
        <v>10</v>
      </c>
      <c r="K4" t="s">
        <v>179</v>
      </c>
      <c r="L4" t="s">
        <v>92</v>
      </c>
      <c r="M4" t="s">
        <v>122</v>
      </c>
      <c r="N4" t="s">
        <v>123</v>
      </c>
      <c r="O4" t="s">
        <v>180</v>
      </c>
      <c r="P4" t="s">
        <v>146</v>
      </c>
      <c r="Q4" t="s">
        <v>139</v>
      </c>
      <c r="R4" t="s">
        <v>93</v>
      </c>
      <c r="S4" t="s">
        <v>93</v>
      </c>
      <c r="T4">
        <v>2878.2</v>
      </c>
      <c r="U4">
        <v>180</v>
      </c>
      <c r="V4" t="s">
        <v>93</v>
      </c>
      <c r="W4" t="s">
        <v>111</v>
      </c>
      <c r="X4" t="s">
        <v>93</v>
      </c>
      <c r="Y4" t="s">
        <v>111</v>
      </c>
      <c r="AF4" t="s">
        <v>200</v>
      </c>
      <c r="AG4" t="s">
        <v>137</v>
      </c>
      <c r="AI4" t="s">
        <v>147</v>
      </c>
      <c r="AJ4" t="s">
        <v>148</v>
      </c>
      <c r="AK4" t="s">
        <v>149</v>
      </c>
      <c r="AM4" t="s">
        <v>150</v>
      </c>
      <c r="AN4" t="s">
        <v>151</v>
      </c>
      <c r="AO4" t="s">
        <v>152</v>
      </c>
      <c r="AP4" t="s">
        <v>96</v>
      </c>
      <c r="AQ4" t="s">
        <v>153</v>
      </c>
      <c r="AS4" t="s">
        <v>97</v>
      </c>
      <c r="AT4" t="s">
        <v>118</v>
      </c>
      <c r="AU4" t="s">
        <v>119</v>
      </c>
      <c r="AV4" t="s">
        <v>100</v>
      </c>
      <c r="AW4" t="s">
        <v>101</v>
      </c>
      <c r="AX4" t="s">
        <v>124</v>
      </c>
      <c r="AY4" t="s">
        <v>103</v>
      </c>
      <c r="AZ4" t="s">
        <v>128</v>
      </c>
      <c r="BA4" t="s">
        <v>6</v>
      </c>
      <c r="BB4" t="s">
        <v>104</v>
      </c>
      <c r="BC4" t="s">
        <v>105</v>
      </c>
      <c r="BD4" t="s">
        <v>106</v>
      </c>
      <c r="BE4" t="s">
        <v>106</v>
      </c>
      <c r="BF4" t="s">
        <v>107</v>
      </c>
      <c r="BG4" t="s">
        <v>125</v>
      </c>
      <c r="BH4" t="s">
        <v>105</v>
      </c>
      <c r="BI4" t="s">
        <v>93</v>
      </c>
      <c r="BJ4" t="s">
        <v>181</v>
      </c>
      <c r="BL4" t="s">
        <v>109</v>
      </c>
      <c r="BM4" t="s">
        <v>110</v>
      </c>
      <c r="BN4" t="s">
        <v>111</v>
      </c>
      <c r="BO4" t="s">
        <v>112</v>
      </c>
      <c r="BP4" t="s">
        <v>93</v>
      </c>
      <c r="BQ4" t="s">
        <v>93</v>
      </c>
      <c r="BR4" t="str">
        <f>VLOOKUP(KeHEPARDataFlowSource[[#This Row],[Item Status]],Table2[#All],2,FALSE)</f>
        <v>Normal, Active item</v>
      </c>
    </row>
    <row r="5" spans="1:70" x14ac:dyDescent="0.25">
      <c r="A5" t="s">
        <v>117</v>
      </c>
      <c r="B5" t="s">
        <v>140</v>
      </c>
      <c r="C5" t="s">
        <v>141</v>
      </c>
      <c r="D5" t="s">
        <v>142</v>
      </c>
      <c r="E5" t="s">
        <v>129</v>
      </c>
      <c r="F5" t="s">
        <v>143</v>
      </c>
      <c r="G5" t="s">
        <v>144</v>
      </c>
      <c r="H5" t="s">
        <v>90</v>
      </c>
      <c r="I5" t="s">
        <v>145</v>
      </c>
      <c r="J5" t="s">
        <v>10</v>
      </c>
      <c r="K5" t="s">
        <v>179</v>
      </c>
      <c r="L5" t="s">
        <v>92</v>
      </c>
      <c r="M5" t="s">
        <v>122</v>
      </c>
      <c r="N5" t="s">
        <v>123</v>
      </c>
      <c r="O5" t="s">
        <v>180</v>
      </c>
      <c r="P5" t="s">
        <v>146</v>
      </c>
      <c r="Q5" t="s">
        <v>139</v>
      </c>
      <c r="R5" t="s">
        <v>93</v>
      </c>
      <c r="S5" t="s">
        <v>127</v>
      </c>
      <c r="T5">
        <v>2878.2</v>
      </c>
      <c r="U5">
        <v>180</v>
      </c>
      <c r="V5" t="s">
        <v>93</v>
      </c>
      <c r="W5" t="s">
        <v>111</v>
      </c>
      <c r="X5" t="s">
        <v>93</v>
      </c>
      <c r="Y5" t="s">
        <v>111</v>
      </c>
      <c r="AF5" t="s">
        <v>127</v>
      </c>
      <c r="AG5" t="s">
        <v>201</v>
      </c>
      <c r="AI5" t="s">
        <v>147</v>
      </c>
      <c r="AJ5" t="s">
        <v>148</v>
      </c>
      <c r="AK5" t="s">
        <v>149</v>
      </c>
      <c r="AM5" t="s">
        <v>150</v>
      </c>
      <c r="AN5" t="s">
        <v>151</v>
      </c>
      <c r="AO5" t="s">
        <v>152</v>
      </c>
      <c r="AP5" t="s">
        <v>96</v>
      </c>
      <c r="AQ5" t="s">
        <v>153</v>
      </c>
      <c r="AS5" t="s">
        <v>97</v>
      </c>
      <c r="AT5" t="s">
        <v>118</v>
      </c>
      <c r="AU5" t="s">
        <v>119</v>
      </c>
      <c r="AV5" t="s">
        <v>100</v>
      </c>
      <c r="AW5" t="s">
        <v>101</v>
      </c>
      <c r="AX5" t="s">
        <v>124</v>
      </c>
      <c r="AY5" t="s">
        <v>103</v>
      </c>
      <c r="AZ5" t="s">
        <v>154</v>
      </c>
      <c r="BA5" t="s">
        <v>6</v>
      </c>
      <c r="BB5" t="s">
        <v>104</v>
      </c>
      <c r="BC5" t="s">
        <v>105</v>
      </c>
      <c r="BD5" t="s">
        <v>106</v>
      </c>
      <c r="BE5" t="s">
        <v>106</v>
      </c>
      <c r="BF5" t="s">
        <v>107</v>
      </c>
      <c r="BG5" t="s">
        <v>125</v>
      </c>
      <c r="BH5" t="s">
        <v>105</v>
      </c>
      <c r="BI5" t="s">
        <v>93</v>
      </c>
      <c r="BJ5" t="s">
        <v>181</v>
      </c>
      <c r="BL5" t="s">
        <v>109</v>
      </c>
      <c r="BM5" t="s">
        <v>110</v>
      </c>
      <c r="BN5" t="s">
        <v>111</v>
      </c>
      <c r="BO5" t="s">
        <v>112</v>
      </c>
      <c r="BP5" t="s">
        <v>93</v>
      </c>
      <c r="BQ5" t="s">
        <v>93</v>
      </c>
      <c r="BR5" t="str">
        <f>VLOOKUP(KeHEPARDataFlowSource[[#This Row],[Item Status]],Table2[#All],2,FALSE)</f>
        <v>Normal, Active item</v>
      </c>
    </row>
    <row r="6" spans="1:70" x14ac:dyDescent="0.25">
      <c r="A6" t="s">
        <v>117</v>
      </c>
      <c r="B6" t="s">
        <v>140</v>
      </c>
      <c r="C6" t="s">
        <v>141</v>
      </c>
      <c r="D6" t="s">
        <v>142</v>
      </c>
      <c r="E6" t="s">
        <v>129</v>
      </c>
      <c r="F6" t="s">
        <v>155</v>
      </c>
      <c r="G6" t="s">
        <v>156</v>
      </c>
      <c r="H6" t="s">
        <v>90</v>
      </c>
      <c r="I6" t="s">
        <v>157</v>
      </c>
      <c r="J6" t="s">
        <v>10</v>
      </c>
      <c r="K6" t="s">
        <v>179</v>
      </c>
      <c r="L6" t="s">
        <v>92</v>
      </c>
      <c r="M6" t="s">
        <v>122</v>
      </c>
      <c r="N6" t="s">
        <v>123</v>
      </c>
      <c r="O6" t="s">
        <v>180</v>
      </c>
      <c r="P6" t="s">
        <v>146</v>
      </c>
      <c r="Q6" t="s">
        <v>139</v>
      </c>
      <c r="R6" t="s">
        <v>93</v>
      </c>
      <c r="S6" t="s">
        <v>127</v>
      </c>
      <c r="T6">
        <v>2878.2</v>
      </c>
      <c r="U6">
        <v>180</v>
      </c>
      <c r="V6" t="s">
        <v>93</v>
      </c>
      <c r="W6" t="s">
        <v>111</v>
      </c>
      <c r="X6" t="s">
        <v>93</v>
      </c>
      <c r="Y6" t="s">
        <v>111</v>
      </c>
      <c r="AF6" t="s">
        <v>127</v>
      </c>
      <c r="AG6" t="s">
        <v>201</v>
      </c>
      <c r="AI6" t="s">
        <v>147</v>
      </c>
      <c r="AJ6" t="s">
        <v>148</v>
      </c>
      <c r="AK6" t="s">
        <v>149</v>
      </c>
      <c r="AM6" t="s">
        <v>150</v>
      </c>
      <c r="AN6" t="s">
        <v>151</v>
      </c>
      <c r="AO6" t="s">
        <v>152</v>
      </c>
      <c r="AP6" t="s">
        <v>96</v>
      </c>
      <c r="AQ6" t="s">
        <v>153</v>
      </c>
      <c r="AS6" t="s">
        <v>97</v>
      </c>
      <c r="AT6" t="s">
        <v>118</v>
      </c>
      <c r="AU6" t="s">
        <v>119</v>
      </c>
      <c r="AV6" t="s">
        <v>100</v>
      </c>
      <c r="AW6" t="s">
        <v>101</v>
      </c>
      <c r="AX6" t="s">
        <v>124</v>
      </c>
      <c r="AY6" t="s">
        <v>103</v>
      </c>
      <c r="AZ6" t="s">
        <v>158</v>
      </c>
      <c r="BA6" t="s">
        <v>6</v>
      </c>
      <c r="BB6" t="s">
        <v>104</v>
      </c>
      <c r="BC6" t="s">
        <v>105</v>
      </c>
      <c r="BD6" t="s">
        <v>106</v>
      </c>
      <c r="BE6" t="s">
        <v>106</v>
      </c>
      <c r="BF6" t="s">
        <v>107</v>
      </c>
      <c r="BG6" t="s">
        <v>159</v>
      </c>
      <c r="BH6" t="s">
        <v>105</v>
      </c>
      <c r="BI6" t="s">
        <v>93</v>
      </c>
      <c r="BJ6" t="s">
        <v>181</v>
      </c>
      <c r="BL6" t="s">
        <v>109</v>
      </c>
      <c r="BM6" t="s">
        <v>110</v>
      </c>
      <c r="BN6" t="s">
        <v>111</v>
      </c>
      <c r="BO6" t="s">
        <v>112</v>
      </c>
      <c r="BP6" t="s">
        <v>93</v>
      </c>
      <c r="BQ6" t="s">
        <v>93</v>
      </c>
      <c r="BR6" t="str">
        <f>VLOOKUP(KeHEPARDataFlowSource[[#This Row],[Item Status]],Table2[#All],2,FALSE)</f>
        <v>Normal, Active item</v>
      </c>
    </row>
    <row r="7" spans="1:70" x14ac:dyDescent="0.25">
      <c r="A7" t="s">
        <v>117</v>
      </c>
      <c r="B7" t="s">
        <v>140</v>
      </c>
      <c r="C7" t="s">
        <v>141</v>
      </c>
      <c r="D7" t="s">
        <v>142</v>
      </c>
      <c r="E7" t="s">
        <v>129</v>
      </c>
      <c r="F7" t="s">
        <v>160</v>
      </c>
      <c r="G7" t="s">
        <v>161</v>
      </c>
      <c r="H7" t="s">
        <v>90</v>
      </c>
      <c r="I7" t="s">
        <v>162</v>
      </c>
      <c r="J7" t="s">
        <v>10</v>
      </c>
      <c r="K7" t="s">
        <v>179</v>
      </c>
      <c r="L7" t="s">
        <v>92</v>
      </c>
      <c r="M7" t="s">
        <v>122</v>
      </c>
      <c r="N7" t="s">
        <v>123</v>
      </c>
      <c r="O7" t="s">
        <v>180</v>
      </c>
      <c r="P7" t="s">
        <v>146</v>
      </c>
      <c r="Q7" t="s">
        <v>139</v>
      </c>
      <c r="R7" t="s">
        <v>93</v>
      </c>
      <c r="S7" t="s">
        <v>127</v>
      </c>
      <c r="T7">
        <v>2878.2</v>
      </c>
      <c r="U7">
        <v>180</v>
      </c>
      <c r="V7" t="s">
        <v>93</v>
      </c>
      <c r="W7" t="s">
        <v>111</v>
      </c>
      <c r="X7" t="s">
        <v>93</v>
      </c>
      <c r="Y7" t="s">
        <v>111</v>
      </c>
      <c r="AF7" t="s">
        <v>127</v>
      </c>
      <c r="AG7" t="s">
        <v>201</v>
      </c>
      <c r="AI7" t="s">
        <v>147</v>
      </c>
      <c r="AJ7" t="s">
        <v>148</v>
      </c>
      <c r="AK7" t="s">
        <v>149</v>
      </c>
      <c r="AM7" t="s">
        <v>150</v>
      </c>
      <c r="AN7" t="s">
        <v>151</v>
      </c>
      <c r="AO7" t="s">
        <v>152</v>
      </c>
      <c r="AP7" t="s">
        <v>96</v>
      </c>
      <c r="AQ7" t="s">
        <v>153</v>
      </c>
      <c r="AS7" t="s">
        <v>97</v>
      </c>
      <c r="AT7" t="s">
        <v>118</v>
      </c>
      <c r="AU7" t="s">
        <v>119</v>
      </c>
      <c r="AV7" t="s">
        <v>100</v>
      </c>
      <c r="AW7" t="s">
        <v>101</v>
      </c>
      <c r="AX7" t="s">
        <v>124</v>
      </c>
      <c r="AY7" t="s">
        <v>103</v>
      </c>
      <c r="AZ7" t="s">
        <v>163</v>
      </c>
      <c r="BA7" t="s">
        <v>6</v>
      </c>
      <c r="BB7" t="s">
        <v>104</v>
      </c>
      <c r="BC7" t="s">
        <v>105</v>
      </c>
      <c r="BD7" t="s">
        <v>106</v>
      </c>
      <c r="BE7" t="s">
        <v>106</v>
      </c>
      <c r="BF7" t="s">
        <v>107</v>
      </c>
      <c r="BG7" t="s">
        <v>125</v>
      </c>
      <c r="BH7" t="s">
        <v>105</v>
      </c>
      <c r="BI7" t="s">
        <v>93</v>
      </c>
      <c r="BJ7" t="s">
        <v>181</v>
      </c>
      <c r="BL7" t="s">
        <v>109</v>
      </c>
      <c r="BM7" t="s">
        <v>110</v>
      </c>
      <c r="BN7" t="s">
        <v>111</v>
      </c>
      <c r="BO7" t="s">
        <v>112</v>
      </c>
      <c r="BP7" t="s">
        <v>93</v>
      </c>
      <c r="BQ7" t="s">
        <v>93</v>
      </c>
      <c r="BR7" t="str">
        <f>VLOOKUP(KeHEPARDataFlowSource[[#This Row],[Item Status]],Table2[#All],2,FALSE)</f>
        <v>Normal, Active item</v>
      </c>
    </row>
    <row r="8" spans="1:70" x14ac:dyDescent="0.25">
      <c r="A8" t="s">
        <v>117</v>
      </c>
      <c r="B8" t="s">
        <v>140</v>
      </c>
      <c r="C8" t="s">
        <v>141</v>
      </c>
      <c r="D8" t="s">
        <v>142</v>
      </c>
      <c r="E8" t="s">
        <v>129</v>
      </c>
      <c r="F8" t="s">
        <v>164</v>
      </c>
      <c r="G8" t="s">
        <v>165</v>
      </c>
      <c r="H8" t="s">
        <v>90</v>
      </c>
      <c r="I8" t="s">
        <v>166</v>
      </c>
      <c r="J8" t="s">
        <v>10</v>
      </c>
      <c r="K8" t="s">
        <v>179</v>
      </c>
      <c r="L8" t="s">
        <v>92</v>
      </c>
      <c r="M8" t="s">
        <v>122</v>
      </c>
      <c r="N8" t="s">
        <v>123</v>
      </c>
      <c r="O8" t="s">
        <v>180</v>
      </c>
      <c r="P8" t="s">
        <v>146</v>
      </c>
      <c r="Q8" t="s">
        <v>139</v>
      </c>
      <c r="R8" t="s">
        <v>93</v>
      </c>
      <c r="S8" t="s">
        <v>127</v>
      </c>
      <c r="T8">
        <v>2878.2</v>
      </c>
      <c r="U8">
        <v>180</v>
      </c>
      <c r="V8" t="s">
        <v>93</v>
      </c>
      <c r="W8" t="s">
        <v>111</v>
      </c>
      <c r="X8" t="s">
        <v>93</v>
      </c>
      <c r="Y8" t="s">
        <v>111</v>
      </c>
      <c r="AF8" t="s">
        <v>127</v>
      </c>
      <c r="AG8" t="s">
        <v>190</v>
      </c>
      <c r="AI8" t="s">
        <v>147</v>
      </c>
      <c r="AJ8" t="s">
        <v>148</v>
      </c>
      <c r="AK8" t="s">
        <v>149</v>
      </c>
      <c r="AM8" t="s">
        <v>150</v>
      </c>
      <c r="AN8" t="s">
        <v>151</v>
      </c>
      <c r="AO8" t="s">
        <v>152</v>
      </c>
      <c r="AP8" t="s">
        <v>96</v>
      </c>
      <c r="AQ8" t="s">
        <v>153</v>
      </c>
      <c r="AS8" t="s">
        <v>97</v>
      </c>
      <c r="AT8" t="s">
        <v>118</v>
      </c>
      <c r="AU8" t="s">
        <v>119</v>
      </c>
      <c r="AV8" t="s">
        <v>100</v>
      </c>
      <c r="AW8" t="s">
        <v>101</v>
      </c>
      <c r="AX8" t="s">
        <v>124</v>
      </c>
      <c r="AY8" t="s">
        <v>103</v>
      </c>
      <c r="AZ8" t="s">
        <v>167</v>
      </c>
      <c r="BA8" t="s">
        <v>6</v>
      </c>
      <c r="BB8" t="s">
        <v>104</v>
      </c>
      <c r="BC8" t="s">
        <v>105</v>
      </c>
      <c r="BD8" t="s">
        <v>106</v>
      </c>
      <c r="BE8" t="s">
        <v>106</v>
      </c>
      <c r="BF8" t="s">
        <v>107</v>
      </c>
      <c r="BG8" t="s">
        <v>125</v>
      </c>
      <c r="BH8" t="s">
        <v>105</v>
      </c>
      <c r="BI8" t="s">
        <v>93</v>
      </c>
      <c r="BJ8" t="s">
        <v>181</v>
      </c>
      <c r="BL8" t="s">
        <v>109</v>
      </c>
      <c r="BM8" t="s">
        <v>110</v>
      </c>
      <c r="BN8" t="s">
        <v>111</v>
      </c>
      <c r="BO8" t="s">
        <v>112</v>
      </c>
      <c r="BP8" t="s">
        <v>93</v>
      </c>
      <c r="BQ8" t="s">
        <v>93</v>
      </c>
      <c r="BR8" t="str">
        <f>VLOOKUP(KeHEPARDataFlowSource[[#This Row],[Item Status]],Table2[#All],2,FALSE)</f>
        <v>Normal, Active item</v>
      </c>
    </row>
    <row r="9" spans="1:70" x14ac:dyDescent="0.25">
      <c r="A9" t="s">
        <v>117</v>
      </c>
      <c r="B9" t="s">
        <v>140</v>
      </c>
      <c r="C9" t="s">
        <v>141</v>
      </c>
      <c r="D9" t="s">
        <v>142</v>
      </c>
      <c r="E9" t="s">
        <v>129</v>
      </c>
      <c r="F9" t="s">
        <v>168</v>
      </c>
      <c r="G9" t="s">
        <v>169</v>
      </c>
      <c r="H9" t="s">
        <v>90</v>
      </c>
      <c r="I9" t="s">
        <v>170</v>
      </c>
      <c r="J9" t="s">
        <v>10</v>
      </c>
      <c r="K9" t="s">
        <v>179</v>
      </c>
      <c r="L9" t="s">
        <v>171</v>
      </c>
      <c r="M9" t="s">
        <v>139</v>
      </c>
      <c r="N9" t="s">
        <v>123</v>
      </c>
      <c r="O9" t="s">
        <v>180</v>
      </c>
      <c r="P9" t="s">
        <v>146</v>
      </c>
      <c r="Q9" t="s">
        <v>139</v>
      </c>
      <c r="R9" t="s">
        <v>93</v>
      </c>
      <c r="S9" t="s">
        <v>127</v>
      </c>
      <c r="T9">
        <v>1769.94</v>
      </c>
      <c r="U9">
        <v>180</v>
      </c>
      <c r="V9" t="s">
        <v>93</v>
      </c>
      <c r="W9" t="s">
        <v>111</v>
      </c>
      <c r="X9" t="s">
        <v>93</v>
      </c>
      <c r="Y9" t="s">
        <v>111</v>
      </c>
      <c r="AF9" t="s">
        <v>127</v>
      </c>
      <c r="AG9" t="s">
        <v>202</v>
      </c>
      <c r="AI9" t="s">
        <v>147</v>
      </c>
      <c r="AJ9" t="s">
        <v>148</v>
      </c>
      <c r="AK9" t="s">
        <v>149</v>
      </c>
      <c r="AM9" t="s">
        <v>150</v>
      </c>
      <c r="AN9" t="s">
        <v>151</v>
      </c>
      <c r="AO9" t="s">
        <v>152</v>
      </c>
      <c r="AP9" t="s">
        <v>96</v>
      </c>
      <c r="AQ9" t="s">
        <v>153</v>
      </c>
      <c r="AS9" t="s">
        <v>97</v>
      </c>
      <c r="AT9" t="s">
        <v>118</v>
      </c>
      <c r="AU9" t="s">
        <v>119</v>
      </c>
      <c r="AV9" t="s">
        <v>100</v>
      </c>
      <c r="AW9" t="s">
        <v>101</v>
      </c>
      <c r="AX9" t="s">
        <v>102</v>
      </c>
      <c r="AY9" t="s">
        <v>103</v>
      </c>
      <c r="AZ9" t="s">
        <v>172</v>
      </c>
      <c r="BA9" t="s">
        <v>6</v>
      </c>
      <c r="BB9" t="s">
        <v>104</v>
      </c>
      <c r="BC9" t="s">
        <v>105</v>
      </c>
      <c r="BD9" t="s">
        <v>106</v>
      </c>
      <c r="BE9" t="s">
        <v>106</v>
      </c>
      <c r="BF9" t="s">
        <v>107</v>
      </c>
      <c r="BG9" t="s">
        <v>173</v>
      </c>
      <c r="BH9" t="s">
        <v>105</v>
      </c>
      <c r="BI9" t="s">
        <v>93</v>
      </c>
      <c r="BJ9" t="s">
        <v>181</v>
      </c>
      <c r="BL9" t="s">
        <v>109</v>
      </c>
      <c r="BM9" t="s">
        <v>110</v>
      </c>
      <c r="BN9" t="s">
        <v>111</v>
      </c>
      <c r="BO9" t="s">
        <v>112</v>
      </c>
      <c r="BP9" t="s">
        <v>93</v>
      </c>
      <c r="BQ9" t="s">
        <v>93</v>
      </c>
      <c r="BR9" t="str">
        <f>VLOOKUP(KeHEPARDataFlowSource[[#This Row],[Item Status]],Table2[#All],2,FALSE)</f>
        <v>Normal, Active item</v>
      </c>
    </row>
    <row r="10" spans="1:70" x14ac:dyDescent="0.25">
      <c r="A10" t="s">
        <v>117</v>
      </c>
      <c r="B10" t="s">
        <v>140</v>
      </c>
      <c r="C10" t="s">
        <v>141</v>
      </c>
      <c r="D10" t="s">
        <v>142</v>
      </c>
      <c r="E10" t="s">
        <v>129</v>
      </c>
      <c r="F10" t="s">
        <v>174</v>
      </c>
      <c r="G10" t="s">
        <v>175</v>
      </c>
      <c r="H10" t="s">
        <v>90</v>
      </c>
      <c r="I10" t="s">
        <v>176</v>
      </c>
      <c r="J10" t="s">
        <v>10</v>
      </c>
      <c r="K10" t="s">
        <v>179</v>
      </c>
      <c r="L10" t="s">
        <v>171</v>
      </c>
      <c r="M10" t="s">
        <v>139</v>
      </c>
      <c r="N10" t="s">
        <v>123</v>
      </c>
      <c r="O10" t="s">
        <v>180</v>
      </c>
      <c r="P10" t="s">
        <v>146</v>
      </c>
      <c r="Q10" t="s">
        <v>139</v>
      </c>
      <c r="R10" t="s">
        <v>93</v>
      </c>
      <c r="S10" t="s">
        <v>127</v>
      </c>
      <c r="T10">
        <v>1769.94</v>
      </c>
      <c r="U10">
        <v>180</v>
      </c>
      <c r="V10" t="s">
        <v>93</v>
      </c>
      <c r="W10" t="s">
        <v>111</v>
      </c>
      <c r="X10" t="s">
        <v>93</v>
      </c>
      <c r="Y10" t="s">
        <v>111</v>
      </c>
      <c r="AF10" t="s">
        <v>127</v>
      </c>
      <c r="AG10" t="s">
        <v>202</v>
      </c>
      <c r="AI10" t="s">
        <v>147</v>
      </c>
      <c r="AJ10" t="s">
        <v>148</v>
      </c>
      <c r="AK10" t="s">
        <v>149</v>
      </c>
      <c r="AM10" t="s">
        <v>150</v>
      </c>
      <c r="AN10" t="s">
        <v>151</v>
      </c>
      <c r="AO10" t="s">
        <v>152</v>
      </c>
      <c r="AP10" t="s">
        <v>96</v>
      </c>
      <c r="AQ10" t="s">
        <v>153</v>
      </c>
      <c r="AS10" t="s">
        <v>97</v>
      </c>
      <c r="AT10" t="s">
        <v>118</v>
      </c>
      <c r="AU10" t="s">
        <v>119</v>
      </c>
      <c r="AV10" t="s">
        <v>100</v>
      </c>
      <c r="AW10" t="s">
        <v>101</v>
      </c>
      <c r="AX10" t="s">
        <v>102</v>
      </c>
      <c r="AY10" t="s">
        <v>103</v>
      </c>
      <c r="AZ10" t="s">
        <v>177</v>
      </c>
      <c r="BA10" t="s">
        <v>6</v>
      </c>
      <c r="BB10" t="s">
        <v>104</v>
      </c>
      <c r="BC10" t="s">
        <v>105</v>
      </c>
      <c r="BD10" t="s">
        <v>106</v>
      </c>
      <c r="BE10" t="s">
        <v>106</v>
      </c>
      <c r="BF10" t="s">
        <v>107</v>
      </c>
      <c r="BG10" t="s">
        <v>178</v>
      </c>
      <c r="BH10" t="s">
        <v>105</v>
      </c>
      <c r="BI10" t="s">
        <v>93</v>
      </c>
      <c r="BJ10" t="s">
        <v>181</v>
      </c>
      <c r="BL10" t="s">
        <v>109</v>
      </c>
      <c r="BM10" t="s">
        <v>110</v>
      </c>
      <c r="BN10" t="s">
        <v>111</v>
      </c>
      <c r="BO10" t="s">
        <v>112</v>
      </c>
      <c r="BP10" t="s">
        <v>93</v>
      </c>
      <c r="BQ10" t="s">
        <v>93</v>
      </c>
      <c r="BR10" t="str">
        <f>VLOOKUP(KeHEPARDataFlowSource[[#This Row],[Item Status]],Table2[#All],2,FALSE)</f>
        <v>Normal, Active item</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2.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2026-06-30T17:58:18Z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